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filterPrivacy="1" hidePivotFieldList="1" defaultThemeVersion="124226"/>
  <xr:revisionPtr revIDLastSave="0" documentId="8_{70AEE268-90DA-4220-9165-684F07C2245D}" xr6:coauthVersionLast="47" xr6:coauthVersionMax="47" xr10:uidLastSave="{00000000-0000-0000-0000-000000000000}"/>
  <bookViews>
    <workbookView xWindow="-120" yWindow="-120" windowWidth="20730" windowHeight="11040" tabRatio="733" firstSheet="7" activeTab="7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D14" i="35" s="1"/>
  <c r="R12" i="35"/>
  <c r="D12" i="35" s="1"/>
  <c r="R13" i="35"/>
  <c r="D11" i="35" s="1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<sst xmlns="http://schemas.openxmlformats.org/spreadsheetml/2006/main" count="715" uniqueCount="365">
  <si>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</si>
  <si>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</si>
  <si>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</si>
  <si>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</si>
  <si>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</si>
  <si>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</si>
  <si>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</si>
  <si>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</si>
  <si>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</si>
  <si>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</si>
  <si>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</si>
  <si>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</si>
  <si>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</si>
  <si>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</si>
  <si>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</si>
  <si>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</si>
  <si>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</si>
  <si>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</si>
  <si>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</si>
  <si>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</si>
  <si>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</si>
  <si>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</si>
  <si>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</si>
  <si>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</si>
  <si>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</si>
  <si>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</si>
  <si>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</si>
  <si>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</si>
  <si>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</si>
  <si>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</si>
  <si>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</si>
  <si>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</si>
  <si>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</si>
  <si>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</si>
  <si>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</si>
  <si>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</si>
  <si>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</si>
  <si>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</si>
  <si>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</si>
  <si>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</si>
  <si>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</si>
  <si>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</si>
  <si>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</si>
  <si>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</si>
  <si>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</si>
  <si>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</si>
  <si>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</si>
  <si>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</si>
  <si>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</si>
  <si>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</si>
  <si>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</si>
  <si>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</si>
  <si>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</si>
  <si>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</si>
  <si>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</si>
  <si>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</si>
  <si>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</si>
  <si>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</si>
  <si>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</si>
  <si>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</si>
  <si>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</si>
  <si>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</si>
  <si>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</si>
  <si>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</si>
  <si>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</si>
  <si>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</si>
  <si>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</si>
  <si>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</si>
  <si>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</si>
  <si>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</si>
  <si>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</si>
  <si>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</si>
  <si>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</si>
  <si>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</si>
  <si>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</si>
  <si>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</si>
  <si>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</si>
  <si>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</si>
  <si>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</si>
  <si>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</si>
  <si>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</si>
  <si>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</si>
  <si>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</si>
  <si>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</si>
  <si>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</si>
  <si>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</si>
  <si>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</si>
  <si>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</si>
  <si>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</si>
  <si>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</si>
  <si>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</si>
  <si>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</si>
  <si>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</si>
  <si>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</si>
  <si>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</si>
  <si>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</si>
  <si>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</si>
  <si>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</si>
  <si>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</si>
  <si>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</si>
  <si>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</si>
  <si>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</si>
  <si>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</si>
  <si>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</si>
  <si>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</si>
  <si>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</si>
  <si>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</si>
  <si>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</si>
  <si>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</si>
  <si>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</si>
  <si>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</si>
  <si>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</si>
  <si>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</si>
  <si>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</si>
  <si>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</si>
  <si>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</si>
  <si>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</si>
  <si>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</si>
  <si>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</si>
  <si>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</si>
  <si>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</si>
  <si>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Hitos ADP ocurridos al {31 de octubre}</t>
  </si>
  <si>
    <t>El cumplimiento de los hitos está normado por la ley 19.882 e instructivo del Servicio Civil (SC)</t>
  </si>
  <si>
    <t>Acum oct - 24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</si>
  <si>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</si>
  <si>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</si>
  <si>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</si>
  <si>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</si>
  <si>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 xml:space="preserve"> - JUNAEB:</t>
  </si>
  <si>
    <t xml:space="preserve"> - CRUCH:</t>
  </si>
  <si>
    <t xml:space="preserve"> - Agencia de Calidad(ACE):</t>
  </si>
  <si>
    <t xml:space="preserve"> - DEP</t>
  </si>
  <si>
    <t xml:space="preserve"> - Super intendencia de Educación:</t>
  </si>
  <si>
    <t xml:space="preserve"> - JUNJI:</t>
  </si>
  <si>
    <t xml:space="preserve"> - Super intendencia de Educación Superior: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</si>
  <si>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</si>
  <si>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</si>
  <si>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</si>
  <si>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</si>
  <si>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</si>
  <si>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</si>
  <si>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</si>
  <si>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</si>
  <si>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</si>
  <si>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</si>
  <si>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</si>
  <si>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</si>
  <si>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</si>
  <si>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</si>
  <si>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</si>
  <si>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</si>
  <si>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</si>
  <si>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</si>
  <si>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</si>
  <si>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</si>
  <si>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</si>
  <si>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</si>
  <si>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</si>
  <si>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</si>
  <si>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</si>
  <si>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</si>
  <si>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</si>
  <si>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</si>
  <si>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</si>
  <si>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</si>
  <si>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</si>
  <si>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</si>
  <si>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</si>
  <si>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</si>
  <si>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</si>
  <si>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</si>
  <si>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</si>
  <si>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</si>
  <si>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</si>
  <si>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</si>
  <si>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</si>
  <si>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</si>
  <si>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</si>
  <si>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</si>
  <si>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</si>
  <si>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</si>
  <si>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</si>
  <si>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>ENERO 2025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</si>
  <si>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</si>
  <si>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</si>
  <si>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</si>
  <si>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</si>
  <si>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</si>
  <si>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</si>
  <si>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</si>
  <si>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</si>
  <si>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</si>
  <si>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</si>
  <si>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</si>
  <si>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</si>
  <si>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</si>
  <si>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</si>
  <si>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</si>
  <si>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</si>
  <si>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</si>
  <si>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</si>
  <si>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</si>
  <si>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</si>
  <si>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</si>
  <si>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</si>
  <si>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</si>
  <si>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</si>
  <si>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</si>
  <si>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</si>
  <si>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</si>
  <si>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</si>
  <si>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</si>
  <si>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</si>
  <si>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</si>
  <si>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</si>
  <si>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</si>
  <si>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</si>
  <si>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</si>
  <si>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</si>
  <si>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</si>
  <si>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</si>
  <si>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</si>
  <si>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</si>
  <si>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</si>
  <si>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</si>
  <si>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</si>
  <si>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</si>
  <si>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</si>
  <si>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</si>
  <si>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</si>
  <si>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</si>
  <si>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OCTUBRE-2025</t>
  </si>
  <si>
    <t>ABRIL - 2025</t>
  </si>
  <si>
    <t>Gab Subse</t>
  </si>
  <si>
    <t>Gab Ministro</t>
  </si>
  <si>
    <t>La Araucanía</t>
  </si>
  <si>
    <t>I16_002-Gabinete Ministerio</t>
  </si>
  <si>
    <t>I20_013-Gabinete Ministerio</t>
  </si>
  <si>
    <t>I20_014-Gabinete Ministerio</t>
  </si>
  <si>
    <t>I19_026-Gabinete Subsecretaría</t>
  </si>
  <si>
    <t>I23_015-Gabinete Subsecretaría</t>
  </si>
  <si>
    <t>I21_001-Gabinete Subsecretaría</t>
  </si>
  <si>
    <t>I24_001-Gabinete Subsecretaría</t>
  </si>
  <si>
    <t>I24_002-Gabinete Subsecretaría</t>
  </si>
  <si>
    <t>I25_002-CPEIP</t>
  </si>
  <si>
    <t>I23_018-CPEIP</t>
  </si>
  <si>
    <t>I25_003-CPEIP</t>
  </si>
  <si>
    <t>I25_001-CPEIP</t>
  </si>
  <si>
    <t>I25_011-DEG</t>
  </si>
  <si>
    <t>I17_001-DEG</t>
  </si>
  <si>
    <t>I23_004-DEG</t>
  </si>
  <si>
    <t>I24_009-DEG</t>
  </si>
  <si>
    <t>I16_043-División de Planificación y Presupuesto</t>
  </si>
  <si>
    <t>I20_011-División de Planificación y Presupuesto</t>
  </si>
  <si>
    <t>I20_012-División de Planificación y Presupuesto</t>
  </si>
  <si>
    <t>I25_012-División de Planificación y Presupuesto</t>
  </si>
  <si>
    <t>I21_002-División de Planificación y Presupuesto</t>
  </si>
  <si>
    <t>I16_054-División de Planificación y Presupuesto</t>
  </si>
  <si>
    <t>I19_012-División de Planificación y Presupuesto</t>
  </si>
  <si>
    <t>I25_005-División de Planificación y Presupuesto</t>
  </si>
  <si>
    <t>I21_007-DAG</t>
  </si>
  <si>
    <t>I25_004-DAG</t>
  </si>
  <si>
    <t>I23_019-DAG</t>
  </si>
  <si>
    <t>I25_013-DAG</t>
  </si>
  <si>
    <t>I20_006-DAG</t>
  </si>
  <si>
    <t>I20_005-DAG</t>
  </si>
  <si>
    <t>I19_020-UCE</t>
  </si>
  <si>
    <t>I21_011-UCE</t>
  </si>
  <si>
    <t>I21_012-UCE</t>
  </si>
  <si>
    <t>I22_006-UCE</t>
  </si>
  <si>
    <t>I19_019-UCE</t>
  </si>
  <si>
    <t>I16_062-UCE</t>
  </si>
  <si>
    <t>I25_010-UCE</t>
  </si>
  <si>
    <t>I16_052-División Jurídica</t>
  </si>
  <si>
    <t>I24_004-División Jurídica</t>
  </si>
  <si>
    <t>I23_007-División Jurídica</t>
  </si>
  <si>
    <t>I22_008-División Jurídica</t>
  </si>
  <si>
    <t>I24_011-División Jurídica</t>
  </si>
  <si>
    <t>I24_003-División Jurídica</t>
  </si>
  <si>
    <t>I16_053-División Jurídica</t>
  </si>
  <si>
    <t>I23_014</t>
  </si>
  <si>
    <t>I16_066</t>
  </si>
  <si>
    <t>I25_007</t>
  </si>
  <si>
    <t>I16_056</t>
  </si>
  <si>
    <t>I25_006</t>
  </si>
  <si>
    <t>I23_014-SECREDUC 01</t>
  </si>
  <si>
    <t>I23_014-SECREDUC 02</t>
  </si>
  <si>
    <t>I23_014-SECREDUC 03</t>
  </si>
  <si>
    <t>I23_014-SECREDUC 04</t>
  </si>
  <si>
    <t>I23_014-SECREDUC 05</t>
  </si>
  <si>
    <t>I23_014-SECREDUC 06</t>
  </si>
  <si>
    <t>I23_014-SECREDUC 07</t>
  </si>
  <si>
    <t>I23_014-SECREDUC 08</t>
  </si>
  <si>
    <t>I23_014-SECREDUC 09</t>
  </si>
  <si>
    <t>I23_014-SECREDUC 10</t>
  </si>
  <si>
    <t>I23_014-SECREDUC 11</t>
  </si>
  <si>
    <t>I23_014-SECREDUC 12</t>
  </si>
  <si>
    <t>I23_014-SECREDUC 13</t>
  </si>
  <si>
    <t>I23_014-SECREDUC 14</t>
  </si>
  <si>
    <t>I23_014-SECREDUC 15</t>
  </si>
  <si>
    <t>I23_014-SECREDUC 16</t>
  </si>
  <si>
    <t>I16_066-SECREDUC 01</t>
  </si>
  <si>
    <t>I16_066-SECREDUC 02</t>
  </si>
  <si>
    <t>I16_066-SECREDUC 03</t>
  </si>
  <si>
    <t>I16_066-SECREDUC 04</t>
  </si>
  <si>
    <t>I16_066-SECREDUC 05</t>
  </si>
  <si>
    <t>I16_066-SECREDUC 06</t>
  </si>
  <si>
    <t>I16_066-SECREDUC 07</t>
  </si>
  <si>
    <t>I16_066-SECREDUC 08</t>
  </si>
  <si>
    <t>I16_066-SECREDUC 09</t>
  </si>
  <si>
    <t>I16_066-SECREDUC 10</t>
  </si>
  <si>
    <t>I16_066-SECREDUC 11</t>
  </si>
  <si>
    <t>I16_066-SECREDUC 12</t>
  </si>
  <si>
    <t>I16_066-SECREDUC 13</t>
  </si>
  <si>
    <t>I16_066-SECREDUC 14</t>
  </si>
  <si>
    <t>I16_066-SECREDUC 15</t>
  </si>
  <si>
    <t>I16_066-SECREDUC 16</t>
  </si>
  <si>
    <t>I25_007-SECREDUC 01</t>
  </si>
  <si>
    <t>I25_007-SECREDUC 02</t>
  </si>
  <si>
    <t>I25_007-SECREDUC 03</t>
  </si>
  <si>
    <t>I25_007-SECREDUC 04</t>
  </si>
  <si>
    <t>I25_007-SECREDUC 05</t>
  </si>
  <si>
    <t>I25_007-SECREDUC 06</t>
  </si>
  <si>
    <t>I25_007-SECREDUC 07</t>
  </si>
  <si>
    <t>I25_007-SECREDUC 08</t>
  </si>
  <si>
    <t>I25_007-SECREDUC 09</t>
  </si>
  <si>
    <t>I25_007-SECREDUC 10</t>
  </si>
  <si>
    <t>I25_007-SECREDUC 11</t>
  </si>
  <si>
    <t>I25_007-SECREDUC 12</t>
  </si>
  <si>
    <t>I25_007-SECREDUC 13</t>
  </si>
  <si>
    <t>I25_007-SECREDUC 14</t>
  </si>
  <si>
    <t>I25_007-SECREDUC 15</t>
  </si>
  <si>
    <t>I25_007-SECREDUC 16</t>
  </si>
  <si>
    <t>I16_056-SECREDUC 01</t>
  </si>
  <si>
    <t>I16_056-SECREDUC 02</t>
  </si>
  <si>
    <t>I16_056-SECREDUC 03</t>
  </si>
  <si>
    <t>I16_056-SECREDUC 04</t>
  </si>
  <si>
    <t>I16_056-SECREDUC 05</t>
  </si>
  <si>
    <t>I16_056-SECREDUC 06</t>
  </si>
  <si>
    <t>I16_056-SECREDUC 07</t>
  </si>
  <si>
    <t>I16_056-SECREDUC 08</t>
  </si>
  <si>
    <t>I16_056-SECREDUC 09</t>
  </si>
  <si>
    <t>I16_056-SECREDUC 10</t>
  </si>
  <si>
    <t>I16_056-SECREDUC 11</t>
  </si>
  <si>
    <t>I16_056-SECREDUC 12</t>
  </si>
  <si>
    <t>I16_056-SECREDUC 13</t>
  </si>
  <si>
    <t>I16_056-SECREDUC 14</t>
  </si>
  <si>
    <t>I16_056-SECREDUC 15</t>
  </si>
  <si>
    <t>I16_056-SECREDUC 16</t>
  </si>
  <si>
    <t>I25_006-SECREDUC 01</t>
  </si>
  <si>
    <t>I25_006-SECREDUC 02</t>
  </si>
  <si>
    <t>I25_006-SECREDUC 03</t>
  </si>
  <si>
    <t>I25_006-SECREDUC 04</t>
  </si>
  <si>
    <t>I25_006-SECREDUC 05</t>
  </si>
  <si>
    <t>I25_006-SECREDUC 06</t>
  </si>
  <si>
    <t>I25_006-SECREDUC 07</t>
  </si>
  <si>
    <t>I25_006-SECREDUC 08</t>
  </si>
  <si>
    <t>I25_006-SECREDUC 09</t>
  </si>
  <si>
    <t>I25_006-SECREDUC 10</t>
  </si>
  <si>
    <t>I25_006-SECREDUC 11</t>
  </si>
  <si>
    <t>I25_006-SECREDUC 12</t>
  </si>
  <si>
    <t>I25_006-SECREDUC 13</t>
  </si>
  <si>
    <t>I25_006-SECREDUC 14</t>
  </si>
  <si>
    <t>I25_006-SECREDUC 15</t>
  </si>
  <si>
    <t>I25_006-SECREDUC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</si>
</sst>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002060"/>
        <bgColor theme="7"/>
      </patternFill>
    </fill>
  </fills>
  <borders count="2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0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18" borderId="1" xfId="0" applyFont="1" applyFill="1" applyBorder="1" applyAlignment="1">
      <alignment horizontal="center"/>
    </xf>
    <xf numFmtId="0" fontId="66" fillId="18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69" fillId="0" borderId="6" xfId="0" applyFont="1" applyBorder="1" applyAlignment="1">
      <alignment horizontal="center" vertical="center"/>
    </xf>
    <xf numFmtId="0" fontId="69" fillId="0" borderId="45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69" fillId="0" borderId="34" xfId="0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37" xfId="0" applyFont="1" applyBorder="1" applyAlignment="1">
      <alignment horizontal="center" vertical="center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0" borderId="211" xfId="0" applyFont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19" borderId="44" xfId="0" applyFont="1" applyFill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7" fillId="4" borderId="157" xfId="0" applyFont="1" applyFill="1" applyBorder="1" applyAlignment="1">
      <alignment horizontal="center" vertical="center" wrapText="1"/>
    </xf>
    <xf numFmtId="0" fontId="0" fillId="4" borderId="80" xfId="0" applyFill="1" applyBorder="1" applyAlignment="1">
      <alignment horizontal="center" vertical="center" wrapText="1"/>
    </xf>
    <xf numFmtId="0" fontId="0" fillId="4" borderId="186" xfId="0" applyFill="1" applyBorder="1" applyAlignment="1">
      <alignment horizontal="center" vertical="center" wrapText="1"/>
    </xf>
    <xf numFmtId="0" fontId="19" fillId="4" borderId="212" xfId="0" applyFont="1" applyFill="1" applyBorder="1" applyAlignment="1">
      <alignment horizontal="center" vertical="center" wrapText="1"/>
    </xf>
    <xf numFmtId="0" fontId="19" fillId="4" borderId="0" xfId="0" applyFont="1" applyFill="1" applyAlignment="1">
      <alignment horizontal="center" vertical="center" wrapText="1"/>
    </xf>
    <xf numFmtId="9" fontId="20" fillId="9" borderId="32" xfId="0" applyNumberFormat="1" applyFont="1" applyFill="1" applyBorder="1" applyAlignment="1">
      <alignment horizontal="center" vertical="center"/>
    </xf>
    <xf numFmtId="9" fontId="20" fillId="9" borderId="28" xfId="0" applyNumberFormat="1" applyFont="1" applyFill="1" applyBorder="1" applyAlignment="1">
      <alignment horizontal="center" vertical="center"/>
    </xf>
    <xf numFmtId="9" fontId="20" fillId="9" borderId="1" xfId="0" applyNumberFormat="1" applyFont="1" applyFill="1" applyBorder="1" applyAlignment="1">
      <alignment horizontal="center" vertical="center"/>
    </xf>
    <xf numFmtId="9" fontId="20" fillId="9" borderId="34" xfId="0" applyNumberFormat="1" applyFont="1" applyFill="1" applyBorder="1" applyAlignment="1">
      <alignment horizontal="center" vertical="center"/>
    </xf>
    <xf numFmtId="9" fontId="20" fillId="9" borderId="36" xfId="0" applyNumberFormat="1" applyFont="1" applyFill="1" applyBorder="1" applyAlignment="1">
      <alignment horizontal="center" vertical="center"/>
    </xf>
    <xf numFmtId="9" fontId="20" fillId="9" borderId="37" xfId="0" applyNumberFormat="1" applyFont="1" applyFill="1" applyBorder="1" applyAlignment="1">
      <alignment horizontal="center" vertical="center"/>
    </xf>
    <xf numFmtId="9" fontId="20" fillId="9" borderId="27" xfId="0" applyNumberFormat="1" applyFont="1" applyFill="1" applyBorder="1" applyAlignment="1">
      <alignment horizontal="center" vertical="center"/>
    </xf>
    <xf numFmtId="9" fontId="20" fillId="9" borderId="33" xfId="0" applyNumberFormat="1" applyFont="1" applyFill="1" applyBorder="1" applyAlignment="1">
      <alignment horizontal="center" vertical="center"/>
    </xf>
    <xf numFmtId="9" fontId="20" fillId="9" borderId="35" xfId="0" applyNumberFormat="1" applyFont="1" applyFill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69" fillId="0" borderId="123" xfId="0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0" fontId="69" fillId="0" borderId="12" xfId="0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4" borderId="58" xfId="0" applyFont="1" applyFill="1" applyBorder="1" applyAlignment="1">
      <alignment horizontal="right" vertical="center"/>
    </xf>
    <xf numFmtId="0" fontId="54" fillId="4" borderId="0" xfId="0" applyFont="1" applyFill="1" applyAlignment="1">
      <alignment horizontal="right" vertical="center"/>
    </xf>
    <xf numFmtId="49" fontId="90" fillId="4" borderId="0" xfId="0" applyNumberFormat="1" applyFont="1" applyFill="1" applyAlignment="1">
      <alignment horizontal="left" vertical="center"/>
    </xf>
    <xf numFmtId="49" fontId="90" fillId="4" borderId="60" xfId="0" applyNumberFormat="1" applyFont="1" applyFill="1" applyBorder="1" applyAlignment="1">
      <alignment horizontal="left" vertical="center"/>
    </xf>
    <xf numFmtId="0" fontId="54" fillId="4" borderId="58" xfId="0" applyFont="1" applyFill="1" applyBorder="1" applyAlignment="1">
      <alignment horizontal="center" vertical="center"/>
    </xf>
    <xf numFmtId="0" fontId="54" fillId="4" borderId="0" xfId="0" applyFont="1" applyFill="1" applyAlignment="1">
      <alignment horizontal="center" vertical="center"/>
    </xf>
    <xf numFmtId="0" fontId="54" fillId="4" borderId="60" xfId="0" applyFont="1" applyFill="1" applyBorder="1" applyAlignment="1">
      <alignment horizontal="center" vertical="center"/>
    </xf>
    <xf numFmtId="0" fontId="63" fillId="4" borderId="191" xfId="0" applyFont="1" applyFill="1" applyBorder="1" applyAlignment="1">
      <alignment horizontal="center" vertical="center"/>
    </xf>
    <xf numFmtId="0" fontId="63" fillId="4" borderId="198" xfId="0" applyFont="1" applyFill="1" applyBorder="1" applyAlignment="1">
      <alignment horizontal="center" vertical="center"/>
    </xf>
    <xf numFmtId="0" fontId="63" fillId="4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20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4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4" borderId="200" xfId="0" applyFont="1" applyFill="1" applyBorder="1" applyAlignment="1">
      <alignment horizontal="center" vertical="center" wrapText="1"/>
    </xf>
    <xf numFmtId="0" fontId="7" fillId="4" borderId="199" xfId="0" applyFont="1" applyFill="1" applyBorder="1" applyAlignment="1">
      <alignment horizontal="center" vertical="center" wrapText="1"/>
    </xf>
    <xf numFmtId="0" fontId="7" fillId="4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data_panel!$C$4:$C$6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data_panel!$E$4:$E$6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data_panel!$C$13:$C$20</c:f>
              <c:numCache>
                <c:formatCode>General</c:formatCode>
                <c:ptCount val="8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7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data_panel!$D$13:$D$20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data_panel!$B$13:$B$20</c:f>
              <c:strCache>
                <c:ptCount val="8"/>
                <c:pt idx="0">
                  <c:v>CPEIP</c:v>
                </c:pt>
                <c:pt idx="1">
                  <c:v>DAG</c:v>
                </c:pt>
                <c:pt idx="2">
                  <c:v>DEG</c:v>
                </c:pt>
                <c:pt idx="3">
                  <c:v>Jurídica</c:v>
                </c:pt>
                <c:pt idx="4">
                  <c:v>DIPLAP</c:v>
                </c:pt>
                <c:pt idx="5">
                  <c:v>Gab Ministro</c:v>
                </c:pt>
                <c:pt idx="6">
                  <c:v>Gab Subse</c:v>
                </c:pt>
                <c:pt idx="7">
                  <c:v>UCE</c:v>
                </c:pt>
              </c:strCache>
            </c:strRef>
          </c:cat>
          <c:val>
            <c:numRef>
              <c:f>data_panel!$E$13:$E$20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data_panel!$C$25:$C$40</c:f>
              <c:numCache>
                <c:formatCode>General</c:formatCode>
                <c:ptCount val="1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data_panel!$D$25:$D$40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data_panel!$B$25:$B$40</c:f>
              <c:strCache>
                <c:ptCount val="16"/>
                <c:pt idx="0">
                  <c:v>Antofagasta</c:v>
                </c:pt>
                <c:pt idx="1">
                  <c:v>Arica y Parinacota</c:v>
                </c:pt>
                <c:pt idx="2">
                  <c:v>Atacama</c:v>
                </c:pt>
                <c:pt idx="3">
                  <c:v>Aysén</c:v>
                </c:pt>
                <c:pt idx="4">
                  <c:v>Biobío</c:v>
                </c:pt>
                <c:pt idx="5">
                  <c:v>Coquimbo</c:v>
                </c:pt>
                <c:pt idx="6">
                  <c:v>La Araucanía</c:v>
                </c:pt>
                <c:pt idx="7">
                  <c:v>Los Lagos</c:v>
                </c:pt>
                <c:pt idx="8">
                  <c:v>Los Ríos</c:v>
                </c:pt>
                <c:pt idx="9">
                  <c:v>Magallanes</c:v>
                </c:pt>
                <c:pt idx="10">
                  <c:v>Maule</c:v>
                </c:pt>
                <c:pt idx="11">
                  <c:v>Metropolitana</c:v>
                </c:pt>
                <c:pt idx="12">
                  <c:v>O'Higgins</c:v>
                </c:pt>
                <c:pt idx="13">
                  <c:v>Tarapacá</c:v>
                </c:pt>
                <c:pt idx="14">
                  <c:v>Valparaíso</c:v>
                </c:pt>
                <c:pt idx="15">
                  <c:v>Ñuble</c:v>
                </c:pt>
              </c:strCache>
            </c:strRef>
          </c:cat>
          <c:val>
            <c:numRef>
              <c:f>data_panel!$E$25:$E$40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data_panel!$C$8:$C$11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data_panel!$D$8:$D$11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strRef>
              <c:f>data_panel!$B$8:$B$11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data_panel!$E$8:$E$11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</c:multiLvlStrRef>
          </c:cat>
          <c:val>
            <c:numRef>
              <c:f>datos_graficos!$D$3:$D$14</c:f>
              <c:numCache>
                <c:formatCode>General</c:formatCode>
                <c:ptCount val="12"/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</c:multiLvlStrRef>
          </c:cat>
          <c:val>
            <c:numRef>
              <c:f>datos_graficos!$C$3:$C$14</c:f>
              <c:numCache>
                <c:formatCode>General</c:formatCode>
                <c:ptCount val="12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561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562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563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564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565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566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567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568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</row>
    <row r="2" spans="1:24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</row>
    <row r="3" spans="1:24">
      <c r="A3" s="90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</row>
    <row r="4" spans="1:24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</row>
    <row r="5" spans="1:24">
      <c r="A5" s="90"/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</row>
    <row r="6" spans="1:24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</row>
    <row r="7" spans="1:24">
      <c r="A7" s="90"/>
      <c r="B7" s="87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</row>
    <row r="8" spans="1:24">
      <c r="A8" s="90"/>
      <c r="B8" s="87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88"/>
      <c r="Q8" s="90"/>
      <c r="R8" s="90"/>
      <c r="S8" s="90"/>
      <c r="T8" s="90"/>
      <c r="U8" s="90"/>
      <c r="V8" s="90"/>
      <c r="W8" s="90"/>
      <c r="X8" s="90"/>
    </row>
    <row r="9" spans="1:24">
      <c r="A9" s="90"/>
      <c r="B9" s="87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88"/>
      <c r="Q9" s="90"/>
      <c r="R9" s="90"/>
      <c r="S9" s="90"/>
      <c r="T9" s="90"/>
      <c r="U9" s="90"/>
      <c r="V9" s="90"/>
      <c r="W9" s="90"/>
      <c r="X9" s="90"/>
    </row>
    <row r="10" spans="1:24">
      <c r="A10" s="90"/>
      <c r="B10" s="87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88"/>
      <c r="Q10" s="90"/>
      <c r="R10" s="90"/>
      <c r="S10" s="90"/>
      <c r="T10" s="90"/>
      <c r="U10" s="90"/>
      <c r="V10" s="90"/>
      <c r="W10" s="90"/>
      <c r="X10" s="90"/>
    </row>
    <row r="11" spans="1:24" ht="39.75" customHeight="1">
      <c r="A11" s="90"/>
      <c r="B11" s="87"/>
      <c r="C11" s="267"/>
      <c r="D11" s="267"/>
      <c r="E11" s="272"/>
      <c r="F11" s="273" t="s">
        <v>200</v>
      </c>
      <c r="G11" s="460">
        <v>2025</v>
      </c>
      <c r="H11" s="460"/>
      <c r="I11" s="90"/>
      <c r="J11" s="90"/>
      <c r="K11" s="90"/>
      <c r="L11" s="90"/>
      <c r="M11" s="90"/>
      <c r="N11" s="90"/>
      <c r="O11" s="90"/>
      <c r="P11" s="88"/>
      <c r="Q11" s="90"/>
      <c r="R11" s="90"/>
      <c r="S11" s="90"/>
      <c r="T11" s="90"/>
      <c r="U11" s="90"/>
      <c r="V11" s="90"/>
      <c r="W11" s="90"/>
      <c r="X11" s="90"/>
    </row>
    <row r="12" spans="1:24" ht="26.25" customHeight="1">
      <c r="A12" s="90"/>
      <c r="B12" s="87"/>
      <c r="C12" s="90"/>
      <c r="D12" s="90"/>
      <c r="E12" s="274"/>
      <c r="F12" s="461" t="s">
        <v>232</v>
      </c>
      <c r="G12" s="462"/>
      <c r="H12" s="90"/>
      <c r="I12" s="90"/>
      <c r="J12" s="90"/>
      <c r="K12" s="90"/>
      <c r="L12" s="90"/>
      <c r="M12" s="90"/>
      <c r="N12" s="90"/>
      <c r="O12" s="90"/>
      <c r="P12" s="88"/>
      <c r="Q12" s="90"/>
      <c r="R12" s="90"/>
      <c r="S12" s="90"/>
      <c r="T12" s="90"/>
      <c r="U12" s="90"/>
      <c r="V12" s="90"/>
      <c r="W12" s="90"/>
      <c r="X12" s="90"/>
    </row>
    <row r="13" spans="1:24" ht="53.25" customHeight="1">
      <c r="A13" s="90"/>
      <c r="B13" s="87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88"/>
      <c r="Q13" s="90"/>
      <c r="R13" s="90"/>
      <c r="S13" s="90"/>
      <c r="T13" s="90"/>
      <c r="U13" s="90"/>
      <c r="V13" s="90"/>
      <c r="W13" s="90"/>
      <c r="X13" s="90"/>
    </row>
    <row r="14" spans="1:24">
      <c r="A14" s="90"/>
      <c r="B14" s="87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88"/>
      <c r="Q14" s="90"/>
      <c r="R14" s="90"/>
      <c r="S14" s="90"/>
      <c r="T14" s="90"/>
      <c r="U14" s="90"/>
      <c r="V14" s="90"/>
      <c r="W14" s="90"/>
      <c r="X14" s="90"/>
    </row>
    <row r="15" spans="1:24" ht="18.75">
      <c r="A15" s="90"/>
      <c r="B15" s="87"/>
      <c r="C15" s="90"/>
      <c r="D15" s="90"/>
      <c r="E15" s="271"/>
      <c r="F15" s="458" t="s">
        <v>201</v>
      </c>
      <c r="G15" s="458"/>
      <c r="H15" s="90"/>
      <c r="I15" s="90"/>
      <c r="J15" s="90"/>
      <c r="K15" s="90"/>
      <c r="L15" s="90"/>
      <c r="M15" s="90"/>
      <c r="N15" s="90"/>
      <c r="O15" s="90"/>
      <c r="P15" s="88"/>
      <c r="Q15" s="90"/>
      <c r="R15" s="90"/>
      <c r="S15" s="90"/>
      <c r="T15" s="90"/>
      <c r="U15" s="90"/>
      <c r="V15" s="90"/>
      <c r="W15" s="90"/>
      <c r="X15" s="90"/>
    </row>
    <row r="16" spans="1:24" ht="18.75">
      <c r="A16" s="90"/>
      <c r="B16" s="87"/>
      <c r="C16" s="90"/>
      <c r="D16" s="90"/>
      <c r="E16" s="271"/>
      <c r="F16" s="458" t="s">
        <v>202</v>
      </c>
      <c r="G16" s="458"/>
      <c r="H16" s="90"/>
      <c r="I16" s="90"/>
      <c r="J16" s="90"/>
      <c r="K16" s="90"/>
      <c r="L16" s="90"/>
      <c r="M16" s="90"/>
      <c r="N16" s="90"/>
      <c r="O16" s="90"/>
      <c r="P16" s="88"/>
      <c r="Q16" s="90"/>
      <c r="R16" s="90"/>
      <c r="S16" s="90"/>
      <c r="T16" s="90"/>
      <c r="U16" s="90"/>
      <c r="V16" s="90"/>
      <c r="W16" s="90"/>
      <c r="X16" s="90"/>
    </row>
    <row r="17" spans="1:24" ht="21" customHeight="1">
      <c r="A17" s="90"/>
      <c r="B17" s="87"/>
      <c r="C17" s="90"/>
      <c r="D17" s="90"/>
      <c r="E17" s="268"/>
      <c r="F17" s="269"/>
      <c r="G17" s="269"/>
      <c r="H17" s="90"/>
      <c r="I17" s="90"/>
      <c r="J17" s="90"/>
      <c r="K17" s="90"/>
      <c r="L17" s="90"/>
      <c r="M17" s="90"/>
      <c r="N17" s="90"/>
      <c r="O17" s="90"/>
      <c r="P17" s="88"/>
      <c r="Q17" s="90"/>
      <c r="R17" s="90"/>
      <c r="S17" s="90"/>
      <c r="T17" s="90"/>
      <c r="U17" s="90"/>
      <c r="V17" s="90"/>
      <c r="W17" s="90"/>
      <c r="X17" s="90"/>
    </row>
    <row r="18" spans="1:24" ht="18.75">
      <c r="A18" s="90"/>
      <c r="B18" s="87"/>
      <c r="C18" s="90"/>
      <c r="D18" s="90"/>
      <c r="E18" s="270"/>
      <c r="F18" s="459" t="s">
        <v>203</v>
      </c>
      <c r="G18" s="459"/>
      <c r="H18" s="90"/>
      <c r="I18" s="90"/>
      <c r="J18" s="90"/>
      <c r="K18" s="90"/>
      <c r="L18" s="90"/>
      <c r="M18" s="90"/>
      <c r="N18" s="90"/>
      <c r="O18" s="90"/>
      <c r="P18" s="88"/>
      <c r="Q18" s="90"/>
      <c r="R18" s="90"/>
      <c r="S18" s="90"/>
      <c r="T18" s="90"/>
      <c r="U18" s="90"/>
      <c r="V18" s="90"/>
      <c r="W18" s="90"/>
      <c r="X18" s="90"/>
    </row>
    <row r="19" spans="1:24">
      <c r="A19" s="90"/>
      <c r="B19" s="87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88"/>
      <c r="Q19" s="90"/>
      <c r="R19" s="90"/>
      <c r="S19" s="90"/>
      <c r="T19" s="90"/>
      <c r="U19" s="90"/>
      <c r="V19" s="90"/>
      <c r="W19" s="90"/>
      <c r="X19" s="90"/>
    </row>
    <row r="20" spans="1:24">
      <c r="A20" s="90"/>
      <c r="B20" s="87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88"/>
      <c r="Q20" s="90"/>
      <c r="R20" s="90"/>
      <c r="S20" s="90"/>
      <c r="T20" s="90"/>
      <c r="U20" s="90"/>
      <c r="V20" s="90"/>
      <c r="W20" s="90"/>
      <c r="X20" s="90"/>
    </row>
    <row r="21" spans="1:24">
      <c r="A21" s="90"/>
      <c r="B21" s="87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88"/>
      <c r="Q21" s="90"/>
      <c r="R21" s="90"/>
      <c r="S21" s="90"/>
      <c r="T21" s="90"/>
      <c r="U21" s="90"/>
      <c r="V21" s="90"/>
      <c r="W21" s="90"/>
      <c r="X21" s="90"/>
    </row>
    <row r="22" spans="1:24">
      <c r="A22" s="90"/>
      <c r="B22" s="87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88"/>
      <c r="Q22" s="90"/>
      <c r="R22" s="90"/>
      <c r="S22" s="90"/>
      <c r="T22" s="90"/>
      <c r="U22" s="90"/>
      <c r="V22" s="90"/>
      <c r="W22" s="90"/>
      <c r="X22" s="90"/>
    </row>
    <row r="23" spans="1:24">
      <c r="A23" s="90"/>
      <c r="B23" s="87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88"/>
      <c r="Q23" s="90"/>
      <c r="R23" s="90"/>
      <c r="S23" s="90"/>
      <c r="T23" s="90"/>
      <c r="U23" s="90"/>
      <c r="V23" s="90"/>
      <c r="W23" s="90"/>
      <c r="X23" s="90"/>
    </row>
    <row r="24" spans="1:24">
      <c r="A24" s="90"/>
      <c r="B24" s="87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88"/>
      <c r="Q24" s="90"/>
      <c r="R24" s="90"/>
      <c r="S24" s="90"/>
      <c r="T24" s="90"/>
      <c r="U24" s="90"/>
      <c r="V24" s="90"/>
      <c r="W24" s="90"/>
      <c r="X24" s="90"/>
    </row>
    <row r="25" spans="1:24">
      <c r="A25" s="90"/>
      <c r="B25" s="87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88"/>
      <c r="Q25" s="90"/>
      <c r="R25" s="90"/>
      <c r="S25" s="90"/>
      <c r="T25" s="90"/>
      <c r="U25" s="90"/>
      <c r="V25" s="90"/>
      <c r="W25" s="90"/>
      <c r="X25" s="90"/>
    </row>
    <row r="26" spans="1:24">
      <c r="A26" s="90"/>
      <c r="B26" s="87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88"/>
      <c r="Q26" s="90"/>
      <c r="R26" s="90"/>
      <c r="S26" s="90"/>
      <c r="T26" s="90"/>
      <c r="U26" s="90"/>
      <c r="V26" s="90"/>
      <c r="W26" s="90"/>
      <c r="X26" s="90"/>
    </row>
    <row r="27" spans="1:24">
      <c r="A27" s="90"/>
      <c r="B27" s="87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88"/>
      <c r="Q27" s="90"/>
      <c r="R27" s="90"/>
      <c r="S27" s="90"/>
      <c r="T27" s="90"/>
      <c r="U27" s="90"/>
      <c r="V27" s="90"/>
      <c r="W27" s="90"/>
      <c r="X27" s="90"/>
    </row>
    <row r="28" spans="1:24">
      <c r="A28" s="90"/>
      <c r="B28" s="87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88"/>
      <c r="Q28" s="90"/>
      <c r="R28" s="90"/>
      <c r="S28" s="90"/>
      <c r="T28" s="90"/>
      <c r="U28" s="90"/>
      <c r="V28" s="90"/>
      <c r="W28" s="90"/>
      <c r="X28" s="90"/>
    </row>
    <row r="29" spans="1:24">
      <c r="A29" s="90"/>
      <c r="B29" s="87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88"/>
      <c r="Q29" s="90"/>
      <c r="R29" s="90"/>
      <c r="S29" s="90"/>
      <c r="T29" s="90"/>
      <c r="U29" s="90"/>
      <c r="V29" s="90"/>
      <c r="W29" s="90"/>
      <c r="X29" s="90"/>
    </row>
    <row r="30" spans="1:24">
      <c r="A30" s="90"/>
      <c r="B30" s="87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88"/>
      <c r="Q30" s="90"/>
      <c r="R30" s="90"/>
      <c r="S30" s="90"/>
      <c r="T30" s="90"/>
      <c r="U30" s="90"/>
      <c r="V30" s="90"/>
      <c r="W30" s="90"/>
      <c r="X30" s="90"/>
    </row>
    <row r="31" spans="1:24">
      <c r="A31" s="90"/>
      <c r="B31" s="87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88"/>
      <c r="Q31" s="90"/>
      <c r="R31" s="90"/>
      <c r="S31" s="90"/>
      <c r="T31" s="90"/>
      <c r="U31" s="90"/>
      <c r="V31" s="90"/>
      <c r="W31" s="90"/>
      <c r="X31" s="90"/>
    </row>
    <row r="32" spans="1:24">
      <c r="A32" s="90"/>
      <c r="B32" s="87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88"/>
      <c r="Q32" s="90"/>
      <c r="R32" s="90"/>
      <c r="S32" s="90"/>
      <c r="T32" s="90"/>
      <c r="U32" s="90"/>
      <c r="V32" s="90"/>
      <c r="W32" s="90"/>
      <c r="X32" s="90"/>
    </row>
    <row r="33" spans="1:24" ht="23.25" customHeight="1">
      <c r="A33" s="90"/>
      <c r="B33" s="87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88"/>
      <c r="Q33" s="90"/>
      <c r="R33" s="90"/>
      <c r="S33" s="90"/>
      <c r="T33" s="90"/>
      <c r="U33" s="90"/>
      <c r="V33" s="90"/>
      <c r="W33" s="90"/>
      <c r="X33" s="90"/>
    </row>
    <row r="34" spans="1:24">
      <c r="A34" s="90"/>
      <c r="B34" s="87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88"/>
      <c r="Q34" s="90"/>
      <c r="R34" s="90"/>
      <c r="S34" s="90"/>
      <c r="T34" s="90"/>
      <c r="U34" s="90"/>
      <c r="V34" s="90"/>
      <c r="W34" s="90"/>
      <c r="X34" s="90"/>
    </row>
    <row r="35" spans="1:24">
      <c r="A35" s="90"/>
      <c r="B35" s="87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88"/>
      <c r="Q35" s="90"/>
      <c r="R35" s="90"/>
      <c r="S35" s="90"/>
      <c r="T35" s="90"/>
      <c r="U35" s="90"/>
      <c r="V35" s="90"/>
      <c r="W35" s="90"/>
      <c r="X35" s="90"/>
    </row>
    <row r="36" spans="1:24">
      <c r="A36" s="90"/>
      <c r="B36" s="87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88"/>
      <c r="Q36" s="90"/>
      <c r="R36" s="90"/>
      <c r="S36" s="90"/>
      <c r="T36" s="90"/>
      <c r="U36" s="90"/>
      <c r="V36" s="90"/>
      <c r="W36" s="90"/>
      <c r="X36" s="90"/>
    </row>
    <row r="37" spans="1:24">
      <c r="A37" s="90"/>
      <c r="B37" s="87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88"/>
      <c r="Q37" s="90"/>
      <c r="R37" s="90"/>
      <c r="S37" s="90"/>
      <c r="T37" s="90"/>
      <c r="U37" s="90"/>
      <c r="V37" s="90"/>
      <c r="W37" s="90"/>
      <c r="X37" s="90"/>
    </row>
    <row r="38" spans="1:24">
      <c r="A38" s="90"/>
      <c r="B38" s="87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88"/>
      <c r="Q38" s="90"/>
      <c r="R38" s="90"/>
      <c r="S38" s="90"/>
      <c r="T38" s="90"/>
      <c r="U38" s="90"/>
      <c r="V38" s="90"/>
      <c r="W38" s="90"/>
      <c r="X38" s="90"/>
    </row>
    <row r="39" spans="1:24">
      <c r="A39" s="90"/>
      <c r="B39" s="87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88"/>
      <c r="Q39" s="90"/>
      <c r="R39" s="90"/>
      <c r="S39" s="90"/>
      <c r="T39" s="90"/>
      <c r="U39" s="90"/>
      <c r="V39" s="90"/>
      <c r="W39" s="90"/>
      <c r="X39" s="90"/>
    </row>
    <row r="40" spans="1:24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</row>
    <row r="41" spans="1:24">
      <c r="I41" s="115"/>
      <c r="J41" s="115"/>
      <c r="K41" s="115"/>
      <c r="L41" s="115"/>
      <c r="M41" s="115"/>
      <c r="N41" s="115"/>
      <c r="O41" s="90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6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14"/>
      <c r="C2" s="314"/>
      <c r="D2" s="314"/>
      <c r="E2" s="314"/>
      <c r="F2" s="314"/>
      <c r="G2" s="314"/>
      <c r="H2" s="314"/>
      <c r="I2" s="314"/>
      <c r="J2" s="464" t="s">
        <v>213</v>
      </c>
      <c r="K2" s="464"/>
      <c r="L2" s="464"/>
      <c r="M2" s="464"/>
      <c r="N2" s="464"/>
      <c r="O2" s="464"/>
      <c r="P2" s="314"/>
      <c r="Q2" s="314"/>
      <c r="R2" s="314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15" t="s">
        <v>210</v>
      </c>
      <c r="C4" s="315"/>
      <c r="D4" s="315"/>
      <c r="E4" s="315"/>
      <c r="F4" s="315"/>
      <c r="G4" s="315"/>
      <c r="H4" s="315"/>
      <c r="I4" s="315" t="s">
        <v>211</v>
      </c>
      <c r="J4" s="463" t="s">
        <v>212</v>
      </c>
      <c r="K4" s="463"/>
      <c r="L4" s="463"/>
      <c r="M4" s="463"/>
      <c r="N4" s="463"/>
      <c r="O4" s="463"/>
      <c r="P4" s="227"/>
      <c r="Q4" s="227"/>
      <c r="R4" s="228"/>
      <c r="S4" s="28"/>
    </row>
    <row r="5" spans="1:19" ht="29.25" customHeight="1">
      <c r="A5" s="29"/>
      <c r="B5" s="316"/>
      <c r="C5" s="316"/>
      <c r="D5" s="316"/>
      <c r="E5" s="316"/>
      <c r="F5" s="316"/>
      <c r="G5" s="316"/>
      <c r="H5" s="316"/>
      <c r="I5" s="318"/>
      <c r="J5" s="474" t="s">
        <v>184</v>
      </c>
      <c r="K5" s="474"/>
      <c r="L5" s="474"/>
      <c r="M5" s="474"/>
      <c r="N5" s="471" t="s">
        <v>232</v>
      </c>
      <c r="O5" s="471"/>
      <c r="P5" s="471"/>
      <c r="Q5" s="317"/>
      <c r="R5" s="317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75" t="str">
        <f>_xlfn.CONCAT("PERIODO ", N5)</f>
        <v>PERIODO ABRIL - 2025</v>
      </c>
      <c r="D8" s="476"/>
      <c r="E8" s="477"/>
      <c r="G8" s="64" t="s">
        <v>1</v>
      </c>
      <c r="H8" s="48"/>
      <c r="I8" s="48"/>
      <c r="J8" s="48"/>
      <c r="K8" s="49" t="s">
        <v>2</v>
      </c>
      <c r="L8" s="48"/>
      <c r="M8" s="49" t="s">
        <v>3</v>
      </c>
      <c r="N8" s="48"/>
      <c r="O8" s="49" t="s">
        <v>4</v>
      </c>
      <c r="P8" s="48"/>
      <c r="Q8" s="48"/>
      <c r="R8" s="63" t="s">
        <v>5</v>
      </c>
      <c r="S8" s="28"/>
    </row>
    <row r="9" spans="1:19" ht="23.25" customHeight="1">
      <c r="A9" s="29"/>
      <c r="G9" s="50"/>
      <c r="H9" s="51"/>
      <c r="I9" s="51"/>
      <c r="J9" s="51"/>
      <c r="K9" s="345"/>
      <c r="L9" s="51"/>
      <c r="M9" s="51"/>
      <c r="N9" s="51"/>
      <c r="O9" s="51"/>
      <c r="P9" s="51"/>
      <c r="Q9" s="51"/>
      <c r="R9" s="52"/>
      <c r="S9" s="28"/>
    </row>
    <row r="10" spans="1:19" ht="42" customHeight="1">
      <c r="A10" s="29"/>
      <c r="C10" s="478" t="s">
        <v>5</v>
      </c>
      <c r="D10" s="478"/>
      <c r="E10" s="478"/>
      <c r="G10" s="84" t="s">
        <v>8</v>
      </c>
      <c r="H10" s="53"/>
      <c r="I10" s="53"/>
      <c r="J10" s="44"/>
      <c r="K10" s="54">
        <v>34</v>
      </c>
      <c r="L10" s="53"/>
      <c r="M10" s="44">
        <v>0</v>
      </c>
      <c r="N10" s="53"/>
      <c r="O10" s="44">
        <v>0</v>
      </c>
      <c r="P10" s="53"/>
      <c r="Q10" s="53"/>
      <c r="R10" s="55">
        <f>SUM($K10:$O10)</f>
        <v>34</v>
      </c>
      <c r="S10" s="28"/>
    </row>
    <row r="11" spans="1:19" ht="36" customHeight="1">
      <c r="A11" s="29"/>
      <c r="C11" s="77" t="s">
        <v>6</v>
      </c>
      <c r="D11" s="465">
        <f>R13</f>
        <v>6</v>
      </c>
      <c r="E11" s="465"/>
      <c r="G11" s="56" t="s">
        <v>9</v>
      </c>
      <c r="H11" s="53"/>
      <c r="I11" s="53"/>
      <c r="J11" s="44"/>
      <c r="K11" s="54">
        <v>78</v>
      </c>
      <c r="L11" s="53"/>
      <c r="M11" s="44">
        <v>0</v>
      </c>
      <c r="N11" s="53"/>
      <c r="O11" s="44">
        <v>0</v>
      </c>
      <c r="P11" s="53"/>
      <c r="Q11" s="53"/>
      <c r="R11" s="55">
        <f t="shared" ref="R11:R13" si="0">SUM($K11:$O11)</f>
        <v>78</v>
      </c>
      <c r="S11" s="28"/>
    </row>
    <row r="12" spans="1:19" ht="43.5" customHeight="1">
      <c r="A12" s="29"/>
      <c r="C12" s="69" t="s">
        <v>7</v>
      </c>
      <c r="D12" s="465">
        <f>R12</f>
        <v>4</v>
      </c>
      <c r="E12" s="465"/>
      <c r="G12" s="56" t="s">
        <v>7</v>
      </c>
      <c r="H12" s="53"/>
      <c r="I12" s="53"/>
      <c r="J12" s="44"/>
      <c r="K12" s="54">
        <v>4</v>
      </c>
      <c r="L12" s="53"/>
      <c r="M12" s="44">
        <v>0</v>
      </c>
      <c r="N12" s="53"/>
      <c r="O12" s="44">
        <v>0</v>
      </c>
      <c r="P12" s="53"/>
      <c r="Q12" s="53"/>
      <c r="R12" s="55">
        <f t="shared" si="0"/>
        <v>4</v>
      </c>
      <c r="S12" s="28"/>
    </row>
    <row r="13" spans="1:19" ht="36.75" customHeight="1">
      <c r="A13" s="29"/>
      <c r="C13" s="69" t="s">
        <v>8</v>
      </c>
      <c r="D13" s="465">
        <f>R10</f>
        <v>34</v>
      </c>
      <c r="E13" s="465"/>
      <c r="G13" s="85" t="s">
        <v>6</v>
      </c>
      <c r="H13" s="57"/>
      <c r="I13" s="53"/>
      <c r="J13" s="44"/>
      <c r="K13" s="54">
        <v>6</v>
      </c>
      <c r="L13" s="53"/>
      <c r="M13" s="44">
        <v>0</v>
      </c>
      <c r="N13" s="53"/>
      <c r="O13" s="44">
        <v>0</v>
      </c>
      <c r="P13" s="53"/>
      <c r="Q13" s="53"/>
      <c r="R13" s="55">
        <f t="shared" si="0"/>
        <v>6</v>
      </c>
      <c r="S13" s="28"/>
    </row>
    <row r="14" spans="1:19" ht="53.25" customHeight="1">
      <c r="A14" s="29"/>
      <c r="C14" s="69" t="s">
        <v>9</v>
      </c>
      <c r="D14" s="465">
        <f>R11</f>
        <v>78</v>
      </c>
      <c r="E14" s="465"/>
      <c r="G14" s="62" t="s">
        <v>10</v>
      </c>
      <c r="H14" s="58"/>
      <c r="I14" s="59"/>
      <c r="J14" s="60"/>
      <c r="K14" s="60">
        <f>SUM(K10:K13)</f>
        <v>122</v>
      </c>
      <c r="L14" s="59"/>
      <c r="M14" s="60">
        <f>SUM(M10:M13)</f>
        <v>0</v>
      </c>
      <c r="N14" s="59"/>
      <c r="O14" s="60">
        <f>SUM(O10:O13)</f>
        <v>0</v>
      </c>
      <c r="P14" s="59"/>
      <c r="Q14" s="59"/>
      <c r="R14" s="61">
        <f>SUM(R10:R13)</f>
        <v>122</v>
      </c>
      <c r="S14" s="28"/>
    </row>
    <row r="15" spans="1:19" ht="38.25" customHeight="1">
      <c r="A15" s="29"/>
      <c r="C15" s="45" t="s">
        <v>11</v>
      </c>
      <c r="D15" s="473">
        <f>R14</f>
        <v>122</v>
      </c>
      <c r="E15" s="473"/>
      <c r="H15" s="43"/>
      <c r="M15" s="43"/>
      <c r="N15" s="43"/>
      <c r="O15" s="43"/>
      <c r="S15" s="28"/>
    </row>
    <row r="16" spans="1:19" ht="27" customHeight="1">
      <c r="A16" s="29"/>
      <c r="H16" s="44"/>
      <c r="O16" s="44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66" t="s">
        <v>12</v>
      </c>
      <c r="D24" s="467"/>
      <c r="E24" s="468"/>
      <c r="S24" s="28"/>
    </row>
    <row r="25" spans="1:19" ht="32.25" customHeight="1">
      <c r="A25" s="29"/>
      <c r="C25" s="46" t="s">
        <v>6</v>
      </c>
      <c r="D25" s="469">
        <f>SUM(M13:O13)</f>
        <v>0</v>
      </c>
      <c r="E25" s="470"/>
      <c r="S25" s="28"/>
    </row>
    <row r="26" spans="1:19" ht="33.75" customHeight="1">
      <c r="A26" s="29"/>
      <c r="C26" s="47" t="s">
        <v>7</v>
      </c>
      <c r="D26" s="469">
        <f>SUM(M12:O12)</f>
        <v>0</v>
      </c>
      <c r="E26" s="470"/>
      <c r="S26" s="28"/>
    </row>
    <row r="27" spans="1:19" ht="38.25" customHeight="1">
      <c r="A27" s="29"/>
      <c r="C27" s="47" t="s">
        <v>8</v>
      </c>
      <c r="D27" s="465">
        <f>SUM(M10:O10)</f>
        <v>0</v>
      </c>
      <c r="E27" s="465"/>
      <c r="S27" s="28"/>
    </row>
    <row r="28" spans="1:19" ht="25.5" customHeight="1">
      <c r="A28" s="29"/>
      <c r="C28" s="47" t="s">
        <v>9</v>
      </c>
      <c r="D28" s="465">
        <f>SUM(M11:O11)</f>
        <v>0</v>
      </c>
      <c r="E28" s="465"/>
      <c r="S28" s="28"/>
    </row>
    <row r="29" spans="1:19" ht="33" customHeight="1">
      <c r="A29" s="29"/>
      <c r="C29" s="45" t="s">
        <v>11</v>
      </c>
      <c r="D29" s="472">
        <f>SUM(M14:O14)</f>
        <v>0</v>
      </c>
      <c r="E29" s="472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 t="s">
        <v>16</v>
      </c>
      <c r="C4" s="12">
        <v>2</v>
      </c>
      <c r="D4" s="12">
        <v>0</v>
      </c>
      <c r="E4" s="12">
        <v>0</v>
      </c>
    </row>
    <row r="5" spans="2:5">
      <c r="B5" s="12" t="s">
        <v>17</v>
      </c>
      <c r="C5" s="12">
        <v>2</v>
      </c>
      <c r="D5" s="12">
        <v>0</v>
      </c>
      <c r="E5" s="12">
        <v>0</v>
      </c>
    </row>
    <row r="6" spans="2:5">
      <c r="B6" s="12" t="s">
        <v>233</v>
      </c>
      <c r="C6" s="12">
        <v>2</v>
      </c>
      <c r="D6" s="12">
        <v>0</v>
      </c>
      <c r="E6" s="12">
        <v>0</v>
      </c>
    </row>
    <row r="7" spans="2:5">
      <c r="B7" s="14"/>
      <c r="C7" s="14"/>
      <c r="D7" s="14"/>
      <c r="E7" s="14"/>
    </row>
    <row r="8" spans="2:5">
      <c r="B8" s="12" t="s">
        <v>18</v>
      </c>
      <c r="C8" s="12">
        <v>1</v>
      </c>
      <c r="D8" s="12">
        <v>0</v>
      </c>
      <c r="E8" s="12">
        <v>0</v>
      </c>
    </row>
    <row r="9" spans="2:5">
      <c r="B9" s="12" t="s">
        <v>19</v>
      </c>
      <c r="C9" s="2">
        <v>1</v>
      </c>
      <c r="D9" s="12">
        <v>0</v>
      </c>
      <c r="E9" s="12">
        <v>0</v>
      </c>
    </row>
    <row r="10" spans="2:5">
      <c r="B10" s="12" t="s">
        <v>20</v>
      </c>
      <c r="C10" s="12">
        <v>2</v>
      </c>
      <c r="D10" s="12">
        <v>0</v>
      </c>
      <c r="E10" s="12">
        <v>0</v>
      </c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 t="s">
        <v>18</v>
      </c>
      <c r="C13" s="12">
        <v>3</v>
      </c>
      <c r="D13" s="12">
        <v>0</v>
      </c>
      <c r="E13" s="12">
        <v>0</v>
      </c>
    </row>
    <row r="14" spans="2:5">
      <c r="B14" s="12" t="s">
        <v>16</v>
      </c>
      <c r="C14" s="12">
        <v>4</v>
      </c>
      <c r="D14" s="12">
        <v>0</v>
      </c>
      <c r="E14" s="12">
        <v>0</v>
      </c>
    </row>
    <row r="15" spans="2:5">
      <c r="B15" s="12" t="s">
        <v>19</v>
      </c>
      <c r="C15" s="12">
        <v>3</v>
      </c>
      <c r="D15" s="12">
        <v>0</v>
      </c>
      <c r="E15" s="12">
        <v>0</v>
      </c>
    </row>
    <row r="16" spans="2:5">
      <c r="B16" s="12" t="s">
        <v>22</v>
      </c>
      <c r="C16" s="12">
        <v>7</v>
      </c>
      <c r="D16" s="12">
        <v>0</v>
      </c>
      <c r="E16" s="12">
        <v>0</v>
      </c>
    </row>
    <row r="17" spans="2:5">
      <c r="B17" s="12" t="s">
        <v>17</v>
      </c>
      <c r="C17" s="12">
        <v>6</v>
      </c>
      <c r="D17" s="12">
        <v>0</v>
      </c>
      <c r="E17" s="12">
        <v>0</v>
      </c>
    </row>
    <row r="18" spans="2:5">
      <c r="B18" s="12" t="s">
        <v>234</v>
      </c>
      <c r="C18" s="12">
        <v>3</v>
      </c>
      <c r="D18" s="12">
        <v>0</v>
      </c>
      <c r="E18" s="12">
        <v>0</v>
      </c>
    </row>
    <row r="19" spans="2:5">
      <c r="B19" s="12" t="s">
        <v>233</v>
      </c>
      <c r="C19" s="12">
        <v>3</v>
      </c>
      <c r="D19" s="12">
        <v>0</v>
      </c>
      <c r="E19" s="12">
        <v>0</v>
      </c>
    </row>
    <row r="20" spans="2:5">
      <c r="B20" s="12" t="s">
        <v>20</v>
      </c>
      <c r="C20" s="12">
        <v>5</v>
      </c>
      <c r="D20" s="12">
        <v>0</v>
      </c>
      <c r="E20" s="12">
        <v>0</v>
      </c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78" t="s">
        <v>24</v>
      </c>
      <c r="C25" s="12">
        <v>5</v>
      </c>
      <c r="D25" s="12">
        <v>0</v>
      </c>
      <c r="E25" s="12">
        <v>0</v>
      </c>
    </row>
    <row r="26" spans="2:5">
      <c r="B26" s="78" t="s">
        <v>37</v>
      </c>
      <c r="C26" s="12">
        <v>5</v>
      </c>
      <c r="D26" s="12">
        <v>0</v>
      </c>
      <c r="E26" s="12">
        <v>0</v>
      </c>
    </row>
    <row r="27" spans="2:5">
      <c r="B27" s="78" t="s">
        <v>25</v>
      </c>
      <c r="C27" s="12">
        <v>5</v>
      </c>
      <c r="D27" s="12">
        <v>0</v>
      </c>
      <c r="E27" s="12">
        <v>0</v>
      </c>
    </row>
    <row r="28" spans="2:5">
      <c r="B28" s="78" t="s">
        <v>33</v>
      </c>
      <c r="C28" s="12">
        <v>5</v>
      </c>
      <c r="D28" s="12">
        <v>0</v>
      </c>
      <c r="E28" s="12">
        <v>0</v>
      </c>
    </row>
    <row r="29" spans="2:5">
      <c r="B29" s="78" t="s">
        <v>30</v>
      </c>
      <c r="C29" s="12">
        <v>5</v>
      </c>
      <c r="D29" s="12">
        <v>0</v>
      </c>
      <c r="E29" s="12">
        <v>0</v>
      </c>
    </row>
    <row r="30" spans="2:5">
      <c r="B30" s="78" t="s">
        <v>26</v>
      </c>
      <c r="C30" s="12">
        <v>5</v>
      </c>
      <c r="D30" s="12">
        <v>0</v>
      </c>
      <c r="E30" s="12">
        <v>0</v>
      </c>
    </row>
    <row r="31" spans="2:5">
      <c r="B31" s="78" t="s">
        <v>235</v>
      </c>
      <c r="C31" s="12">
        <v>5</v>
      </c>
      <c r="D31" s="12">
        <v>0</v>
      </c>
      <c r="E31" s="12">
        <v>0</v>
      </c>
    </row>
    <row r="32" spans="2:5">
      <c r="B32" s="78" t="s">
        <v>32</v>
      </c>
      <c r="C32" s="12">
        <v>5</v>
      </c>
      <c r="D32" s="12">
        <v>0</v>
      </c>
      <c r="E32" s="12">
        <v>0</v>
      </c>
    </row>
    <row r="33" spans="2:5">
      <c r="B33" s="78" t="s">
        <v>36</v>
      </c>
      <c r="C33" s="12">
        <v>5</v>
      </c>
      <c r="D33" s="12">
        <v>0</v>
      </c>
      <c r="E33" s="12">
        <v>0</v>
      </c>
    </row>
    <row r="34" spans="2:5">
      <c r="B34" s="78" t="s">
        <v>34</v>
      </c>
      <c r="C34" s="12">
        <v>5</v>
      </c>
      <c r="D34" s="12">
        <v>0</v>
      </c>
      <c r="E34" s="12">
        <v>0</v>
      </c>
    </row>
    <row r="35" spans="2:5">
      <c r="B35" s="78" t="s">
        <v>29</v>
      </c>
      <c r="C35" s="12">
        <v>5</v>
      </c>
      <c r="D35" s="12">
        <v>0</v>
      </c>
      <c r="E35" s="12">
        <v>0</v>
      </c>
    </row>
    <row r="36" spans="2:5">
      <c r="B36" s="78" t="s">
        <v>35</v>
      </c>
      <c r="C36" s="12">
        <v>4</v>
      </c>
      <c r="D36" s="12">
        <v>0</v>
      </c>
      <c r="E36" s="12">
        <v>0</v>
      </c>
    </row>
    <row r="37" spans="2:5">
      <c r="B37" s="78" t="s">
        <v>28</v>
      </c>
      <c r="C37" s="12">
        <v>5</v>
      </c>
      <c r="D37" s="12">
        <v>0</v>
      </c>
      <c r="E37" s="12">
        <v>0</v>
      </c>
    </row>
    <row r="38" spans="2:5">
      <c r="B38" s="78" t="s">
        <v>23</v>
      </c>
      <c r="C38" s="12">
        <v>5</v>
      </c>
      <c r="D38" s="12">
        <v>0</v>
      </c>
      <c r="E38" s="12">
        <v>0</v>
      </c>
    </row>
    <row r="39" spans="2:5">
      <c r="B39" s="78" t="s">
        <v>27</v>
      </c>
      <c r="C39" s="12">
        <v>5</v>
      </c>
      <c r="D39" s="12">
        <v>0</v>
      </c>
      <c r="E39" s="12">
        <v>0</v>
      </c>
    </row>
    <row r="40" spans="2:5">
      <c r="B40" s="78" t="s">
        <v>38</v>
      </c>
      <c r="C40" s="12">
        <v>4</v>
      </c>
      <c r="D40" s="12">
        <v>0</v>
      </c>
      <c r="E40" s="12">
        <v>0</v>
      </c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32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79" t="s">
        <v>183</v>
      </c>
      <c r="B2" s="480"/>
      <c r="C2" s="480"/>
      <c r="D2" s="480"/>
      <c r="E2" s="480"/>
      <c r="F2" s="480"/>
      <c r="G2" s="480"/>
      <c r="H2" s="480"/>
      <c r="I2" s="480"/>
      <c r="J2" s="480"/>
      <c r="K2" s="480"/>
      <c r="L2" s="480"/>
      <c r="M2" s="480"/>
      <c r="N2" s="480"/>
      <c r="O2" s="480"/>
      <c r="P2" s="480"/>
      <c r="Q2" s="480"/>
      <c r="R2" s="480"/>
      <c r="S2" s="480"/>
      <c r="T2" s="481" t="s">
        <v>232</v>
      </c>
      <c r="U2" s="481"/>
      <c r="V2" s="481"/>
      <c r="W2" s="481"/>
      <c r="X2" s="481"/>
      <c r="Y2" s="481"/>
      <c r="Z2" s="481"/>
      <c r="AA2" s="482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9" zoomScale="115" zoomScaleNormal="84" zoomScaleSheetLayoutView="115" workbookViewId="0">
      <selection activeCell="B4" sqref="B4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3" t="s">
        <v>88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</row>
    <row r="2" spans="1:21" ht="19.5" thickBot="1">
      <c r="A2" s="485" t="s">
        <v>232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</row>
    <row r="3" spans="1:21">
      <c r="A3" s="410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410"/>
      <c r="B4" s="411"/>
      <c r="C4" s="41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410"/>
      <c r="B5" s="428" t="s">
        <v>89</v>
      </c>
      <c r="C5" s="487" t="s">
        <v>90</v>
      </c>
      <c r="D5" s="487"/>
      <c r="E5" s="487"/>
      <c r="F5" s="487" t="s">
        <v>91</v>
      </c>
      <c r="G5" s="487"/>
      <c r="H5" s="487"/>
      <c r="I5" s="487" t="s">
        <v>229</v>
      </c>
      <c r="J5" s="487"/>
      <c r="K5" s="487"/>
      <c r="L5" s="487" t="s">
        <v>92</v>
      </c>
      <c r="M5" s="487"/>
      <c r="N5" s="487"/>
      <c r="O5" s="487" t="s">
        <v>230</v>
      </c>
      <c r="P5" s="487"/>
      <c r="Q5" s="488"/>
      <c r="R5" s="408"/>
      <c r="S5" s="407"/>
      <c r="T5" s="3"/>
      <c r="U5" s="3"/>
    </row>
    <row r="6" spans="1:21" ht="21">
      <c r="A6" s="410"/>
      <c r="B6" s="429" t="s">
        <v>23</v>
      </c>
      <c r="C6" s="414"/>
      <c r="D6" s="415">
        <f>IF(data_status_reg!$E4="bajo",0,IF(data_status_reg!$E4="medio",0.5,IF(data_status_reg!$E4="alto",1,"falta riesgo")))</f>
        <v>0</v>
      </c>
      <c r="E6" s="416"/>
      <c r="F6" s="416"/>
      <c r="G6" s="415">
        <f>IF(data_status_reg!$E20="bajo",0,IF(data_status_reg!$E20="medio",0.5,IF(data_status_reg!$E20="alto",1,"falta riesgo")))</f>
        <v>0</v>
      </c>
      <c r="H6" s="416"/>
      <c r="I6" s="416"/>
      <c r="J6" s="415">
        <f>IF(data_status_reg!$E36="bajo",0,IF(data_status_reg!$E36="medio",0.5,IF(data_status_reg!$E36="alto",1,"falta riesgo")))</f>
        <v>0</v>
      </c>
      <c r="K6" s="416"/>
      <c r="L6" s="416"/>
      <c r="M6" s="415">
        <f>IF(data_status_reg!$E52="bajo",0,IF(data_status_reg!$E52="medio",0.5,IF(data_status_reg!$E52="alto",1,"falta riesgo")))</f>
        <v>0</v>
      </c>
      <c r="N6" s="417"/>
      <c r="O6" s="431"/>
      <c r="P6" s="415">
        <f>IF(data_status_reg!$E68="bajo",0,IF(data_status_reg!$E68="medio",0.5,IF(data_status_reg!$E68="alto",1,"falta riesgo")))</f>
        <v>0</v>
      </c>
      <c r="Q6" s="418"/>
      <c r="R6" s="409"/>
    </row>
    <row r="7" spans="1:21" ht="21">
      <c r="A7" s="410"/>
      <c r="B7" s="429" t="s">
        <v>24</v>
      </c>
      <c r="C7" s="419"/>
      <c r="D7" s="404">
        <f>IF(data_status_reg!$E5="bajo",0,IF(data_status_reg!$E5="medio",0.5,IF(data_status_reg!$E5="alto",1,"falta riesgo")))</f>
        <v>0</v>
      </c>
      <c r="E7" s="405"/>
      <c r="F7" s="405"/>
      <c r="G7" s="404">
        <f>IF(data_status_reg!$E21="bajo",0,IF(data_status_reg!$E21="medio",0.5,IF(data_status_reg!$E21="alto",1,"falta riesgo")))</f>
        <v>0</v>
      </c>
      <c r="H7" s="405"/>
      <c r="I7" s="405"/>
      <c r="J7" s="404">
        <f>IF(data_status_reg!$E37="bajo",0,IF(data_status_reg!$E37="medio",0.5,IF(data_status_reg!$E37="alto",1,"falta riesgo")))</f>
        <v>0</v>
      </c>
      <c r="K7" s="405"/>
      <c r="L7" s="405"/>
      <c r="M7" s="404">
        <f>IF(data_status_reg!$E53="bajo",0,IF(data_status_reg!$E53="medio",0.5,IF(data_status_reg!$E53="alto",1,"falta riesgo")))</f>
        <v>0</v>
      </c>
      <c r="N7" s="402"/>
      <c r="O7" s="432"/>
      <c r="P7" s="404">
        <f>IF(data_status_reg!$E69="bajo",0,IF(data_status_reg!$E69="medio",0.5,IF(data_status_reg!$E69="alto",1,"falta riesgo")))</f>
        <v>0</v>
      </c>
      <c r="Q7" s="420"/>
      <c r="R7" s="3"/>
    </row>
    <row r="8" spans="1:21" ht="21">
      <c r="A8" s="410"/>
      <c r="B8" s="429" t="s">
        <v>25</v>
      </c>
      <c r="C8" s="419"/>
      <c r="D8" s="404">
        <f>IF(data_status_reg!$E6="bajo",0,IF(data_status_reg!$E6="medio",0.5,IF(data_status_reg!$E6="alto",1,"falta riesgo")))</f>
        <v>0</v>
      </c>
      <c r="E8" s="405"/>
      <c r="F8" s="405"/>
      <c r="G8" s="404">
        <f>IF(data_status_reg!$E22="bajo",0,IF(data_status_reg!$E22="medio",0.5,IF(data_status_reg!$E22="alto",1,"falta riesgo")))</f>
        <v>0</v>
      </c>
      <c r="H8" s="405"/>
      <c r="I8" s="405"/>
      <c r="J8" s="404">
        <f>IF(data_status_reg!$E38="bajo",0,IF(data_status_reg!$E38="medio",0.5,IF(data_status_reg!$E38="alto",1,"falta riesgo")))</f>
        <v>0</v>
      </c>
      <c r="K8" s="405"/>
      <c r="L8" s="405"/>
      <c r="M8" s="404">
        <f>IF(data_status_reg!$E54="bajo",0,IF(data_status_reg!$E54="medio",0.5,IF(data_status_reg!$E54="alto",1,"falta riesgo")))</f>
        <v>0</v>
      </c>
      <c r="N8" s="402"/>
      <c r="O8" s="432"/>
      <c r="P8" s="404">
        <f>IF(data_status_reg!$E70="bajo",0,IF(data_status_reg!$E70="medio",0.5,IF(data_status_reg!$E70="alto",1,"falta riesgo")))</f>
        <v>0</v>
      </c>
      <c r="Q8" s="420"/>
      <c r="R8" s="3"/>
    </row>
    <row r="9" spans="1:21" ht="21">
      <c r="A9" s="410"/>
      <c r="B9" s="429" t="s">
        <v>26</v>
      </c>
      <c r="C9" s="419"/>
      <c r="D9" s="404">
        <f>IF(data_status_reg!$E7="bajo",0,IF(data_status_reg!$E7="medio",0.5,IF(data_status_reg!$E7="alto",1,"falta riesgo")))</f>
        <v>0</v>
      </c>
      <c r="E9" s="405"/>
      <c r="F9" s="405"/>
      <c r="G9" s="404">
        <f>IF(data_status_reg!$E23="bajo",0,IF(data_status_reg!$E23="medio",0.5,IF(data_status_reg!$E23="alto",1,"falta riesgo")))</f>
        <v>0</v>
      </c>
      <c r="H9" s="405"/>
      <c r="I9" s="405"/>
      <c r="J9" s="404">
        <f>IF(data_status_reg!$E39="bajo",0,IF(data_status_reg!$E39="medio",0.5,IF(data_status_reg!$E39="alto",1,"falta riesgo")))</f>
        <v>0</v>
      </c>
      <c r="K9" s="405"/>
      <c r="L9" s="405"/>
      <c r="M9" s="404">
        <f>IF(data_status_reg!$E55="bajo",0,IF(data_status_reg!$E55="medio",0.5,IF(data_status_reg!$E55="alto",1,"falta riesgo")))</f>
        <v>0</v>
      </c>
      <c r="N9" s="402"/>
      <c r="O9" s="432"/>
      <c r="P9" s="404">
        <f>IF(data_status_reg!$E71="bajo",0,IF(data_status_reg!$E71="medio",0.5,IF(data_status_reg!$E71="alto",1,"falta riesgo")))</f>
        <v>0</v>
      </c>
      <c r="Q9" s="420"/>
      <c r="R9" s="3"/>
    </row>
    <row r="10" spans="1:21" ht="21">
      <c r="A10" s="410"/>
      <c r="B10" s="429" t="s">
        <v>27</v>
      </c>
      <c r="C10" s="419"/>
      <c r="D10" s="404">
        <f>IF(data_status_reg!$E8="bajo",0,IF(data_status_reg!$E8="medio",0.5,IF(data_status_reg!$E8="alto",1,"falta riesgo")))</f>
        <v>0</v>
      </c>
      <c r="E10" s="405"/>
      <c r="F10" s="405"/>
      <c r="G10" s="404">
        <f>IF(data_status_reg!$E24="bajo",0,IF(data_status_reg!$E24="medio",0.5,IF(data_status_reg!$E24="alto",1,"falta riesgo")))</f>
        <v>0</v>
      </c>
      <c r="H10" s="405"/>
      <c r="I10" s="405"/>
      <c r="J10" s="404">
        <f>IF(data_status_reg!$E40="bajo",0,IF(data_status_reg!$E40="medio",0.5,IF(data_status_reg!$E40="alto",1,"falta riesgo")))</f>
        <v>0</v>
      </c>
      <c r="K10" s="405"/>
      <c r="L10" s="405"/>
      <c r="M10" s="404">
        <f>IF(data_status_reg!$E56="bajo",0,IF(data_status_reg!$E56="medio",0.5,IF(data_status_reg!$E56="alto",1,"falta riesgo")))</f>
        <v>0</v>
      </c>
      <c r="N10" s="402"/>
      <c r="O10" s="432"/>
      <c r="P10" s="404">
        <f>IF(data_status_reg!$E72="bajo",0,IF(data_status_reg!$E72="medio",0.5,IF(data_status_reg!$E72="alto",1,"falta riesgo")))</f>
        <v>0</v>
      </c>
      <c r="Q10" s="420"/>
      <c r="R10" s="3"/>
    </row>
    <row r="11" spans="1:21" ht="21">
      <c r="A11" s="410"/>
      <c r="B11" s="429" t="s">
        <v>28</v>
      </c>
      <c r="C11" s="419"/>
      <c r="D11" s="404">
        <f>IF(data_status_reg!$E9="bajo",0,IF(data_status_reg!$E9="medio",0.5,IF(data_status_reg!$E9="alto",1,"falta riesgo")))</f>
        <v>0</v>
      </c>
      <c r="E11" s="405"/>
      <c r="F11" s="405"/>
      <c r="G11" s="404">
        <f>IF(data_status_reg!$E25="bajo",0,IF(data_status_reg!$E25="medio",0.5,IF(data_status_reg!$E25="alto",1,"falta riesgo")))</f>
        <v>0</v>
      </c>
      <c r="H11" s="405"/>
      <c r="I11" s="405"/>
      <c r="J11" s="404">
        <f>IF(data_status_reg!$E41="bajo",0,IF(data_status_reg!$E41="medio",0.5,IF(data_status_reg!$E41="alto",1,"falta riesgo")))</f>
        <v>0</v>
      </c>
      <c r="K11" s="405"/>
      <c r="L11" s="405"/>
      <c r="M11" s="404">
        <f>IF(data_status_reg!$E57="bajo",0,IF(data_status_reg!$E57="medio",0.5,IF(data_status_reg!$E57="alto",1,"falta riesgo")))</f>
        <v>0</v>
      </c>
      <c r="N11" s="402"/>
      <c r="O11" s="432"/>
      <c r="P11" s="404">
        <f>IF(data_status_reg!$E73="bajo",0,IF(data_status_reg!$E73="medio",0.5,IF(data_status_reg!$E73="alto",1,"falta riesgo")))</f>
        <v>0</v>
      </c>
      <c r="Q11" s="420"/>
      <c r="R11" s="3"/>
    </row>
    <row r="12" spans="1:21" ht="21">
      <c r="A12" s="410"/>
      <c r="B12" s="429" t="s">
        <v>29</v>
      </c>
      <c r="C12" s="419"/>
      <c r="D12" s="404">
        <f>IF(data_status_reg!$E10="bajo",0,IF(data_status_reg!$E10="medio",0.5,IF(data_status_reg!$E10="alto",1,"falta riesgo")))</f>
        <v>0</v>
      </c>
      <c r="E12" s="405"/>
      <c r="F12" s="405"/>
      <c r="G12" s="404">
        <f>IF(data_status_reg!$E26="bajo",0,IF(data_status_reg!$E26="medio",0.5,IF(data_status_reg!$E26="alto",1,"falta riesgo")))</f>
        <v>0</v>
      </c>
      <c r="H12" s="405"/>
      <c r="I12" s="406"/>
      <c r="J12" s="404">
        <f>IF(data_status_reg!$E42="bajo",0,IF(data_status_reg!$E42="medio",0.5,IF(data_status_reg!$E42="alto",1,"falta riesgo")))</f>
        <v>0</v>
      </c>
      <c r="K12" s="406"/>
      <c r="L12" s="406"/>
      <c r="M12" s="404">
        <f>IF(data_status_reg!$E58="bajo",0,IF(data_status_reg!$E58="medio",0.5,IF(data_status_reg!$E58="alto",1,"falta riesgo")))</f>
        <v>0</v>
      </c>
      <c r="N12" s="403"/>
      <c r="O12" s="433"/>
      <c r="P12" s="404">
        <f>IF(data_status_reg!$E74="bajo",0,IF(data_status_reg!$E74="medio",0.5,IF(data_status_reg!$E74="alto",1,"falta riesgo")))</f>
        <v>0</v>
      </c>
      <c r="Q12" s="420"/>
      <c r="R12" s="3"/>
    </row>
    <row r="13" spans="1:21" ht="21">
      <c r="A13" s="410"/>
      <c r="B13" s="429" t="s">
        <v>30</v>
      </c>
      <c r="C13" s="419"/>
      <c r="D13" s="404">
        <f>IF(data_status_reg!$E11="bajo",0,IF(data_status_reg!$E11="medio",0.5,IF(data_status_reg!$E11="alto",1,"falta riesgo")))</f>
        <v>0</v>
      </c>
      <c r="E13" s="405"/>
      <c r="F13" s="405"/>
      <c r="G13" s="404">
        <f>IF(data_status_reg!$E27="bajo",0,IF(data_status_reg!$E27="medio",0.5,IF(data_status_reg!$E27="alto",1,"falta riesgo")))</f>
        <v>0</v>
      </c>
      <c r="H13" s="405"/>
      <c r="I13" s="405"/>
      <c r="J13" s="404">
        <f>IF(data_status_reg!$E43="bajo",0,IF(data_status_reg!$E43="medio",0.5,IF(data_status_reg!$E43="alto",1,"falta riesgo")))</f>
        <v>0</v>
      </c>
      <c r="K13" s="405"/>
      <c r="L13" s="405"/>
      <c r="M13" s="404">
        <f>IF(data_status_reg!$E59="bajo",0,IF(data_status_reg!$E59="medio",0.5,IF(data_status_reg!$E59="alto",1,"falta riesgo")))</f>
        <v>0</v>
      </c>
      <c r="N13" s="402"/>
      <c r="O13" s="432"/>
      <c r="P13" s="404">
        <f>IF(data_status_reg!$E75="bajo",0,IF(data_status_reg!$E75="medio",0.5,IF(data_status_reg!$E75="alto",1,"falta riesgo")))</f>
        <v>0</v>
      </c>
      <c r="Q13" s="420"/>
      <c r="R13" s="3"/>
      <c r="U13" s="16"/>
    </row>
    <row r="14" spans="1:21" ht="21">
      <c r="A14" s="410"/>
      <c r="B14" s="429" t="s">
        <v>31</v>
      </c>
      <c r="C14" s="419"/>
      <c r="D14" s="404">
        <f>IF(data_status_reg!$E12="bajo",0,IF(data_status_reg!$E12="medio",0.5,IF(data_status_reg!$E12="alto",1,"falta riesgo")))</f>
        <v>0</v>
      </c>
      <c r="E14" s="405"/>
      <c r="F14" s="405"/>
      <c r="G14" s="404">
        <f>IF(data_status_reg!$E28="bajo",0,IF(data_status_reg!$E28="medio",0.5,IF(data_status_reg!$E28="alto",1,"falta riesgo")))</f>
        <v>0</v>
      </c>
      <c r="H14" s="405"/>
      <c r="I14" s="405"/>
      <c r="J14" s="404">
        <f>IF(data_status_reg!$E44="bajo",0,IF(data_status_reg!$E44="medio",0.5,IF(data_status_reg!$E44="alto",1,"falta riesgo")))</f>
        <v>0</v>
      </c>
      <c r="K14" s="405"/>
      <c r="L14" s="405"/>
      <c r="M14" s="404">
        <f>IF(data_status_reg!$E60="bajo",0,IF(data_status_reg!$E60="medio",0.5,IF(data_status_reg!$E60="alto",1,"falta riesgo")))</f>
        <v>0</v>
      </c>
      <c r="N14" s="402"/>
      <c r="O14" s="432"/>
      <c r="P14" s="404">
        <f>IF(data_status_reg!$E76="bajo",0,IF(data_status_reg!$E76="medio",0.5,IF(data_status_reg!$E76="alto",1,"falta riesgo")))</f>
        <v>0</v>
      </c>
      <c r="Q14" s="420"/>
      <c r="R14" s="3"/>
    </row>
    <row r="15" spans="1:21" ht="21">
      <c r="A15" s="410"/>
      <c r="B15" s="429" t="s">
        <v>32</v>
      </c>
      <c r="C15" s="419"/>
      <c r="D15" s="404">
        <f>IF(data_status_reg!$E13="bajo",0,IF(data_status_reg!$E13="medio",0.5,IF(data_status_reg!$E13="alto",1,"falta riesgo")))</f>
        <v>0</v>
      </c>
      <c r="E15" s="405"/>
      <c r="F15" s="405"/>
      <c r="G15" s="404">
        <f>IF(data_status_reg!$E29="bajo",0,IF(data_status_reg!$E29="medio",0.5,IF(data_status_reg!$E29="alto",1,"falta riesgo")))</f>
        <v>0</v>
      </c>
      <c r="H15" s="405"/>
      <c r="I15" s="406"/>
      <c r="J15" s="404">
        <f>IF(data_status_reg!$E45="bajo",0,IF(data_status_reg!$E45="medio",0.5,IF(data_status_reg!$E45="alto",1,"falta riesgo")))</f>
        <v>0</v>
      </c>
      <c r="K15" s="406"/>
      <c r="L15" s="406"/>
      <c r="M15" s="404">
        <f>IF(data_status_reg!$E61="bajo",0,IF(data_status_reg!$E61="medio",0.5,IF(data_status_reg!$E61="alto",1,"falta riesgo")))</f>
        <v>0</v>
      </c>
      <c r="N15" s="403"/>
      <c r="O15" s="433"/>
      <c r="P15" s="404">
        <f>IF(data_status_reg!$E77="bajo",0,IF(data_status_reg!$E77="medio",0.5,IF(data_status_reg!$E77="alto",1,"falta riesgo")))</f>
        <v>0</v>
      </c>
      <c r="Q15" s="420"/>
      <c r="R15" s="3"/>
    </row>
    <row r="16" spans="1:21" ht="21">
      <c r="A16" s="410"/>
      <c r="B16" s="429" t="s">
        <v>33</v>
      </c>
      <c r="C16" s="419"/>
      <c r="D16" s="404">
        <f>IF(data_status_reg!$E14="bajo",0,IF(data_status_reg!$E14="medio",0.5,IF(data_status_reg!$E14="alto",1,"falta riesgo")))</f>
        <v>0</v>
      </c>
      <c r="E16" s="405"/>
      <c r="F16" s="405"/>
      <c r="G16" s="404">
        <f>IF(data_status_reg!$E30="bajo",0,IF(data_status_reg!$E30="medio",0.5,IF(data_status_reg!$E30="alto",1,"falta riesgo")))</f>
        <v>0</v>
      </c>
      <c r="H16" s="405"/>
      <c r="I16" s="405"/>
      <c r="J16" s="404">
        <f>IF(data_status_reg!$E46="bajo",0,IF(data_status_reg!$E46="medio",0.5,IF(data_status_reg!$E46="alto",1,"falta riesgo")))</f>
        <v>0</v>
      </c>
      <c r="K16" s="405"/>
      <c r="L16" s="405"/>
      <c r="M16" s="404">
        <f>IF(data_status_reg!$E62="bajo",0,IF(data_status_reg!$E62="medio",0.5,IF(data_status_reg!$E62="alto",1,"falta riesgo")))</f>
        <v>0</v>
      </c>
      <c r="N16" s="402"/>
      <c r="O16" s="432"/>
      <c r="P16" s="404">
        <f>IF(data_status_reg!$E78="bajo",0,IF(data_status_reg!$E78="medio",0.5,IF(data_status_reg!$E78="alto",1,"falta riesgo")))</f>
        <v>0</v>
      </c>
      <c r="Q16" s="420"/>
      <c r="R16" s="3"/>
    </row>
    <row r="17" spans="1:18" ht="21">
      <c r="A17" s="410"/>
      <c r="B17" s="429" t="s">
        <v>34</v>
      </c>
      <c r="C17" s="419"/>
      <c r="D17" s="404">
        <f>IF(data_status_reg!$E15="bajo",0,IF(data_status_reg!$E15="medio",0.5,IF(data_status_reg!$E15="alto",1,"falta riesgo")))</f>
        <v>0</v>
      </c>
      <c r="E17" s="405"/>
      <c r="F17" s="405"/>
      <c r="G17" s="404">
        <f>IF(data_status_reg!$E31="bajo",0,IF(data_status_reg!$E31="medio",0.5,IF(data_status_reg!$E31="alto",1,"falta riesgo")))</f>
        <v>0</v>
      </c>
      <c r="H17" s="405"/>
      <c r="I17" s="405"/>
      <c r="J17" s="404">
        <f>IF(data_status_reg!$E47="bajo",0,IF(data_status_reg!$E47="medio",0.5,IF(data_status_reg!$E47="alto",1,"falta riesgo")))</f>
        <v>0</v>
      </c>
      <c r="K17" s="405"/>
      <c r="L17" s="405"/>
      <c r="M17" s="404">
        <f>IF(data_status_reg!$E63="bajo",0,IF(data_status_reg!$E63="medio",0.5,IF(data_status_reg!$E63="alto",1,"falta riesgo")))</f>
        <v>0</v>
      </c>
      <c r="N17" s="402"/>
      <c r="O17" s="432"/>
      <c r="P17" s="404">
        <f>IF(data_status_reg!$E79="bajo",0,IF(data_status_reg!$E79="medio",0.5,IF(data_status_reg!$E79="alto",1,"falta riesgo")))</f>
        <v>0</v>
      </c>
      <c r="Q17" s="420"/>
      <c r="R17" s="3"/>
    </row>
    <row r="18" spans="1:18" ht="21">
      <c r="A18" s="410"/>
      <c r="B18" s="429" t="s">
        <v>35</v>
      </c>
      <c r="C18" s="419"/>
      <c r="D18" s="404">
        <f>IF(data_status_reg!$E16="bajo",0,IF(data_status_reg!$E16="medio",0.5,IF(data_status_reg!$E16="alto",1,"falta riesgo")))</f>
        <v>0</v>
      </c>
      <c r="E18" s="405"/>
      <c r="F18" s="405"/>
      <c r="G18" s="435" t="s">
        <v>93</v>
      </c>
      <c r="H18" s="405"/>
      <c r="I18" s="405"/>
      <c r="J18" s="404">
        <f>IF(data_status_reg!$E48="bajo",0,IF(data_status_reg!$E48="medio",0.5,IF(data_status_reg!$E48="alto",1,"falta riesgo")))</f>
        <v>0</v>
      </c>
      <c r="K18" s="405"/>
      <c r="M18" s="404">
        <f>IF(data_status_reg!$E64="bajo",0,IF(data_status_reg!$E64="medio",0.5,IF(data_status_reg!$E64="alto",1,"falta riesgo")))</f>
        <v>0</v>
      </c>
      <c r="N18" s="403"/>
      <c r="O18" s="433"/>
      <c r="P18" s="404">
        <f>IF(data_status_reg!$E80="bajo",0,IF(data_status_reg!$E80="medio",0.5,IF(data_status_reg!$E80="alto",1,"falta riesgo")))</f>
        <v>0</v>
      </c>
      <c r="Q18" s="420"/>
      <c r="R18" s="3"/>
    </row>
    <row r="19" spans="1:18" ht="21">
      <c r="A19" s="410"/>
      <c r="B19" s="429" t="s">
        <v>36</v>
      </c>
      <c r="C19" s="419"/>
      <c r="D19" s="404">
        <f>IF(data_status_reg!$E17="bajo",0,IF(data_status_reg!$E17="medio",0.5,IF(data_status_reg!$E17="alto",1,"falta riesgo")))</f>
        <v>0</v>
      </c>
      <c r="E19" s="405"/>
      <c r="F19" s="405"/>
      <c r="G19" s="404">
        <f>IF(data_status_reg!$E33="bajo",0,IF(data_status_reg!$E33="medio",0.5,IF(data_status_reg!$E33="alto",1,"falta riesgo")))</f>
        <v>0</v>
      </c>
      <c r="H19" s="405"/>
      <c r="I19" s="405"/>
      <c r="J19" s="404">
        <f>IF(data_status_reg!$E49="bajo",0,IF(data_status_reg!$E49="medio",0.5,IF(data_status_reg!$E49="alto",1,"falta riesgo")))</f>
        <v>0</v>
      </c>
      <c r="K19" s="405"/>
      <c r="L19" s="405"/>
      <c r="M19" s="404">
        <f>IF(data_status_reg!$E65="bajo",0,IF(data_status_reg!$E65="medio",0.5,IF(data_status_reg!$E65="alto",1,"falta riesgo")))</f>
        <v>0</v>
      </c>
      <c r="N19" s="402"/>
      <c r="O19" s="432"/>
      <c r="P19" s="404">
        <f>IF(data_status_reg!$E81="bajo",0,IF(data_status_reg!$E81="medio",0.5,IF(data_status_reg!$E81="alto",1,"falta riesgo")))</f>
        <v>0</v>
      </c>
      <c r="Q19" s="420"/>
      <c r="R19" s="3"/>
    </row>
    <row r="20" spans="1:18" ht="21">
      <c r="A20" s="410"/>
      <c r="B20" s="429" t="s">
        <v>37</v>
      </c>
      <c r="C20" s="419"/>
      <c r="D20" s="404">
        <f>IF(data_status_reg!$E18="bajo",0,IF(data_status_reg!$E18="medio",0.5,IF(data_status_reg!$E18="alto",1,"falta riesgo")))</f>
        <v>0</v>
      </c>
      <c r="E20" s="405"/>
      <c r="F20" s="405"/>
      <c r="G20" s="404">
        <f>IF(data_status_reg!$E34="bajo",0,IF(data_status_reg!$E34="medio",0.5,IF(data_status_reg!$E34="alto",1,"falta riesgo")))</f>
        <v>0</v>
      </c>
      <c r="H20" s="405"/>
      <c r="I20" s="405"/>
      <c r="J20" s="404">
        <f>IF(data_status_reg!$E50="bajo",0,IF(data_status_reg!$E50="medio",0.5,IF(data_status_reg!$E50="alto",1,"falta riesgo")))</f>
        <v>0</v>
      </c>
      <c r="K20" s="405"/>
      <c r="L20" s="405"/>
      <c r="M20" s="404">
        <f>IF(data_status_reg!$E66="bajo",0,IF(data_status_reg!$E66="medio",0.5,IF(data_status_reg!$E66="alto",1,"falta riesgo")))</f>
        <v>0</v>
      </c>
      <c r="N20" s="402"/>
      <c r="O20" s="432"/>
      <c r="P20" s="404">
        <f>IF(data_status_reg!$E82="bajo",0,IF(data_status_reg!$E82="medio",0.5,IF(data_status_reg!$E82="alto",1,"falta riesgo")))</f>
        <v>0</v>
      </c>
      <c r="Q20" s="420"/>
      <c r="R20" s="3"/>
    </row>
    <row r="21" spans="1:18" ht="21.75" thickBot="1">
      <c r="A21" s="410"/>
      <c r="B21" s="430" t="s">
        <v>38</v>
      </c>
      <c r="C21" s="421"/>
      <c r="D21" s="422">
        <f>IF(data_status_reg!$E19="bajo",0,IF(data_status_reg!$E19="medio",0.5,IF(data_status_reg!$E19="alto",1,"falta riesgo")))</f>
        <v>0</v>
      </c>
      <c r="E21" s="423"/>
      <c r="F21" s="423"/>
      <c r="G21" s="436" t="s">
        <v>93</v>
      </c>
      <c r="H21" s="423"/>
      <c r="I21" s="423"/>
      <c r="J21" s="422">
        <f>IF(data_status_reg!$E51="bajo",0,IF(data_status_reg!$E51="medio",0.5,IF(data_status_reg!$E51="alto",1,"falta riesgo")))</f>
        <v>0</v>
      </c>
      <c r="K21" s="423"/>
      <c r="L21" s="424"/>
      <c r="M21" s="425">
        <f>IF(data_status_reg!$E67="bajo",0,IF(data_status_reg!$E67="medio",0.5,IF(data_status_reg!$E67="alto",1,"falta riesgo")))</f>
        <v>0</v>
      </c>
      <c r="N21" s="426"/>
      <c r="O21" s="434"/>
      <c r="P21" s="422">
        <f>IF(data_status_reg!$E83="bajo",0,IF(data_status_reg!$E83="medio",0.5,IF(data_status_reg!$E83="alto",1,"falta riesgo")))</f>
        <v>0</v>
      </c>
      <c r="Q21" s="427"/>
      <c r="R21" s="3"/>
    </row>
    <row r="22" spans="1:18">
      <c r="A22" s="410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412"/>
      <c r="B23" s="413"/>
      <c r="C23" s="413"/>
      <c r="D23" s="413"/>
      <c r="E23" s="413"/>
      <c r="F23" s="413"/>
      <c r="G23" s="413"/>
      <c r="H23" s="413"/>
      <c r="I23" s="413"/>
      <c r="J23" s="413"/>
      <c r="K23" s="413"/>
      <c r="L23" s="413"/>
      <c r="M23" s="413"/>
      <c r="N23" s="413"/>
      <c r="O23" s="413"/>
      <c r="P23" s="413"/>
      <c r="Q23" s="413"/>
      <c r="R23" s="413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1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2" t="s">
        <v>43</v>
      </c>
      <c r="D3" s="5">
        <f>IF(J5="bajo",0,IF(J5="medio",0.5,IF(J5="alto",1,"falta riesgo")))</f>
        <v>0</v>
      </c>
      <c r="E3" s="4"/>
      <c r="I3" t="s">
        <v>236</v>
      </c>
      <c r="J3" s="6" t="s">
        <v>13</v>
      </c>
    </row>
    <row r="4" spans="1:10" ht="18" customHeight="1">
      <c r="A4" s="15"/>
      <c r="B4" s="15"/>
      <c r="C4" s="42" t="s">
        <v>44</v>
      </c>
      <c r="D4" s="5">
        <f t="shared" ref="D4" si="0">IF(J4="bajo",0,IF(J4="medio",0.5,IF(J4="alto",1,"falta riesgo")))</f>
        <v>0</v>
      </c>
      <c r="E4" s="4"/>
      <c r="I4" t="s">
        <v>237</v>
      </c>
      <c r="J4" s="6" t="s">
        <v>13</v>
      </c>
    </row>
    <row r="5" spans="1:10" ht="18" customHeight="1">
      <c r="A5" s="15"/>
      <c r="B5" s="15"/>
      <c r="C5" s="42" t="s">
        <v>42</v>
      </c>
      <c r="D5" s="5">
        <f>IF(J3="bajo",0,IF(J3="medio",0.5,IF(J3="alto",1,"falta riesgo")))</f>
        <v>0</v>
      </c>
      <c r="E5" s="4"/>
      <c r="I5" t="s">
        <v>238</v>
      </c>
      <c r="J5" s="6" t="s">
        <v>13</v>
      </c>
    </row>
    <row r="6" spans="1:10" ht="18" customHeight="1">
      <c r="A6" s="15"/>
      <c r="B6" s="15"/>
      <c r="C6" s="42"/>
      <c r="D6" s="5"/>
      <c r="E6" s="4"/>
      <c r="I6" t="s">
        <v>236</v>
      </c>
      <c r="J6" s="6" t="s">
        <v>13</v>
      </c>
    </row>
    <row r="7" spans="1:10" ht="18" customHeight="1">
      <c r="A7" s="15" t="s">
        <v>46</v>
      </c>
      <c r="B7" s="15"/>
      <c r="C7" s="42" t="s">
        <v>47</v>
      </c>
      <c r="D7" s="5">
        <f>IF(J9="bajo",0,IF(J9="medio",0.5,IF(J9="alto",1,"falta riesgo")))</f>
        <v>0</v>
      </c>
      <c r="E7" s="4"/>
      <c r="I7" t="s">
        <v>237</v>
      </c>
      <c r="J7" s="6" t="s">
        <v>13</v>
      </c>
    </row>
    <row r="8" spans="1:10" ht="18" customHeight="1">
      <c r="A8" s="15"/>
      <c r="B8" s="15"/>
      <c r="C8" s="42" t="s">
        <v>48</v>
      </c>
      <c r="D8" s="5">
        <f>IF(J14="bajo",0,IF(J14="medio",0.5,IF(J14="alto",1,"falta riesgo")))</f>
        <v>0</v>
      </c>
      <c r="E8" s="4"/>
      <c r="I8" t="s">
        <v>238</v>
      </c>
      <c r="J8" s="6" t="s">
        <v>13</v>
      </c>
    </row>
    <row r="9" spans="1:10" ht="18" customHeight="1">
      <c r="A9" s="15"/>
      <c r="B9" s="15"/>
      <c r="C9" s="42" t="s">
        <v>49</v>
      </c>
      <c r="D9" s="5">
        <f>IF(J15="bajo",0,IF(J15="medio",0.5,IF(J15="alto",1,"falta riesgo")))</f>
        <v>0</v>
      </c>
      <c r="E9" s="4"/>
      <c r="I9" t="s">
        <v>239</v>
      </c>
      <c r="J9" s="6" t="s">
        <v>13</v>
      </c>
    </row>
    <row r="10" spans="1:10" ht="18" customHeight="1">
      <c r="A10" s="15"/>
      <c r="B10" s="15"/>
      <c r="C10" s="42" t="s">
        <v>50</v>
      </c>
      <c r="D10" s="5">
        <f>IF(J10="bajo",0,IF(J10="medio",0.5,IF(J10="alto",1,"falta riesgo")))</f>
        <v>0</v>
      </c>
      <c r="E10" s="4"/>
      <c r="I10" t="s">
        <v>240</v>
      </c>
      <c r="J10" s="6" t="s">
        <v>13</v>
      </c>
    </row>
    <row r="11" spans="1:10" ht="18" customHeight="1">
      <c r="A11" s="15"/>
      <c r="B11" s="15"/>
      <c r="C11" s="42" t="s">
        <v>51</v>
      </c>
      <c r="D11" s="5">
        <f>IF(J12="bajo",0,IF(J12="medio",0.5,IF(J12="alto",1,"falta riesgo")))</f>
        <v>0</v>
      </c>
      <c r="E11" s="4"/>
      <c r="I11" t="s">
        <v>241</v>
      </c>
      <c r="J11" s="6" t="s">
        <v>13</v>
      </c>
    </row>
    <row r="12" spans="1:10" ht="18" customHeight="1">
      <c r="A12" s="15"/>
      <c r="B12" s="15"/>
      <c r="C12" s="42" t="s">
        <v>52</v>
      </c>
      <c r="D12" s="5">
        <f>IF(J13="bajo",0,IF(J13="medio",0.5,IF(J13="alto",1,"falta riesgo")))</f>
        <v>0</v>
      </c>
      <c r="E12" s="4"/>
      <c r="I12" t="s">
        <v>242</v>
      </c>
      <c r="J12" s="6" t="s">
        <v>13</v>
      </c>
    </row>
    <row r="13" spans="1:10" ht="18" customHeight="1">
      <c r="A13" s="15"/>
      <c r="B13" s="15"/>
      <c r="C13" s="42" t="s">
        <v>45</v>
      </c>
      <c r="D13" s="5">
        <f>IF(J11="bajo",0,IF(J11="medio",0.5,IF(J11="alto",1,"falta riesgo")))</f>
        <v>0</v>
      </c>
      <c r="E13" s="4"/>
      <c r="I13" t="s">
        <v>243</v>
      </c>
      <c r="J13" s="6" t="s">
        <v>13</v>
      </c>
    </row>
    <row r="14" spans="1:10" ht="18" customHeight="1">
      <c r="A14" s="15"/>
      <c r="B14" s="15"/>
      <c r="C14" s="42"/>
      <c r="D14" s="5"/>
      <c r="E14" s="4"/>
      <c r="I14" t="s">
        <v>244</v>
      </c>
      <c r="J14" s="6" t="s">
        <v>13</v>
      </c>
    </row>
    <row r="15" spans="1:10" ht="18" customHeight="1">
      <c r="A15" s="15" t="s">
        <v>18</v>
      </c>
      <c r="B15" s="15"/>
      <c r="C15" s="42" t="s">
        <v>54</v>
      </c>
      <c r="D15" s="5">
        <f>IF(J18="bajo",0,IF(J18="medio",0.5,IF(J18="alto",1,"falta riesgo")))</f>
        <v>0</v>
      </c>
      <c r="E15" s="4"/>
      <c r="I15" t="s">
        <v>245</v>
      </c>
      <c r="J15" s="6" t="s">
        <v>13</v>
      </c>
    </row>
    <row r="16" spans="1:10" ht="18" customHeight="1">
      <c r="A16" s="15"/>
      <c r="B16" s="15"/>
      <c r="C16" s="42" t="s">
        <v>55</v>
      </c>
      <c r="D16" s="5">
        <f>IF(J17="bajo",0,IF(J17="medio",0.5,IF(J17="alto",1,"falta riesgo")))</f>
        <v>0</v>
      </c>
      <c r="E16" s="4"/>
      <c r="I16" t="s">
        <v>246</v>
      </c>
      <c r="J16" s="6" t="s">
        <v>13</v>
      </c>
    </row>
    <row r="17" spans="1:10" ht="18" customHeight="1">
      <c r="A17" s="15"/>
      <c r="B17" s="15"/>
      <c r="C17" s="42" t="s">
        <v>56</v>
      </c>
      <c r="D17" s="5">
        <f>IF(J19="bajo",0,IF(J19="medio",0.5,IF(J19="alto",1,"falta riesgo")))</f>
        <v>0</v>
      </c>
      <c r="E17" s="4"/>
      <c r="I17" t="s">
        <v>247</v>
      </c>
      <c r="J17" s="6" t="s">
        <v>13</v>
      </c>
    </row>
    <row r="18" spans="1:10" ht="21">
      <c r="A18" s="15"/>
      <c r="B18" s="15"/>
      <c r="C18" s="42" t="s">
        <v>57</v>
      </c>
      <c r="D18" s="5">
        <f>IF(J16="bajo",0,IF(J16="medio",0.5,IF(J16="alto",1,"falta riesgo")))</f>
        <v>0</v>
      </c>
      <c r="E18" s="4"/>
      <c r="I18" t="s">
        <v>248</v>
      </c>
      <c r="J18" s="6" t="s">
        <v>13</v>
      </c>
    </row>
    <row r="19" spans="1:10" ht="18" customHeight="1">
      <c r="A19" s="15"/>
      <c r="B19" s="15"/>
      <c r="C19" s="42"/>
      <c r="D19" s="5"/>
      <c r="E19" s="4"/>
      <c r="I19" t="s">
        <v>249</v>
      </c>
      <c r="J19" s="6" t="s">
        <v>13</v>
      </c>
    </row>
    <row r="20" spans="1:10" ht="18" customHeight="1">
      <c r="A20" s="15" t="s">
        <v>19</v>
      </c>
      <c r="B20" s="15"/>
      <c r="C20" s="42" t="s">
        <v>58</v>
      </c>
      <c r="D20" s="5">
        <f>IF(J22="bajo",0,IF(J22="medio",0.5,IF(J22="alto",1,"falta riesgo")))</f>
        <v>0</v>
      </c>
      <c r="E20" s="4"/>
      <c r="I20" t="s">
        <v>250</v>
      </c>
      <c r="J20" s="6" t="s">
        <v>13</v>
      </c>
    </row>
    <row r="21" spans="1:10" ht="18" customHeight="1">
      <c r="A21" s="15"/>
      <c r="B21" s="15"/>
      <c r="C21" s="42" t="s">
        <v>59</v>
      </c>
      <c r="D21" s="5">
        <f>IF(J24="bajo",0,IF(J24="medio",0.5,IF(J24="alto",1,"falta riesgo")))</f>
        <v>0</v>
      </c>
      <c r="E21" s="4"/>
      <c r="I21" t="s">
        <v>251</v>
      </c>
      <c r="J21" s="6" t="s">
        <v>13</v>
      </c>
    </row>
    <row r="22" spans="1:10" ht="18" customHeight="1">
      <c r="A22" s="15"/>
      <c r="B22" s="15"/>
      <c r="C22" s="42" t="s">
        <v>60</v>
      </c>
      <c r="D22" s="5">
        <f>IF(J23="bajo",0,IF(J23="medio",0.5,IF(J23="alto",1,"falta riesgo")))</f>
        <v>0</v>
      </c>
      <c r="E22" s="4"/>
      <c r="I22" t="s">
        <v>252</v>
      </c>
      <c r="J22" s="6" t="s">
        <v>13</v>
      </c>
    </row>
    <row r="23" spans="1:10" ht="18" customHeight="1">
      <c r="A23" s="15"/>
      <c r="B23" s="15"/>
      <c r="C23" s="42" t="s">
        <v>61</v>
      </c>
      <c r="D23" s="5">
        <f>IF(J21="bajo",0,IF(J21="medio",0.5,IF(J21="alto",1,"falta riesgo")))</f>
        <v>0</v>
      </c>
      <c r="E23" s="4"/>
      <c r="I23" t="s">
        <v>253</v>
      </c>
      <c r="J23" s="6" t="s">
        <v>13</v>
      </c>
    </row>
    <row r="24" spans="1:10" ht="18" customHeight="1">
      <c r="A24" s="15"/>
      <c r="B24" s="15"/>
      <c r="C24" s="42" t="s">
        <v>53</v>
      </c>
      <c r="D24" s="5">
        <f>IF(J20="bajo",0,IF(J20="medio",0.5,IF(J20="alto",1,"falta riesgo")))</f>
        <v>0</v>
      </c>
      <c r="E24" s="4"/>
      <c r="I24" t="s">
        <v>254</v>
      </c>
      <c r="J24" s="6" t="s">
        <v>13</v>
      </c>
    </row>
    <row r="25" spans="1:10" ht="18" customHeight="1">
      <c r="A25" s="15"/>
      <c r="B25" s="15"/>
      <c r="C25" s="42"/>
      <c r="D25" s="5"/>
      <c r="E25" s="4"/>
      <c r="I25" t="s">
        <v>255</v>
      </c>
      <c r="J25" s="6" t="s">
        <v>13</v>
      </c>
    </row>
    <row r="26" spans="1:10" ht="18" customHeight="1">
      <c r="A26" s="15" t="s">
        <v>17</v>
      </c>
      <c r="B26" s="15"/>
      <c r="C26" s="42" t="s">
        <v>62</v>
      </c>
      <c r="D26" s="5">
        <f>IF(J27="bajo",0,IF(J27="medio",0.5,IF(J27="alto",1,"falta riesgo")))</f>
        <v>0</v>
      </c>
      <c r="E26" s="4"/>
      <c r="I26" t="s">
        <v>256</v>
      </c>
      <c r="J26" s="6" t="s">
        <v>13</v>
      </c>
    </row>
    <row r="27" spans="1:10" ht="22.5" customHeight="1">
      <c r="A27" s="15"/>
      <c r="B27" s="15"/>
      <c r="C27" s="42" t="s">
        <v>63</v>
      </c>
      <c r="D27" s="5">
        <f>IF(J26="bajo",0,IF(J26="medio",0.5,IF(J26="alto",1,"falta riesgo")))</f>
        <v>0</v>
      </c>
      <c r="E27" s="4"/>
      <c r="I27" t="s">
        <v>257</v>
      </c>
      <c r="J27" s="6" t="s">
        <v>13</v>
      </c>
    </row>
    <row r="28" spans="1:10" ht="18" customHeight="1">
      <c r="A28" s="15"/>
      <c r="B28" s="15"/>
      <c r="C28" s="42" t="s">
        <v>64</v>
      </c>
      <c r="D28" s="5">
        <f>IF(J25="bajo",0,IF(J25="medio",0.5,IF(J25="alto",1,"falta riesgo")))</f>
        <v>0</v>
      </c>
      <c r="E28" s="4"/>
      <c r="I28" t="s">
        <v>258</v>
      </c>
      <c r="J28" s="6" t="s">
        <v>13</v>
      </c>
    </row>
    <row r="29" spans="1:10" ht="18" customHeight="1">
      <c r="A29" s="15"/>
      <c r="B29" s="15"/>
      <c r="C29" s="42" t="s">
        <v>65</v>
      </c>
      <c r="D29" s="5">
        <f>IF(J30="bajo",0,IF(J30="medio",0.5,IF(J30="alto",1,"falta riesgo")))</f>
        <v>0</v>
      </c>
      <c r="E29" s="4"/>
      <c r="I29" t="s">
        <v>259</v>
      </c>
      <c r="J29" s="6" t="s">
        <v>13</v>
      </c>
    </row>
    <row r="30" spans="1:10" ht="18" customHeight="1">
      <c r="A30" s="15"/>
      <c r="B30" s="15"/>
      <c r="C30" s="42" t="s">
        <v>66</v>
      </c>
      <c r="D30" s="5">
        <f>IF(J31="bajo",0,IF(J31="medio",0.5,IF(J31="alto",1,"falta riesgo")))</f>
        <v>0</v>
      </c>
      <c r="E30" s="4"/>
      <c r="I30" t="s">
        <v>260</v>
      </c>
      <c r="J30" s="6" t="s">
        <v>13</v>
      </c>
    </row>
    <row r="31" spans="1:10" ht="18" customHeight="1">
      <c r="A31" s="15"/>
      <c r="B31" s="15"/>
      <c r="C31" s="42" t="s">
        <v>67</v>
      </c>
      <c r="D31" s="5">
        <f>IF(J32="bajo",0,IF(J32="medio",0.5,IF(J32="alto",1,"falta riesgo")))</f>
        <v>0</v>
      </c>
      <c r="E31" s="4"/>
      <c r="I31" t="s">
        <v>261</v>
      </c>
      <c r="J31" s="6" t="s">
        <v>13</v>
      </c>
    </row>
    <row r="32" spans="1:10" ht="18" customHeight="1">
      <c r="A32" s="15"/>
      <c r="B32" s="15"/>
      <c r="C32" s="42" t="s">
        <v>68</v>
      </c>
      <c r="D32" s="5">
        <f>IF(J28="bajo",0,IF(J28="medio",0.5,IF(J28="alto",1,"falta riesgo")))</f>
        <v>0</v>
      </c>
      <c r="E32" s="4"/>
      <c r="I32" t="s">
        <v>262</v>
      </c>
      <c r="J32" s="6" t="s">
        <v>13</v>
      </c>
    </row>
    <row r="33" spans="1:10" ht="18" customHeight="1">
      <c r="A33" s="15"/>
      <c r="B33" s="15"/>
      <c r="C33" s="42" t="s">
        <v>69</v>
      </c>
      <c r="D33" s="5">
        <f>IF(J29="bajo",0,IF(J29="medio",0.5,IF(J29="alto",1,"falta riesgo")))</f>
        <v>0</v>
      </c>
      <c r="E33" s="4"/>
      <c r="I33" t="s">
        <v>263</v>
      </c>
      <c r="J33" s="6" t="s">
        <v>13</v>
      </c>
    </row>
    <row r="34" spans="1:10" ht="18" customHeight="1">
      <c r="A34" s="15"/>
      <c r="B34" s="15"/>
      <c r="C34" s="42"/>
      <c r="D34" s="5"/>
      <c r="E34" s="4"/>
      <c r="I34" t="s">
        <v>264</v>
      </c>
      <c r="J34" s="6" t="s">
        <v>13</v>
      </c>
    </row>
    <row r="35" spans="1:10" ht="18" customHeight="1">
      <c r="A35" s="15" t="s">
        <v>16</v>
      </c>
      <c r="B35" s="15"/>
      <c r="C35" s="42" t="s">
        <v>70</v>
      </c>
      <c r="D35" s="5">
        <f>IF(J33="bajo",0,IF(J33="medio",0.5,IF(J33="alto",1,"falta riesgo")))</f>
        <v>0</v>
      </c>
      <c r="E35" s="4"/>
      <c r="I35" t="s">
        <v>265</v>
      </c>
      <c r="J35" s="6" t="s">
        <v>13</v>
      </c>
    </row>
    <row r="36" spans="1:10" ht="18" customHeight="1">
      <c r="A36" s="15"/>
      <c r="B36" s="15"/>
      <c r="C36" s="42" t="s">
        <v>71</v>
      </c>
      <c r="D36" s="5">
        <f>IF(J34="bajo",0,IF(J34="medio",0.5,IF(J34="alto",1,"falta riesgo")))</f>
        <v>0</v>
      </c>
      <c r="E36" s="4"/>
      <c r="I36" t="s">
        <v>266</v>
      </c>
      <c r="J36" s="6" t="s">
        <v>13</v>
      </c>
    </row>
    <row r="37" spans="1:10" ht="18" customHeight="1">
      <c r="A37" s="15"/>
      <c r="B37" s="15"/>
      <c r="C37" s="42" t="s">
        <v>72</v>
      </c>
      <c r="D37" s="5">
        <f>IF(J36="bajo",0,IF(J36="medio",0.5,IF(J36="alto",1,"falta riesgo")))</f>
        <v>0</v>
      </c>
      <c r="E37" s="4"/>
      <c r="I37" t="s">
        <v>267</v>
      </c>
      <c r="J37" s="6" t="s">
        <v>13</v>
      </c>
    </row>
    <row r="38" spans="1:10" ht="18" customHeight="1">
      <c r="A38" s="15"/>
      <c r="B38" s="15"/>
      <c r="C38" s="42" t="s">
        <v>73</v>
      </c>
      <c r="D38" s="5">
        <f>IF(J37="bajo",0,IF(J37="medio",0.5,IF(J37="alto",1,"falta riesgo")))</f>
        <v>0</v>
      </c>
      <c r="E38" s="4"/>
      <c r="I38" t="s">
        <v>268</v>
      </c>
      <c r="J38" s="6" t="s">
        <v>13</v>
      </c>
    </row>
    <row r="39" spans="1:10" ht="18" customHeight="1">
      <c r="A39" s="15"/>
      <c r="B39" s="15"/>
      <c r="C39" s="42" t="s">
        <v>74</v>
      </c>
      <c r="D39" s="5">
        <f>IF(J35="bajo",0,IF(J35="medio",0.5,IF(J35="alto",1,"falta riesgo")))</f>
        <v>0</v>
      </c>
      <c r="E39" s="4"/>
      <c r="I39" t="s">
        <v>269</v>
      </c>
      <c r="J39" s="6" t="s">
        <v>13</v>
      </c>
    </row>
    <row r="40" spans="1:10" ht="18" customHeight="1">
      <c r="A40" s="15"/>
      <c r="B40" s="15"/>
      <c r="C40" s="42"/>
      <c r="D40" s="5"/>
      <c r="E40" s="4"/>
      <c r="I40" t="s">
        <v>270</v>
      </c>
      <c r="J40" s="6" t="s">
        <v>13</v>
      </c>
    </row>
    <row r="41" spans="1:10" ht="18" customHeight="1">
      <c r="A41" s="15" t="s">
        <v>20</v>
      </c>
      <c r="B41" s="15"/>
      <c r="C41" s="42" t="s">
        <v>75</v>
      </c>
      <c r="D41" s="5">
        <f>IF(J38="bajo",0,IF(J38="medio",0.5,IF(J38="alto",1,"falta riesgo")))</f>
        <v>0</v>
      </c>
      <c r="E41" s="4"/>
      <c r="I41" t="s">
        <v>271</v>
      </c>
      <c r="J41" s="6" t="s">
        <v>13</v>
      </c>
    </row>
    <row r="42" spans="1:10" ht="18" customHeight="1">
      <c r="A42" s="15"/>
      <c r="B42" s="15"/>
      <c r="C42" s="42" t="s">
        <v>76</v>
      </c>
      <c r="D42" s="5">
        <f>IF(J39="bajo",0,IF(J39="medio",0.5,IF(J39="alto",1,"falta riesgo")))</f>
        <v>0</v>
      </c>
      <c r="E42" s="4"/>
      <c r="I42" t="s">
        <v>272</v>
      </c>
      <c r="J42" s="6" t="s">
        <v>13</v>
      </c>
    </row>
    <row r="43" spans="1:10" ht="18" customHeight="1">
      <c r="A43" s="15"/>
      <c r="B43" s="15"/>
      <c r="C43" s="42" t="s">
        <v>77</v>
      </c>
      <c r="D43" s="5">
        <f>IF(J40="bajo",0,IF(J40="medio",0.5,IF(J40="alto",1,"falta riesgo")))</f>
        <v>0</v>
      </c>
      <c r="E43" s="4"/>
      <c r="I43" t="s">
        <v>273</v>
      </c>
      <c r="J43" s="6" t="s">
        <v>13</v>
      </c>
    </row>
    <row r="44" spans="1:10" ht="18" customHeight="1">
      <c r="A44" s="15"/>
      <c r="B44" s="15"/>
      <c r="C44" s="42" t="s">
        <v>78</v>
      </c>
      <c r="D44" s="5">
        <f>IF(J41="bajo",0,IF(J41="medio",0.5,IF(J41="alto",1,"falta riesgo")))</f>
        <v>0</v>
      </c>
      <c r="E44" s="4"/>
      <c r="I44" t="s">
        <v>274</v>
      </c>
      <c r="J44" s="6" t="s">
        <v>13</v>
      </c>
    </row>
    <row r="45" spans="1:10" ht="18" customHeight="1">
      <c r="A45" s="15"/>
      <c r="B45" s="15"/>
      <c r="C45" s="42" t="s">
        <v>79</v>
      </c>
      <c r="D45" s="5">
        <f>IF(J43="bajo",0,IF(J43="medio",0.5,IF(J43="alto",1,"falta riesgo")))</f>
        <v>0</v>
      </c>
      <c r="E45" s="4"/>
      <c r="I45" t="s">
        <v>275</v>
      </c>
      <c r="J45" s="6" t="s">
        <v>13</v>
      </c>
    </row>
    <row r="46" spans="1:10" ht="20.25" customHeight="1">
      <c r="A46" s="15"/>
      <c r="B46" s="15"/>
      <c r="C46" s="42" t="s">
        <v>80</v>
      </c>
      <c r="D46" s="5">
        <f>IF(J42="bajo",0,IF(J42="medio",0.5,IF(J42="alto",1,"falta riesgo")))</f>
        <v>0</v>
      </c>
      <c r="E46" s="4"/>
      <c r="I46" t="s">
        <v>276</v>
      </c>
      <c r="J46" s="6" t="s">
        <v>13</v>
      </c>
    </row>
    <row r="47" spans="1:10" ht="18" customHeight="1">
      <c r="A47" s="15"/>
      <c r="B47" s="15"/>
      <c r="C47" s="42"/>
      <c r="D47" s="5"/>
      <c r="E47" s="4"/>
      <c r="I47" t="s">
        <v>277</v>
      </c>
      <c r="J47" s="6" t="s">
        <v>13</v>
      </c>
    </row>
    <row r="48" spans="1:10" ht="18" customHeight="1">
      <c r="A48" s="15" t="s">
        <v>22</v>
      </c>
      <c r="B48" s="15"/>
      <c r="C48" s="42" t="s">
        <v>81</v>
      </c>
      <c r="D48" s="5">
        <f>IF(J49="bajo",0,IF(J49="medio",0.5,IF(J49="alto",1,"falta riesgo")))</f>
        <v>0</v>
      </c>
      <c r="E48" s="4"/>
      <c r="I48" t="s">
        <v>278</v>
      </c>
      <c r="J48" s="6" t="s">
        <v>13</v>
      </c>
    </row>
    <row r="49" spans="1:10" ht="18" customHeight="1">
      <c r="A49" s="15"/>
      <c r="B49" s="15"/>
      <c r="C49" s="42" t="s">
        <v>82</v>
      </c>
      <c r="D49" s="5">
        <f>IF(J44="bajo",0,IF(J44="medio",0.5,IF(J44="alto",1,"falta riesgo")))</f>
        <v>0</v>
      </c>
      <c r="E49" s="4"/>
      <c r="I49" t="s">
        <v>279</v>
      </c>
      <c r="J49" s="6" t="s">
        <v>13</v>
      </c>
    </row>
    <row r="50" spans="1:10" ht="18" customHeight="1">
      <c r="A50" s="15"/>
      <c r="B50" s="15"/>
      <c r="C50" s="42" t="s">
        <v>83</v>
      </c>
      <c r="D50" s="5">
        <f>IF(J46="bajo",0,IF(J46="medio",0.5,IF(J46="alto",1,"falta riesgo")))</f>
        <v>0</v>
      </c>
      <c r="E50" s="4"/>
    </row>
    <row r="51" spans="1:10" ht="18" customHeight="1">
      <c r="A51" s="15"/>
      <c r="B51" s="15"/>
      <c r="C51" s="42" t="s">
        <v>84</v>
      </c>
      <c r="D51" s="5">
        <f>IF(J47="bajo",0,IF(J47="medio",0.5,IF(J47="alto",1,"falta riesgo")))</f>
        <v>0</v>
      </c>
      <c r="E51" s="4"/>
    </row>
    <row r="52" spans="1:10" ht="18" customHeight="1">
      <c r="A52" s="15"/>
      <c r="B52" s="15"/>
      <c r="C52" s="42" t="s">
        <v>85</v>
      </c>
      <c r="D52" s="5">
        <f>IF(J48="bajo",0,IF(J48="medio",0.5,IF(J48="alto",1,"falta riesgo")))</f>
        <v>0</v>
      </c>
      <c r="E52" s="4"/>
    </row>
    <row r="53" spans="1:10" ht="18" customHeight="1">
      <c r="A53" s="15"/>
      <c r="B53" s="15"/>
      <c r="C53" s="42" t="s">
        <v>86</v>
      </c>
      <c r="D53" s="5">
        <f>IF(J45="bajo",0,IF(J45="medio",0.5,IF(J45="alto",1,"falta riesgo")))</f>
        <v>0</v>
      </c>
      <c r="E53" s="4"/>
    </row>
    <row r="54" spans="1:10" ht="18" customHeight="1">
      <c r="A54" s="15"/>
      <c r="B54" s="15"/>
      <c r="C54" s="42" t="s">
        <v>87</v>
      </c>
      <c r="D54" s="5" t="str">
        <f>IF(J50="bajo",0,IF(J50="medio",0.5,IF(J50="alto",1,"falta riesgo")))</f>
        <v>falta riesgo</v>
      </c>
      <c r="E54" s="4"/>
    </row>
    <row r="55" spans="1:10">
      <c r="D55" s="11"/>
    </row>
    <row r="56" spans="1:10">
      <c r="D56" s="11"/>
    </row>
    <row r="57" spans="1:10">
      <c r="D57" s="11"/>
    </row>
    <row r="58" spans="1:10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0" t="s">
        <v>94</v>
      </c>
      <c r="C3" s="80" t="s">
        <v>39</v>
      </c>
      <c r="D3" s="80" t="s">
        <v>135</v>
      </c>
      <c r="E3" s="80" t="s">
        <v>136</v>
      </c>
    </row>
    <row r="4" spans="2:5">
      <c r="B4" s="2" t="s">
        <v>280</v>
      </c>
      <c r="C4" s="2" t="s">
        <v>285</v>
      </c>
      <c r="D4" s="2" t="s">
        <v>23</v>
      </c>
      <c r="E4" s="81" t="s">
        <v>13</v>
      </c>
    </row>
    <row r="5" spans="2:5">
      <c r="B5" s="2" t="s">
        <v>280</v>
      </c>
      <c r="C5" s="2" t="s">
        <v>286</v>
      </c>
      <c r="D5" s="2" t="s">
        <v>24</v>
      </c>
      <c r="E5" s="81" t="s">
        <v>13</v>
      </c>
    </row>
    <row r="6" spans="2:5">
      <c r="B6" s="2" t="s">
        <v>280</v>
      </c>
      <c r="C6" s="2" t="s">
        <v>287</v>
      </c>
      <c r="D6" s="2" t="s">
        <v>25</v>
      </c>
      <c r="E6" s="81" t="s">
        <v>13</v>
      </c>
    </row>
    <row r="7" spans="2:5">
      <c r="B7" s="2" t="s">
        <v>280</v>
      </c>
      <c r="C7" s="2" t="s">
        <v>288</v>
      </c>
      <c r="D7" s="2" t="s">
        <v>26</v>
      </c>
      <c r="E7" s="81" t="s">
        <v>13</v>
      </c>
    </row>
    <row r="8" spans="2:5">
      <c r="B8" s="2" t="s">
        <v>280</v>
      </c>
      <c r="C8" s="2" t="s">
        <v>289</v>
      </c>
      <c r="D8" s="2" t="s">
        <v>27</v>
      </c>
      <c r="E8" s="81" t="s">
        <v>13</v>
      </c>
    </row>
    <row r="9" spans="2:5">
      <c r="B9" s="2" t="s">
        <v>280</v>
      </c>
      <c r="C9" s="2" t="s">
        <v>290</v>
      </c>
      <c r="D9" s="2" t="s">
        <v>28</v>
      </c>
      <c r="E9" s="81" t="s">
        <v>13</v>
      </c>
    </row>
    <row r="10" spans="2:5">
      <c r="B10" s="2" t="s">
        <v>280</v>
      </c>
      <c r="C10" s="2" t="s">
        <v>291</v>
      </c>
      <c r="D10" s="2" t="s">
        <v>29</v>
      </c>
      <c r="E10" s="81" t="s">
        <v>13</v>
      </c>
    </row>
    <row r="11" spans="2:5">
      <c r="B11" s="2" t="s">
        <v>280</v>
      </c>
      <c r="C11" s="2" t="s">
        <v>292</v>
      </c>
      <c r="D11" s="2" t="s">
        <v>30</v>
      </c>
      <c r="E11" s="81" t="s">
        <v>13</v>
      </c>
    </row>
    <row r="12" spans="2:5">
      <c r="B12" s="2" t="s">
        <v>280</v>
      </c>
      <c r="C12" s="2" t="s">
        <v>293</v>
      </c>
      <c r="D12" s="2" t="s">
        <v>235</v>
      </c>
      <c r="E12" s="81" t="s">
        <v>13</v>
      </c>
    </row>
    <row r="13" spans="2:5">
      <c r="B13" s="2" t="s">
        <v>280</v>
      </c>
      <c r="C13" s="2" t="s">
        <v>294</v>
      </c>
      <c r="D13" s="2" t="s">
        <v>32</v>
      </c>
      <c r="E13" s="81" t="s">
        <v>13</v>
      </c>
    </row>
    <row r="14" spans="2:5">
      <c r="B14" s="2" t="s">
        <v>280</v>
      </c>
      <c r="C14" s="2" t="s">
        <v>295</v>
      </c>
      <c r="D14" s="2" t="s">
        <v>33</v>
      </c>
      <c r="E14" s="81" t="s">
        <v>13</v>
      </c>
    </row>
    <row r="15" spans="2:5">
      <c r="B15" s="2" t="s">
        <v>280</v>
      </c>
      <c r="C15" s="2" t="s">
        <v>296</v>
      </c>
      <c r="D15" s="2" t="s">
        <v>34</v>
      </c>
      <c r="E15" s="81" t="s">
        <v>13</v>
      </c>
    </row>
    <row r="16" spans="2:5">
      <c r="B16" s="2" t="s">
        <v>280</v>
      </c>
      <c r="C16" s="2" t="s">
        <v>297</v>
      </c>
      <c r="D16" s="2" t="s">
        <v>35</v>
      </c>
      <c r="E16" s="81" t="s">
        <v>13</v>
      </c>
    </row>
    <row r="17" spans="2:5">
      <c r="B17" s="2" t="s">
        <v>280</v>
      </c>
      <c r="C17" s="2" t="s">
        <v>298</v>
      </c>
      <c r="D17" s="2" t="s">
        <v>36</v>
      </c>
      <c r="E17" s="81" t="s">
        <v>13</v>
      </c>
    </row>
    <row r="18" spans="2:5">
      <c r="B18" s="2" t="s">
        <v>280</v>
      </c>
      <c r="C18" s="2" t="s">
        <v>299</v>
      </c>
      <c r="D18" s="2" t="s">
        <v>37</v>
      </c>
      <c r="E18" s="81" t="s">
        <v>13</v>
      </c>
    </row>
    <row r="19" spans="2:5">
      <c r="B19" s="2" t="s">
        <v>280</v>
      </c>
      <c r="C19" s="2" t="s">
        <v>300</v>
      </c>
      <c r="D19" s="2" t="s">
        <v>38</v>
      </c>
      <c r="E19" s="81" t="s">
        <v>13</v>
      </c>
    </row>
    <row r="20" spans="2:5">
      <c r="B20" s="82" t="s">
        <v>281</v>
      </c>
      <c r="C20" s="82" t="s">
        <v>301</v>
      </c>
      <c r="D20" s="82" t="s">
        <v>23</v>
      </c>
      <c r="E20" s="81" t="s">
        <v>13</v>
      </c>
    </row>
    <row r="21" spans="2:5">
      <c r="B21" s="82" t="s">
        <v>281</v>
      </c>
      <c r="C21" s="82" t="s">
        <v>302</v>
      </c>
      <c r="D21" s="82" t="s">
        <v>24</v>
      </c>
      <c r="E21" s="81" t="s">
        <v>13</v>
      </c>
    </row>
    <row r="22" spans="2:5">
      <c r="B22" s="82" t="s">
        <v>281</v>
      </c>
      <c r="C22" s="82" t="s">
        <v>303</v>
      </c>
      <c r="D22" s="82" t="s">
        <v>25</v>
      </c>
      <c r="E22" s="81" t="s">
        <v>13</v>
      </c>
    </row>
    <row r="23" spans="2:5">
      <c r="B23" s="82" t="s">
        <v>281</v>
      </c>
      <c r="C23" s="82" t="s">
        <v>304</v>
      </c>
      <c r="D23" s="82" t="s">
        <v>26</v>
      </c>
      <c r="E23" s="81" t="s">
        <v>13</v>
      </c>
    </row>
    <row r="24" spans="2:5">
      <c r="B24" s="82" t="s">
        <v>281</v>
      </c>
      <c r="C24" s="82" t="s">
        <v>305</v>
      </c>
      <c r="D24" s="82" t="s">
        <v>27</v>
      </c>
      <c r="E24" s="81" t="s">
        <v>13</v>
      </c>
    </row>
    <row r="25" spans="2:5">
      <c r="B25" s="82" t="s">
        <v>281</v>
      </c>
      <c r="C25" s="82" t="s">
        <v>306</v>
      </c>
      <c r="D25" s="82" t="s">
        <v>28</v>
      </c>
      <c r="E25" s="81" t="s">
        <v>13</v>
      </c>
    </row>
    <row r="26" spans="2:5">
      <c r="B26" s="82" t="s">
        <v>281</v>
      </c>
      <c r="C26" s="82" t="s">
        <v>307</v>
      </c>
      <c r="D26" s="82" t="s">
        <v>29</v>
      </c>
      <c r="E26" s="81" t="s">
        <v>13</v>
      </c>
    </row>
    <row r="27" spans="2:5">
      <c r="B27" s="82" t="s">
        <v>281</v>
      </c>
      <c r="C27" s="82" t="s">
        <v>308</v>
      </c>
      <c r="D27" s="82" t="s">
        <v>30</v>
      </c>
      <c r="E27" s="81" t="s">
        <v>13</v>
      </c>
    </row>
    <row r="28" spans="2:5">
      <c r="B28" s="82" t="s">
        <v>281</v>
      </c>
      <c r="C28" s="82" t="s">
        <v>309</v>
      </c>
      <c r="D28" s="82" t="s">
        <v>235</v>
      </c>
      <c r="E28" s="81" t="s">
        <v>13</v>
      </c>
    </row>
    <row r="29" spans="2:5">
      <c r="B29" s="82" t="s">
        <v>281</v>
      </c>
      <c r="C29" s="82" t="s">
        <v>310</v>
      </c>
      <c r="D29" s="82" t="s">
        <v>32</v>
      </c>
      <c r="E29" s="81" t="s">
        <v>13</v>
      </c>
    </row>
    <row r="30" spans="2:5">
      <c r="B30" s="82" t="s">
        <v>281</v>
      </c>
      <c r="C30" s="82" t="s">
        <v>311</v>
      </c>
      <c r="D30" s="82" t="s">
        <v>33</v>
      </c>
      <c r="E30" s="81" t="s">
        <v>13</v>
      </c>
    </row>
    <row r="31" spans="2:5">
      <c r="B31" s="82" t="s">
        <v>281</v>
      </c>
      <c r="C31" s="82" t="s">
        <v>312</v>
      </c>
      <c r="D31" s="82" t="s">
        <v>34</v>
      </c>
      <c r="E31" s="81" t="s">
        <v>13</v>
      </c>
    </row>
    <row r="32" spans="2:5">
      <c r="B32" s="82" t="s">
        <v>281</v>
      </c>
      <c r="C32" s="82" t="s">
        <v>313</v>
      </c>
      <c r="D32" s="82" t="s">
        <v>35</v>
      </c>
      <c r="E32" s="81" t="s">
        <v>93</v>
      </c>
    </row>
    <row r="33" spans="2:5">
      <c r="B33" s="82" t="s">
        <v>281</v>
      </c>
      <c r="C33" s="82" t="s">
        <v>314</v>
      </c>
      <c r="D33" s="82" t="s">
        <v>36</v>
      </c>
      <c r="E33" s="81" t="s">
        <v>13</v>
      </c>
    </row>
    <row r="34" spans="2:5">
      <c r="B34" s="82" t="s">
        <v>281</v>
      </c>
      <c r="C34" s="82" t="s">
        <v>315</v>
      </c>
      <c r="D34" s="82" t="s">
        <v>37</v>
      </c>
      <c r="E34" s="81" t="s">
        <v>13</v>
      </c>
    </row>
    <row r="35" spans="2:5">
      <c r="B35" s="82" t="s">
        <v>281</v>
      </c>
      <c r="C35" s="82" t="s">
        <v>316</v>
      </c>
      <c r="D35" s="82" t="s">
        <v>38</v>
      </c>
      <c r="E35" s="81" t="s">
        <v>93</v>
      </c>
    </row>
    <row r="36" spans="2:5">
      <c r="B36" s="79" t="s">
        <v>282</v>
      </c>
      <c r="C36" s="2" t="s">
        <v>317</v>
      </c>
      <c r="D36" s="2" t="s">
        <v>23</v>
      </c>
      <c r="E36" s="81" t="s">
        <v>13</v>
      </c>
    </row>
    <row r="37" spans="2:5">
      <c r="B37" s="79" t="s">
        <v>282</v>
      </c>
      <c r="C37" s="2" t="s">
        <v>318</v>
      </c>
      <c r="D37" s="2" t="s">
        <v>24</v>
      </c>
      <c r="E37" s="81" t="s">
        <v>13</v>
      </c>
    </row>
    <row r="38" spans="2:5">
      <c r="B38" s="79" t="s">
        <v>282</v>
      </c>
      <c r="C38" s="2" t="s">
        <v>319</v>
      </c>
      <c r="D38" s="2" t="s">
        <v>25</v>
      </c>
      <c r="E38" s="81" t="s">
        <v>13</v>
      </c>
    </row>
    <row r="39" spans="2:5">
      <c r="B39" s="79" t="s">
        <v>282</v>
      </c>
      <c r="C39" s="2" t="s">
        <v>320</v>
      </c>
      <c r="D39" s="2" t="s">
        <v>26</v>
      </c>
      <c r="E39" s="81" t="s">
        <v>13</v>
      </c>
    </row>
    <row r="40" spans="2:5">
      <c r="B40" s="79" t="s">
        <v>282</v>
      </c>
      <c r="C40" s="2" t="s">
        <v>321</v>
      </c>
      <c r="D40" s="2" t="s">
        <v>27</v>
      </c>
      <c r="E40" s="81" t="s">
        <v>13</v>
      </c>
    </row>
    <row r="41" spans="2:5">
      <c r="B41" s="79" t="s">
        <v>282</v>
      </c>
      <c r="C41" s="2" t="s">
        <v>322</v>
      </c>
      <c r="D41" s="2" t="s">
        <v>28</v>
      </c>
      <c r="E41" s="81" t="s">
        <v>13</v>
      </c>
    </row>
    <row r="42" spans="2:5">
      <c r="B42" s="79" t="s">
        <v>282</v>
      </c>
      <c r="C42" s="2" t="s">
        <v>323</v>
      </c>
      <c r="D42" s="2" t="s">
        <v>29</v>
      </c>
      <c r="E42" s="81" t="s">
        <v>13</v>
      </c>
    </row>
    <row r="43" spans="2:5">
      <c r="B43" s="79" t="s">
        <v>282</v>
      </c>
      <c r="C43" s="2" t="s">
        <v>324</v>
      </c>
      <c r="D43" s="2" t="s">
        <v>30</v>
      </c>
      <c r="E43" s="81" t="s">
        <v>13</v>
      </c>
    </row>
    <row r="44" spans="2:5">
      <c r="B44" s="79" t="s">
        <v>282</v>
      </c>
      <c r="C44" s="2" t="s">
        <v>325</v>
      </c>
      <c r="D44" s="2" t="s">
        <v>235</v>
      </c>
      <c r="E44" s="81" t="s">
        <v>13</v>
      </c>
    </row>
    <row r="45" spans="2:5">
      <c r="B45" s="79" t="s">
        <v>282</v>
      </c>
      <c r="C45" s="2" t="s">
        <v>326</v>
      </c>
      <c r="D45" s="2" t="s">
        <v>32</v>
      </c>
      <c r="E45" s="81" t="s">
        <v>13</v>
      </c>
    </row>
    <row r="46" spans="2:5">
      <c r="B46" s="79" t="s">
        <v>282</v>
      </c>
      <c r="C46" s="2" t="s">
        <v>327</v>
      </c>
      <c r="D46" s="2" t="s">
        <v>33</v>
      </c>
      <c r="E46" s="81" t="s">
        <v>13</v>
      </c>
    </row>
    <row r="47" spans="2:5">
      <c r="B47" s="79" t="s">
        <v>282</v>
      </c>
      <c r="C47" s="2" t="s">
        <v>328</v>
      </c>
      <c r="D47" s="2" t="s">
        <v>34</v>
      </c>
      <c r="E47" s="81" t="s">
        <v>13</v>
      </c>
    </row>
    <row r="48" spans="2:5">
      <c r="B48" s="79" t="s">
        <v>282</v>
      </c>
      <c r="C48" s="2" t="s">
        <v>329</v>
      </c>
      <c r="D48" s="2" t="s">
        <v>35</v>
      </c>
      <c r="E48" s="81" t="s">
        <v>13</v>
      </c>
    </row>
    <row r="49" spans="2:5">
      <c r="B49" s="79" t="s">
        <v>282</v>
      </c>
      <c r="C49" s="2" t="s">
        <v>330</v>
      </c>
      <c r="D49" s="2" t="s">
        <v>36</v>
      </c>
      <c r="E49" s="81" t="s">
        <v>13</v>
      </c>
    </row>
    <row r="50" spans="2:5">
      <c r="B50" s="79" t="s">
        <v>282</v>
      </c>
      <c r="C50" s="2" t="s">
        <v>331</v>
      </c>
      <c r="D50" s="2" t="s">
        <v>37</v>
      </c>
      <c r="E50" s="81" t="s">
        <v>13</v>
      </c>
    </row>
    <row r="51" spans="2:5">
      <c r="B51" s="79" t="s">
        <v>282</v>
      </c>
      <c r="C51" s="2" t="s">
        <v>332</v>
      </c>
      <c r="D51" s="2" t="s">
        <v>38</v>
      </c>
      <c r="E51" s="81" t="s">
        <v>13</v>
      </c>
    </row>
    <row r="52" spans="2:5">
      <c r="B52" s="79" t="s">
        <v>283</v>
      </c>
      <c r="C52" s="2" t="s">
        <v>333</v>
      </c>
      <c r="D52" s="83" t="s">
        <v>23</v>
      </c>
      <c r="E52" s="81" t="s">
        <v>13</v>
      </c>
    </row>
    <row r="53" spans="2:5">
      <c r="B53" s="79" t="s">
        <v>283</v>
      </c>
      <c r="C53" s="2" t="s">
        <v>334</v>
      </c>
      <c r="D53" s="83" t="s">
        <v>24</v>
      </c>
      <c r="E53" s="81" t="s">
        <v>13</v>
      </c>
    </row>
    <row r="54" spans="2:5">
      <c r="B54" s="79" t="s">
        <v>283</v>
      </c>
      <c r="C54" s="2" t="s">
        <v>335</v>
      </c>
      <c r="D54" s="83" t="s">
        <v>25</v>
      </c>
      <c r="E54" s="81" t="s">
        <v>13</v>
      </c>
    </row>
    <row r="55" spans="2:5">
      <c r="B55" s="79" t="s">
        <v>283</v>
      </c>
      <c r="C55" s="2" t="s">
        <v>336</v>
      </c>
      <c r="D55" s="83" t="s">
        <v>26</v>
      </c>
      <c r="E55" s="81" t="s">
        <v>13</v>
      </c>
    </row>
    <row r="56" spans="2:5">
      <c r="B56" s="79" t="s">
        <v>283</v>
      </c>
      <c r="C56" s="2" t="s">
        <v>337</v>
      </c>
      <c r="D56" s="83" t="s">
        <v>27</v>
      </c>
      <c r="E56" s="81" t="s">
        <v>13</v>
      </c>
    </row>
    <row r="57" spans="2:5">
      <c r="B57" s="79" t="s">
        <v>283</v>
      </c>
      <c r="C57" s="2" t="s">
        <v>338</v>
      </c>
      <c r="D57" s="83" t="s">
        <v>28</v>
      </c>
      <c r="E57" s="81" t="s">
        <v>13</v>
      </c>
    </row>
    <row r="58" spans="2:5">
      <c r="B58" s="79" t="s">
        <v>283</v>
      </c>
      <c r="C58" s="2" t="s">
        <v>339</v>
      </c>
      <c r="D58" s="83" t="s">
        <v>29</v>
      </c>
      <c r="E58" s="81" t="s">
        <v>13</v>
      </c>
    </row>
    <row r="59" spans="2:5">
      <c r="B59" s="79" t="s">
        <v>283</v>
      </c>
      <c r="C59" s="2" t="s">
        <v>340</v>
      </c>
      <c r="D59" s="83" t="s">
        <v>30</v>
      </c>
      <c r="E59" s="81" t="s">
        <v>13</v>
      </c>
    </row>
    <row r="60" spans="2:5">
      <c r="B60" s="79" t="s">
        <v>283</v>
      </c>
      <c r="C60" s="2" t="s">
        <v>341</v>
      </c>
      <c r="D60" s="83" t="s">
        <v>235</v>
      </c>
      <c r="E60" s="81" t="s">
        <v>13</v>
      </c>
    </row>
    <row r="61" spans="2:5">
      <c r="B61" s="79" t="s">
        <v>283</v>
      </c>
      <c r="C61" s="2" t="s">
        <v>342</v>
      </c>
      <c r="D61" s="83" t="s">
        <v>32</v>
      </c>
      <c r="E61" s="81" t="s">
        <v>13</v>
      </c>
    </row>
    <row r="62" spans="2:5">
      <c r="B62" s="79" t="s">
        <v>283</v>
      </c>
      <c r="C62" s="2" t="s">
        <v>343</v>
      </c>
      <c r="D62" s="83" t="s">
        <v>33</v>
      </c>
      <c r="E62" s="81" t="s">
        <v>13</v>
      </c>
    </row>
    <row r="63" spans="2:5">
      <c r="B63" s="79" t="s">
        <v>283</v>
      </c>
      <c r="C63" s="2" t="s">
        <v>344</v>
      </c>
      <c r="D63" s="83" t="s">
        <v>34</v>
      </c>
      <c r="E63" s="81" t="s">
        <v>13</v>
      </c>
    </row>
    <row r="64" spans="2:5">
      <c r="B64" s="79" t="s">
        <v>283</v>
      </c>
      <c r="C64" s="2" t="s">
        <v>345</v>
      </c>
      <c r="D64" s="83" t="s">
        <v>35</v>
      </c>
      <c r="E64" s="81" t="s">
        <v>13</v>
      </c>
    </row>
    <row r="65" spans="2:5">
      <c r="B65" s="79" t="s">
        <v>283</v>
      </c>
      <c r="C65" s="2" t="s">
        <v>346</v>
      </c>
      <c r="D65" s="83" t="s">
        <v>36</v>
      </c>
      <c r="E65" s="81" t="s">
        <v>13</v>
      </c>
    </row>
    <row r="66" spans="2:5">
      <c r="B66" s="79" t="s">
        <v>283</v>
      </c>
      <c r="C66" s="2" t="s">
        <v>347</v>
      </c>
      <c r="D66" s="83" t="s">
        <v>37</v>
      </c>
      <c r="E66" s="81" t="s">
        <v>13</v>
      </c>
    </row>
    <row r="67" spans="2:5">
      <c r="B67" s="79" t="s">
        <v>283</v>
      </c>
      <c r="C67" s="2" t="s">
        <v>348</v>
      </c>
      <c r="D67" s="83" t="s">
        <v>38</v>
      </c>
      <c r="E67" s="81" t="s">
        <v>13</v>
      </c>
    </row>
    <row r="68" spans="2:5">
      <c r="B68" s="79" t="s">
        <v>284</v>
      </c>
      <c r="C68" s="2" t="s">
        <v>349</v>
      </c>
      <c r="D68" s="83" t="s">
        <v>23</v>
      </c>
      <c r="E68" s="81" t="s">
        <v>13</v>
      </c>
    </row>
    <row r="69" spans="2:5">
      <c r="B69" s="79" t="s">
        <v>284</v>
      </c>
      <c r="C69" s="2" t="s">
        <v>350</v>
      </c>
      <c r="D69" s="83" t="s">
        <v>24</v>
      </c>
      <c r="E69" s="81" t="s">
        <v>13</v>
      </c>
    </row>
    <row r="70" spans="2:5">
      <c r="B70" s="79" t="s">
        <v>284</v>
      </c>
      <c r="C70" s="2" t="s">
        <v>351</v>
      </c>
      <c r="D70" s="83" t="s">
        <v>25</v>
      </c>
      <c r="E70" s="81" t="s">
        <v>13</v>
      </c>
    </row>
    <row r="71" spans="2:5">
      <c r="B71" s="79" t="s">
        <v>284</v>
      </c>
      <c r="C71" s="2" t="s">
        <v>352</v>
      </c>
      <c r="D71" s="83" t="s">
        <v>26</v>
      </c>
      <c r="E71" s="81" t="s">
        <v>13</v>
      </c>
    </row>
    <row r="72" spans="2:5">
      <c r="B72" s="79" t="s">
        <v>284</v>
      </c>
      <c r="C72" s="2" t="s">
        <v>353</v>
      </c>
      <c r="D72" s="83" t="s">
        <v>27</v>
      </c>
      <c r="E72" s="81" t="s">
        <v>13</v>
      </c>
    </row>
    <row r="73" spans="2:5">
      <c r="B73" s="79" t="s">
        <v>284</v>
      </c>
      <c r="C73" s="2" t="s">
        <v>354</v>
      </c>
      <c r="D73" s="83" t="s">
        <v>28</v>
      </c>
      <c r="E73" s="81" t="s">
        <v>13</v>
      </c>
    </row>
    <row r="74" spans="2:5">
      <c r="B74" s="79" t="s">
        <v>284</v>
      </c>
      <c r="C74" s="2" t="s">
        <v>355</v>
      </c>
      <c r="D74" s="83" t="s">
        <v>29</v>
      </c>
      <c r="E74" s="81" t="s">
        <v>13</v>
      </c>
    </row>
    <row r="75" spans="2:5">
      <c r="B75" s="79" t="s">
        <v>284</v>
      </c>
      <c r="C75" s="2" t="s">
        <v>356</v>
      </c>
      <c r="D75" s="83" t="s">
        <v>30</v>
      </c>
      <c r="E75" s="81" t="s">
        <v>13</v>
      </c>
    </row>
    <row r="76" spans="2:5">
      <c r="B76" s="79" t="s">
        <v>284</v>
      </c>
      <c r="C76" s="2" t="s">
        <v>357</v>
      </c>
      <c r="D76" s="83" t="s">
        <v>235</v>
      </c>
      <c r="E76" s="81" t="s">
        <v>13</v>
      </c>
    </row>
    <row r="77" spans="2:5">
      <c r="B77" s="79" t="s">
        <v>284</v>
      </c>
      <c r="C77" s="2" t="s">
        <v>358</v>
      </c>
      <c r="D77" s="83" t="s">
        <v>32</v>
      </c>
      <c r="E77" s="81" t="s">
        <v>13</v>
      </c>
    </row>
    <row r="78" spans="2:5">
      <c r="B78" s="79" t="s">
        <v>284</v>
      </c>
      <c r="C78" s="2" t="s">
        <v>359</v>
      </c>
      <c r="D78" s="83" t="s">
        <v>33</v>
      </c>
      <c r="E78" s="81" t="s">
        <v>13</v>
      </c>
    </row>
    <row r="79" spans="2:5">
      <c r="B79" s="79" t="s">
        <v>284</v>
      </c>
      <c r="C79" s="2" t="s">
        <v>360</v>
      </c>
      <c r="D79" s="83" t="s">
        <v>34</v>
      </c>
      <c r="E79" s="81" t="s">
        <v>13</v>
      </c>
    </row>
    <row r="80" spans="2:5">
      <c r="B80" s="79" t="s">
        <v>284</v>
      </c>
      <c r="C80" s="2" t="s">
        <v>361</v>
      </c>
      <c r="D80" s="83" t="s">
        <v>35</v>
      </c>
      <c r="E80" s="81" t="s">
        <v>13</v>
      </c>
    </row>
    <row r="81" spans="2:5">
      <c r="B81" s="79" t="s">
        <v>284</v>
      </c>
      <c r="C81" s="2" t="s">
        <v>362</v>
      </c>
      <c r="D81" s="83" t="s">
        <v>36</v>
      </c>
      <c r="E81" s="81" t="s">
        <v>13</v>
      </c>
    </row>
    <row r="82" spans="2:5">
      <c r="B82" s="79" t="s">
        <v>284</v>
      </c>
      <c r="C82" s="2" t="s">
        <v>363</v>
      </c>
      <c r="D82" s="83" t="s">
        <v>37</v>
      </c>
      <c r="E82" s="81" t="s">
        <v>13</v>
      </c>
    </row>
    <row r="83" spans="2:5">
      <c r="B83" s="79" t="s">
        <v>284</v>
      </c>
      <c r="C83" s="2" t="s">
        <v>364</v>
      </c>
      <c r="D83" s="83" t="s">
        <v>38</v>
      </c>
      <c r="E83" s="81" t="s">
        <v>13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tabSelected="1" view="pageBreakPreview" topLeftCell="A5" zoomScale="85" zoomScaleNormal="85" zoomScaleSheetLayoutView="85" workbookViewId="0">
      <selection activeCell="I25" sqref="I25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1.140625" style="36" customWidth="1"/>
    <col min="9" max="9" width="21.2851562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23"/>
      <c r="B1" s="343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</row>
    <row r="2" spans="1:16" ht="13.5" customHeight="1">
      <c r="A2" s="341"/>
      <c r="B2" s="342"/>
      <c r="N2" s="339"/>
      <c r="O2" s="344"/>
      <c r="P2" s="342"/>
    </row>
    <row r="3" spans="1:16" ht="37.35" customHeight="1">
      <c r="A3" s="37"/>
      <c r="B3" s="489" t="s">
        <v>95</v>
      </c>
      <c r="C3" s="490"/>
      <c r="D3" s="490"/>
      <c r="E3" s="490"/>
      <c r="F3" s="490"/>
      <c r="G3" s="490"/>
      <c r="H3" s="490"/>
      <c r="I3" s="490"/>
      <c r="J3" s="490"/>
      <c r="K3" s="490"/>
      <c r="L3" s="490"/>
      <c r="M3" s="490"/>
      <c r="N3" s="490"/>
      <c r="O3" s="491"/>
    </row>
    <row r="4" spans="1:16" ht="7.35" customHeight="1">
      <c r="A4" s="38"/>
      <c r="B4" s="496" t="s">
        <v>96</v>
      </c>
      <c r="C4" s="497"/>
      <c r="D4" s="497"/>
      <c r="E4" s="497"/>
      <c r="F4" s="497"/>
      <c r="G4" s="497"/>
      <c r="H4" s="497"/>
      <c r="I4" s="497"/>
      <c r="J4" s="497"/>
      <c r="K4" s="497"/>
      <c r="L4" s="497"/>
      <c r="M4" s="497"/>
      <c r="N4" s="497"/>
      <c r="O4" s="338"/>
    </row>
    <row r="5" spans="1:16" ht="43.5" customHeight="1">
      <c r="A5" s="38"/>
      <c r="B5" s="496"/>
      <c r="C5" s="497"/>
      <c r="D5" s="497"/>
      <c r="E5" s="497"/>
      <c r="F5" s="497"/>
      <c r="G5" s="497"/>
      <c r="H5" s="497"/>
      <c r="I5" s="497"/>
      <c r="J5" s="497"/>
      <c r="K5" s="497"/>
      <c r="L5" s="497"/>
      <c r="M5" s="497"/>
      <c r="N5" s="497"/>
      <c r="O5" s="338"/>
    </row>
    <row r="6" spans="1:16" ht="43.5" customHeight="1">
      <c r="A6" s="38"/>
      <c r="B6" s="496"/>
      <c r="C6" s="497"/>
      <c r="D6" s="497"/>
      <c r="E6" s="497"/>
      <c r="F6" s="497"/>
      <c r="G6" s="497"/>
      <c r="H6" s="497"/>
      <c r="I6" s="497"/>
      <c r="J6" s="497"/>
      <c r="K6" s="497"/>
      <c r="L6" s="497"/>
      <c r="M6" s="497"/>
      <c r="N6" s="497"/>
      <c r="O6" s="338"/>
    </row>
    <row r="7" spans="1:16" ht="8.1" customHeight="1">
      <c r="A7" s="38"/>
      <c r="B7" s="328"/>
      <c r="C7" s="319"/>
      <c r="D7" s="319"/>
      <c r="E7" s="319"/>
      <c r="F7" s="319"/>
      <c r="G7" s="319"/>
      <c r="H7" s="319"/>
      <c r="I7" s="319"/>
      <c r="J7" s="319"/>
      <c r="K7" s="319"/>
      <c r="L7" s="319"/>
      <c r="M7" s="319"/>
      <c r="N7" s="319"/>
      <c r="O7" s="338"/>
    </row>
    <row r="8" spans="1:16" ht="32.25" customHeight="1" thickBot="1">
      <c r="A8" s="327"/>
      <c r="B8" s="329"/>
      <c r="O8" s="338"/>
    </row>
    <row r="9" spans="1:16" ht="17.25" customHeight="1" thickBot="1">
      <c r="A9" s="322"/>
      <c r="B9" s="329"/>
      <c r="C9" s="320"/>
      <c r="D9" s="500" t="s">
        <v>97</v>
      </c>
      <c r="E9" s="498"/>
      <c r="F9" s="498"/>
      <c r="G9" s="499"/>
      <c r="I9" s="320"/>
      <c r="J9" s="505" t="s">
        <v>97</v>
      </c>
      <c r="K9" s="502"/>
      <c r="L9" s="503"/>
      <c r="M9" s="504"/>
      <c r="O9" s="338"/>
    </row>
    <row r="10" spans="1:16" ht="37.5" customHeight="1" thickBot="1">
      <c r="A10" s="322"/>
      <c r="B10" s="331"/>
      <c r="C10" s="70" t="s">
        <v>98</v>
      </c>
      <c r="D10" s="501"/>
      <c r="E10" s="71" t="s">
        <v>99</v>
      </c>
      <c r="F10" s="71" t="s">
        <v>100</v>
      </c>
      <c r="G10" s="72" t="s">
        <v>101</v>
      </c>
      <c r="I10" s="74" t="s">
        <v>98</v>
      </c>
      <c r="J10" s="506"/>
      <c r="K10" s="75" t="s">
        <v>99</v>
      </c>
      <c r="L10" s="75" t="s">
        <v>100</v>
      </c>
      <c r="M10" s="76" t="s">
        <v>101</v>
      </c>
      <c r="O10" s="338"/>
    </row>
    <row r="11" spans="1:16" ht="18.75">
      <c r="A11" s="324"/>
      <c r="B11" s="329"/>
      <c r="C11" s="73"/>
      <c r="D11" s="449"/>
      <c r="E11" s="449"/>
      <c r="F11" s="449"/>
      <c r="G11" s="450"/>
      <c r="I11" s="455"/>
      <c r="J11" s="449"/>
      <c r="K11" s="449"/>
      <c r="L11" s="449"/>
      <c r="M11" s="450"/>
      <c r="O11" s="338"/>
    </row>
    <row r="12" spans="1:16" ht="18.75">
      <c r="A12" s="38"/>
      <c r="B12" s="329"/>
      <c r="C12" s="40"/>
      <c r="D12" s="451"/>
      <c r="E12" s="451"/>
      <c r="F12" s="451"/>
      <c r="G12" s="452"/>
      <c r="I12" s="456"/>
      <c r="J12" s="451"/>
      <c r="K12" s="451"/>
      <c r="L12" s="451"/>
      <c r="M12" s="452"/>
      <c r="N12" s="339"/>
      <c r="O12" s="330"/>
    </row>
    <row r="13" spans="1:16" ht="18.75">
      <c r="A13" s="38"/>
      <c r="B13" s="329"/>
      <c r="C13" s="40"/>
      <c r="D13" s="451"/>
      <c r="E13" s="451"/>
      <c r="F13" s="451"/>
      <c r="G13" s="452"/>
      <c r="I13" s="456"/>
      <c r="J13" s="451"/>
      <c r="K13" s="451"/>
      <c r="L13" s="451"/>
      <c r="M13" s="452"/>
      <c r="N13" s="339"/>
      <c r="O13" s="330"/>
    </row>
    <row r="14" spans="1:16" ht="18.75">
      <c r="A14" s="325"/>
      <c r="B14" s="329"/>
      <c r="C14" s="40"/>
      <c r="D14" s="451"/>
      <c r="E14" s="451"/>
      <c r="F14" s="451"/>
      <c r="G14" s="452"/>
      <c r="I14" s="456"/>
      <c r="J14" s="451"/>
      <c r="K14" s="451"/>
      <c r="L14" s="451"/>
      <c r="M14" s="452"/>
      <c r="N14" s="339"/>
      <c r="O14" s="330"/>
    </row>
    <row r="15" spans="1:16" ht="18.75">
      <c r="A15" s="38"/>
      <c r="B15" s="329"/>
      <c r="C15" s="65"/>
      <c r="D15" s="451"/>
      <c r="E15" s="451"/>
      <c r="F15" s="451"/>
      <c r="G15" s="452"/>
      <c r="I15" s="456"/>
      <c r="J15" s="451"/>
      <c r="K15" s="451"/>
      <c r="L15" s="451"/>
      <c r="M15" s="452"/>
      <c r="N15" s="339"/>
      <c r="O15" s="330"/>
    </row>
    <row r="16" spans="1:16" ht="18.75">
      <c r="A16" s="38"/>
      <c r="B16" s="329"/>
      <c r="C16" s="65"/>
      <c r="D16" s="451"/>
      <c r="E16" s="451"/>
      <c r="F16" s="451"/>
      <c r="G16" s="452"/>
      <c r="I16" s="456"/>
      <c r="J16" s="451"/>
      <c r="K16" s="451"/>
      <c r="L16" s="451"/>
      <c r="M16" s="452"/>
      <c r="N16" s="339"/>
      <c r="O16" s="330"/>
    </row>
    <row r="17" spans="1:15" ht="18.75">
      <c r="A17" s="38"/>
      <c r="B17" s="329"/>
      <c r="C17" s="65"/>
      <c r="D17" s="451"/>
      <c r="E17" s="451"/>
      <c r="F17" s="451"/>
      <c r="G17" s="452"/>
      <c r="I17" s="456"/>
      <c r="J17" s="451"/>
      <c r="K17" s="451"/>
      <c r="L17" s="451"/>
      <c r="M17" s="452"/>
      <c r="N17" s="339"/>
      <c r="O17" s="330"/>
    </row>
    <row r="18" spans="1:15" ht="18.75">
      <c r="A18" s="38"/>
      <c r="B18" s="329"/>
      <c r="C18" s="65"/>
      <c r="D18" s="451"/>
      <c r="E18" s="451"/>
      <c r="F18" s="451"/>
      <c r="G18" s="452"/>
      <c r="I18" s="456"/>
      <c r="J18" s="451"/>
      <c r="K18" s="451"/>
      <c r="L18" s="451"/>
      <c r="M18" s="452"/>
      <c r="N18" s="339"/>
      <c r="O18" s="330"/>
    </row>
    <row r="19" spans="1:15" ht="18.75">
      <c r="A19" s="38"/>
      <c r="B19" s="329"/>
      <c r="C19" s="40"/>
      <c r="D19" s="451"/>
      <c r="E19" s="451"/>
      <c r="F19" s="451"/>
      <c r="G19" s="452"/>
      <c r="I19" s="456"/>
      <c r="J19" s="451"/>
      <c r="K19" s="451"/>
      <c r="L19" s="451"/>
      <c r="M19" s="452"/>
      <c r="N19" s="339"/>
      <c r="O19" s="330"/>
    </row>
    <row r="20" spans="1:15" ht="18.75">
      <c r="A20" s="38"/>
      <c r="B20" s="329"/>
      <c r="C20" s="40"/>
      <c r="D20" s="451"/>
      <c r="E20" s="451"/>
      <c r="F20" s="451"/>
      <c r="G20" s="452"/>
      <c r="I20" s="456"/>
      <c r="J20" s="451"/>
      <c r="K20" s="451"/>
      <c r="L20" s="451"/>
      <c r="M20" s="452"/>
      <c r="N20" s="339"/>
      <c r="O20" s="330"/>
    </row>
    <row r="21" spans="1:15" ht="18.75">
      <c r="A21" s="38"/>
      <c r="B21" s="329"/>
      <c r="C21" s="39"/>
      <c r="D21" s="451"/>
      <c r="E21" s="451"/>
      <c r="F21" s="451"/>
      <c r="G21" s="452"/>
      <c r="I21" s="456"/>
      <c r="J21" s="451"/>
      <c r="K21" s="451"/>
      <c r="L21" s="451"/>
      <c r="M21" s="452"/>
      <c r="N21" s="339"/>
      <c r="O21" s="330"/>
    </row>
    <row r="22" spans="1:15" ht="18.75">
      <c r="A22" s="38"/>
      <c r="B22" s="329"/>
      <c r="C22" s="39"/>
      <c r="D22" s="451"/>
      <c r="E22" s="451"/>
      <c r="F22" s="451"/>
      <c r="G22" s="452"/>
      <c r="I22" s="456"/>
      <c r="J22" s="451"/>
      <c r="K22" s="451"/>
      <c r="L22" s="451"/>
      <c r="M22" s="452"/>
      <c r="N22" s="339"/>
      <c r="O22" s="330"/>
    </row>
    <row r="23" spans="1:15" ht="18.75">
      <c r="A23" s="38"/>
      <c r="B23" s="329"/>
      <c r="C23" s="40"/>
      <c r="D23" s="451"/>
      <c r="E23" s="451"/>
      <c r="F23" s="451"/>
      <c r="G23" s="452"/>
      <c r="I23" s="456"/>
      <c r="J23" s="451"/>
      <c r="K23" s="451"/>
      <c r="L23" s="451"/>
      <c r="M23" s="452"/>
      <c r="N23" s="339"/>
      <c r="O23" s="330"/>
    </row>
    <row r="24" spans="1:15" ht="18.75">
      <c r="A24" s="38"/>
      <c r="B24" s="329"/>
      <c r="C24" s="39"/>
      <c r="D24" s="451"/>
      <c r="E24" s="451"/>
      <c r="F24" s="451"/>
      <c r="G24" s="452"/>
      <c r="I24" s="456"/>
      <c r="J24" s="451"/>
      <c r="K24" s="451"/>
      <c r="L24" s="451"/>
      <c r="M24" s="452"/>
      <c r="N24" s="339"/>
      <c r="O24" s="330"/>
    </row>
    <row r="25" spans="1:15" ht="18.75">
      <c r="A25" s="38"/>
      <c r="B25" s="329"/>
      <c r="C25" s="39"/>
      <c r="D25" s="451"/>
      <c r="E25" s="451"/>
      <c r="F25" s="451"/>
      <c r="G25" s="452"/>
      <c r="I25" s="456"/>
      <c r="J25" s="451"/>
      <c r="K25" s="451"/>
      <c r="L25" s="451"/>
      <c r="M25" s="452"/>
      <c r="N25" s="339"/>
      <c r="O25" s="330"/>
    </row>
    <row r="26" spans="1:15" ht="19.5" thickBot="1">
      <c r="A26" s="38"/>
      <c r="B26" s="329"/>
      <c r="C26" s="39"/>
      <c r="D26" s="451"/>
      <c r="E26" s="451"/>
      <c r="F26" s="451"/>
      <c r="G26" s="452"/>
      <c r="I26" s="457"/>
      <c r="J26" s="453"/>
      <c r="K26" s="453"/>
      <c r="L26" s="453"/>
      <c r="M26" s="454"/>
      <c r="N26" s="339"/>
      <c r="O26" s="330"/>
    </row>
    <row r="27" spans="1:15" ht="23.25" customHeight="1">
      <c r="A27" s="38"/>
      <c r="B27" s="329"/>
      <c r="C27" s="39"/>
      <c r="D27" s="451"/>
      <c r="E27" s="451"/>
      <c r="F27" s="451"/>
      <c r="G27" s="452"/>
      <c r="N27" s="339"/>
      <c r="O27" s="330"/>
    </row>
    <row r="28" spans="1:15" ht="23.25" customHeight="1" thickBot="1">
      <c r="A28" s="38"/>
      <c r="B28" s="329"/>
      <c r="C28" s="401"/>
      <c r="D28" s="453"/>
      <c r="E28" s="453"/>
      <c r="F28" s="453"/>
      <c r="G28" s="454"/>
      <c r="N28" s="339"/>
      <c r="O28" s="330"/>
    </row>
    <row r="29" spans="1:15" ht="28.5" customHeight="1" thickBot="1">
      <c r="B29" s="329"/>
      <c r="N29" s="339"/>
      <c r="O29" s="330"/>
    </row>
    <row r="30" spans="1:15" ht="42" customHeight="1" thickBot="1">
      <c r="A30" s="38"/>
      <c r="B30" s="331"/>
      <c r="C30" s="515" t="s">
        <v>102</v>
      </c>
      <c r="D30" s="516"/>
      <c r="E30" s="516"/>
      <c r="F30" s="516"/>
      <c r="G30" s="517"/>
      <c r="N30" s="339"/>
      <c r="O30" s="330"/>
    </row>
    <row r="31" spans="1:15" ht="49.5" customHeight="1">
      <c r="A31" s="38"/>
      <c r="B31" s="329"/>
      <c r="C31" s="507" t="s">
        <v>99</v>
      </c>
      <c r="D31" s="508"/>
      <c r="E31" s="509" t="s">
        <v>103</v>
      </c>
      <c r="F31" s="509"/>
      <c r="G31" s="510"/>
      <c r="N31" s="339"/>
      <c r="O31" s="330"/>
    </row>
    <row r="32" spans="1:15" ht="60" customHeight="1">
      <c r="A32" s="38"/>
      <c r="B32" s="329"/>
      <c r="C32" s="511" t="s">
        <v>100</v>
      </c>
      <c r="D32" s="512"/>
      <c r="E32" s="513" t="s">
        <v>104</v>
      </c>
      <c r="F32" s="513"/>
      <c r="G32" s="514"/>
      <c r="N32" s="339"/>
      <c r="O32" s="330"/>
    </row>
    <row r="33" spans="1:15" ht="66.75" customHeight="1" thickBot="1">
      <c r="A33" s="38"/>
      <c r="B33" s="331"/>
      <c r="C33" s="492" t="s">
        <v>101</v>
      </c>
      <c r="D33" s="493"/>
      <c r="E33" s="494" t="s">
        <v>105</v>
      </c>
      <c r="F33" s="494"/>
      <c r="G33" s="495"/>
      <c r="H33" s="335"/>
      <c r="J33" s="337"/>
      <c r="K33" s="337"/>
      <c r="L33" s="337"/>
      <c r="M33" s="337"/>
      <c r="N33" s="337"/>
      <c r="O33" s="338"/>
    </row>
    <row r="34" spans="1:15" ht="22.5" customHeight="1" thickBot="1">
      <c r="A34" s="334"/>
      <c r="B34" s="340"/>
      <c r="C34" s="332"/>
      <c r="D34" s="332"/>
      <c r="E34" s="332"/>
      <c r="F34" s="332"/>
      <c r="G34" s="332"/>
      <c r="H34" s="332"/>
      <c r="I34" s="336"/>
      <c r="J34" s="332"/>
      <c r="K34" s="332"/>
      <c r="L34" s="332"/>
      <c r="M34" s="332"/>
      <c r="N34" s="332"/>
      <c r="O34" s="333"/>
    </row>
    <row r="35" spans="1:15" ht="12" customHeight="1">
      <c r="A35" s="321"/>
    </row>
    <row r="36" spans="1:15" ht="8.25" customHeight="1"/>
    <row r="38" spans="1:15" ht="3" customHeight="1">
      <c r="C38" s="326"/>
      <c r="D38" s="326"/>
      <c r="E38" s="326"/>
      <c r="F38" s="326"/>
      <c r="G38" s="326"/>
      <c r="H38" s="326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D11&lt;100%</formula>
    </cfRule>
  </conditionalFormatting>
  <conditionalFormatting sqref="I11:M26">
    <cfRule type="expression" dxfId="6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10" zoomScale="55" zoomScaleNormal="55" workbookViewId="0">
      <selection activeCell="J10" sqref="J10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06"/>
      <c r="B1" s="523"/>
      <c r="C1" s="524"/>
      <c r="D1" s="525"/>
      <c r="E1" s="87"/>
      <c r="F1" s="90"/>
      <c r="G1" s="88"/>
      <c r="I1" s="105"/>
      <c r="J1" s="104"/>
      <c r="K1" s="115"/>
      <c r="L1" s="115"/>
      <c r="M1" s="95"/>
      <c r="N1" s="89"/>
      <c r="O1" s="89"/>
      <c r="P1" s="98"/>
    </row>
    <row r="2" spans="1:17" ht="36">
      <c r="B2" s="131" t="s">
        <v>120</v>
      </c>
      <c r="C2" s="131"/>
      <c r="D2" s="90"/>
      <c r="E2" s="96"/>
      <c r="G2" s="98"/>
      <c r="H2" s="90"/>
      <c r="I2" s="532" t="s">
        <v>123</v>
      </c>
      <c r="J2" s="533"/>
      <c r="K2" s="101"/>
      <c r="L2" s="90"/>
      <c r="M2" s="98"/>
      <c r="N2" s="90"/>
      <c r="O2" s="87"/>
      <c r="P2" s="90"/>
      <c r="Q2" s="87"/>
    </row>
    <row r="3" spans="1:17" s="67" customFormat="1" ht="22.5" customHeight="1">
      <c r="A3" s="93"/>
      <c r="B3" s="67" t="s">
        <v>121</v>
      </c>
      <c r="D3" s="99"/>
      <c r="E3" s="92"/>
      <c r="F3" s="94"/>
      <c r="G3" s="99"/>
      <c r="H3" s="102"/>
      <c r="I3" s="103"/>
      <c r="J3" s="103"/>
      <c r="K3" s="94"/>
      <c r="L3" s="94"/>
      <c r="M3" s="94"/>
      <c r="N3" s="92"/>
      <c r="O3" s="92"/>
      <c r="P3" s="94"/>
      <c r="Q3" s="130"/>
    </row>
    <row r="4" spans="1:17" s="68" customFormat="1" ht="25.5" customHeight="1" thickBot="1">
      <c r="B4" s="148" t="s">
        <v>122</v>
      </c>
      <c r="C4" s="391"/>
      <c r="D4" s="230"/>
      <c r="F4" s="229"/>
      <c r="G4" s="119"/>
      <c r="H4" s="119"/>
      <c r="I4" s="229"/>
      <c r="J4" s="229"/>
      <c r="K4" s="229"/>
      <c r="L4" s="101"/>
      <c r="M4" s="119"/>
      <c r="N4" s="120"/>
      <c r="O4" s="100"/>
      <c r="P4" s="101"/>
      <c r="Q4" s="129"/>
    </row>
    <row r="5" spans="1:17" ht="78" customHeight="1" thickBot="1">
      <c r="A5" s="97"/>
      <c r="B5" s="149" t="s">
        <v>106</v>
      </c>
      <c r="C5" s="526" t="s">
        <v>107</v>
      </c>
      <c r="D5" s="527"/>
      <c r="E5" s="231" t="s">
        <v>109</v>
      </c>
      <c r="F5" s="231" t="s">
        <v>108</v>
      </c>
      <c r="G5" s="231" t="s">
        <v>110</v>
      </c>
      <c r="H5" s="232" t="s">
        <v>185</v>
      </c>
      <c r="I5" s="232" t="s">
        <v>111</v>
      </c>
      <c r="J5" s="233" t="s">
        <v>112</v>
      </c>
      <c r="K5" s="234"/>
      <c r="L5" s="90"/>
      <c r="M5" s="90"/>
      <c r="N5" s="90"/>
      <c r="O5" s="89"/>
      <c r="P5" s="115"/>
    </row>
    <row r="6" spans="1:17" ht="51" customHeight="1">
      <c r="B6" s="258" t="s">
        <v>113</v>
      </c>
      <c r="C6" s="528"/>
      <c r="D6" s="529"/>
      <c r="E6" s="261"/>
      <c r="F6" s="261"/>
      <c r="G6" s="261"/>
      <c r="H6" s="261"/>
      <c r="I6" s="261"/>
      <c r="J6" s="262"/>
      <c r="K6" s="127"/>
      <c r="L6" s="90"/>
      <c r="M6" s="90"/>
      <c r="N6" s="98"/>
      <c r="O6" s="87"/>
      <c r="P6" s="115"/>
      <c r="Q6" s="87"/>
    </row>
    <row r="7" spans="1:17" ht="45.75" customHeight="1">
      <c r="A7" s="107"/>
      <c r="B7" s="259" t="s">
        <v>114</v>
      </c>
      <c r="C7" s="530"/>
      <c r="D7" s="531"/>
      <c r="E7" s="263"/>
      <c r="F7" s="263"/>
      <c r="G7" s="263"/>
      <c r="H7" s="263"/>
      <c r="I7" s="263"/>
      <c r="J7" s="264"/>
      <c r="L7" s="90"/>
      <c r="M7" s="90"/>
      <c r="N7" s="90"/>
      <c r="O7" s="89"/>
      <c r="P7" s="98"/>
    </row>
    <row r="8" spans="1:17" ht="44.25" customHeight="1">
      <c r="A8" s="108"/>
      <c r="B8" s="259" t="s">
        <v>115</v>
      </c>
      <c r="C8" s="530"/>
      <c r="D8" s="531"/>
      <c r="E8" s="263"/>
      <c r="F8" s="263"/>
      <c r="G8" s="263"/>
      <c r="H8" s="263"/>
      <c r="I8" s="263"/>
      <c r="J8" s="264"/>
      <c r="K8" s="235"/>
      <c r="L8" s="90"/>
      <c r="M8" s="90"/>
      <c r="N8" s="90"/>
      <c r="P8" s="90"/>
      <c r="Q8" s="90"/>
    </row>
    <row r="9" spans="1:17" ht="39.75" customHeight="1">
      <c r="A9" s="108"/>
      <c r="B9" s="259" t="s">
        <v>116</v>
      </c>
      <c r="C9" s="530"/>
      <c r="D9" s="531"/>
      <c r="E9" s="263"/>
      <c r="F9" s="263"/>
      <c r="G9" s="263"/>
      <c r="H9" s="263"/>
      <c r="I9" s="263"/>
      <c r="J9" s="264"/>
      <c r="K9" s="170"/>
      <c r="L9" s="90"/>
      <c r="M9" s="90"/>
      <c r="N9" s="96"/>
      <c r="O9" s="87"/>
      <c r="P9" s="115"/>
      <c r="Q9" s="116"/>
    </row>
    <row r="10" spans="1:17" ht="55.5" customHeight="1">
      <c r="A10" s="110"/>
      <c r="B10" s="259" t="s">
        <v>117</v>
      </c>
      <c r="C10" s="530"/>
      <c r="D10" s="531"/>
      <c r="E10" s="263"/>
      <c r="F10" s="263"/>
      <c r="G10" s="263"/>
      <c r="H10" s="263"/>
      <c r="I10" s="263"/>
      <c r="J10" s="264"/>
      <c r="K10" s="127"/>
      <c r="L10" s="90"/>
      <c r="M10" s="90"/>
      <c r="N10" s="98"/>
      <c r="O10" s="89"/>
      <c r="P10" s="90"/>
    </row>
    <row r="11" spans="1:17" ht="44.25" customHeight="1">
      <c r="A11" s="109"/>
      <c r="B11" s="259" t="s">
        <v>118</v>
      </c>
      <c r="C11" s="530"/>
      <c r="D11" s="531"/>
      <c r="E11" s="263"/>
      <c r="F11" s="263"/>
      <c r="G11" s="263"/>
      <c r="H11" s="263"/>
      <c r="I11" s="263"/>
      <c r="J11" s="264"/>
      <c r="L11" s="90"/>
      <c r="M11" s="98"/>
      <c r="N11" s="90"/>
      <c r="O11" s="97"/>
      <c r="P11" s="90"/>
      <c r="Q11" s="111"/>
    </row>
    <row r="12" spans="1:17" ht="66.75" customHeight="1" thickBot="1">
      <c r="A12" s="108"/>
      <c r="B12" s="260" t="s">
        <v>119</v>
      </c>
      <c r="C12" s="518"/>
      <c r="D12" s="519"/>
      <c r="E12" s="265"/>
      <c r="F12" s="265"/>
      <c r="G12" s="265"/>
      <c r="H12" s="265"/>
      <c r="I12" s="265"/>
      <c r="J12" s="266"/>
      <c r="K12" s="235"/>
      <c r="L12" s="90"/>
      <c r="M12" s="90"/>
      <c r="N12" s="115"/>
      <c r="O12" s="90"/>
      <c r="P12" s="90"/>
      <c r="Q12" s="111"/>
    </row>
    <row r="13" spans="1:17" ht="15.75" thickBot="1">
      <c r="A13" s="87"/>
      <c r="B13" s="147"/>
      <c r="C13" s="138"/>
      <c r="D13" s="118"/>
      <c r="F13" s="138"/>
      <c r="H13" s="139"/>
      <c r="I13" s="139"/>
      <c r="J13" s="139"/>
      <c r="K13" s="111"/>
      <c r="L13" s="90"/>
      <c r="M13" s="117"/>
      <c r="N13" s="90"/>
      <c r="O13" s="90"/>
      <c r="P13" s="87"/>
    </row>
    <row r="14" spans="1:17" ht="30.75" customHeight="1">
      <c r="A14" s="112"/>
      <c r="B14" s="372" t="s">
        <v>126</v>
      </c>
      <c r="C14" s="392"/>
      <c r="D14" s="371" t="s">
        <v>127</v>
      </c>
      <c r="E14" s="140"/>
      <c r="F14" s="141"/>
      <c r="G14" s="142"/>
      <c r="H14" s="143"/>
      <c r="I14" s="144"/>
      <c r="J14" s="145"/>
      <c r="K14" s="396"/>
      <c r="L14" s="90"/>
      <c r="M14" s="90"/>
      <c r="N14" s="117"/>
      <c r="O14" s="90"/>
      <c r="P14" s="87"/>
    </row>
    <row r="15" spans="1:17" ht="8.25" customHeight="1" thickBot="1">
      <c r="A15" s="95"/>
      <c r="B15" s="373"/>
      <c r="C15" s="393"/>
      <c r="D15" s="376"/>
      <c r="E15" s="377"/>
      <c r="F15" s="377"/>
      <c r="G15" s="378"/>
      <c r="H15" s="377"/>
      <c r="I15" s="378"/>
      <c r="J15" s="379"/>
      <c r="L15" s="90"/>
      <c r="M15" s="115"/>
      <c r="N15" s="90"/>
      <c r="O15" s="87"/>
      <c r="P15" s="87"/>
    </row>
    <row r="16" spans="1:17" ht="74.25" customHeight="1" thickBot="1">
      <c r="A16" s="112"/>
      <c r="B16" s="374" t="s">
        <v>228</v>
      </c>
      <c r="C16" s="394"/>
      <c r="D16" s="380" t="s">
        <v>129</v>
      </c>
      <c r="E16" s="520"/>
      <c r="F16" s="521"/>
      <c r="G16" s="521"/>
      <c r="H16" s="521"/>
      <c r="I16" s="521"/>
      <c r="J16" s="522"/>
      <c r="K16" s="397"/>
      <c r="L16" s="126"/>
      <c r="M16" s="124"/>
      <c r="N16" s="123"/>
      <c r="P16" s="87"/>
    </row>
    <row r="17" spans="1:16" ht="108.75" customHeight="1" thickBot="1">
      <c r="A17" s="95"/>
      <c r="B17" s="375" t="s">
        <v>124</v>
      </c>
      <c r="C17" s="395"/>
      <c r="D17" s="380" t="s">
        <v>128</v>
      </c>
      <c r="E17" s="520"/>
      <c r="F17" s="521"/>
      <c r="G17" s="521"/>
      <c r="H17" s="521"/>
      <c r="I17" s="521"/>
      <c r="J17" s="522"/>
      <c r="K17" s="154"/>
      <c r="L17" s="137"/>
      <c r="M17" s="126"/>
      <c r="N17" s="126"/>
      <c r="O17" s="90"/>
      <c r="P17" s="87"/>
    </row>
    <row r="18" spans="1:16" ht="87" customHeight="1" thickBot="1">
      <c r="A18" s="113"/>
      <c r="B18" s="375" t="s">
        <v>125</v>
      </c>
      <c r="C18" s="395"/>
      <c r="D18" s="381" t="s">
        <v>130</v>
      </c>
      <c r="E18" s="520"/>
      <c r="F18" s="521"/>
      <c r="G18" s="521"/>
      <c r="H18" s="521"/>
      <c r="I18" s="521"/>
      <c r="J18" s="522"/>
      <c r="L18" s="126"/>
      <c r="M18" s="122"/>
      <c r="N18" s="121"/>
      <c r="O18" s="66"/>
      <c r="P18" s="95"/>
    </row>
    <row r="19" spans="1:16" ht="74.25" customHeight="1" thickBot="1">
      <c r="A19" s="90"/>
      <c r="B19" s="114"/>
      <c r="C19" s="95"/>
      <c r="D19" s="382" t="s">
        <v>131</v>
      </c>
      <c r="E19" s="520"/>
      <c r="F19" s="521"/>
      <c r="G19" s="521"/>
      <c r="H19" s="521"/>
      <c r="I19" s="521"/>
      <c r="J19" s="522"/>
      <c r="K19" s="154"/>
      <c r="L19" s="137"/>
      <c r="M19" s="122"/>
      <c r="N19" s="121"/>
      <c r="O19" s="123"/>
      <c r="P19" s="86"/>
    </row>
    <row r="20" spans="1:16" ht="108" customHeight="1" thickBot="1">
      <c r="A20" s="87"/>
      <c r="B20" s="98"/>
      <c r="D20" s="381" t="s">
        <v>132</v>
      </c>
      <c r="E20" s="520"/>
      <c r="F20" s="521"/>
      <c r="G20" s="521"/>
      <c r="H20" s="521"/>
      <c r="I20" s="521"/>
      <c r="J20" s="522"/>
      <c r="K20" s="398"/>
      <c r="L20" s="383"/>
      <c r="M20" s="125"/>
      <c r="N20" s="123"/>
      <c r="O20" s="121"/>
    </row>
    <row r="21" spans="1:16" s="275" customFormat="1" ht="81.75" customHeight="1" thickBot="1">
      <c r="B21" s="276"/>
      <c r="C21" s="277"/>
      <c r="D21" s="384" t="s">
        <v>133</v>
      </c>
      <c r="E21" s="520"/>
      <c r="F21" s="521"/>
      <c r="G21" s="521"/>
      <c r="H21" s="521"/>
      <c r="I21" s="521"/>
      <c r="J21" s="522"/>
      <c r="K21" s="399"/>
      <c r="L21" s="66"/>
      <c r="M21" s="123"/>
      <c r="N21" s="123"/>
      <c r="O21" s="128"/>
    </row>
    <row r="22" spans="1:16" ht="98.25" customHeight="1" thickBot="1">
      <c r="A22" s="91"/>
      <c r="B22" s="117"/>
      <c r="C22" s="95"/>
      <c r="D22" s="400" t="s">
        <v>134</v>
      </c>
      <c r="E22" s="520"/>
      <c r="F22" s="521"/>
      <c r="G22" s="521"/>
      <c r="H22" s="521"/>
      <c r="I22" s="521"/>
      <c r="J22" s="522"/>
      <c r="L22" s="123"/>
      <c r="M22" s="126"/>
      <c r="N22" s="126"/>
      <c r="O22" s="123"/>
      <c r="P22" s="66"/>
    </row>
    <row r="23" spans="1:16" ht="23.25" customHeight="1">
      <c r="A23" s="91"/>
      <c r="B23" s="111"/>
      <c r="C23" s="111"/>
      <c r="D23" s="90"/>
      <c r="F23" s="115"/>
      <c r="G23" s="89"/>
      <c r="H23" s="89"/>
      <c r="I23" s="115"/>
      <c r="K23" s="90"/>
      <c r="L23" s="90"/>
      <c r="M23" s="98"/>
      <c r="N23" s="115"/>
      <c r="O23" s="115"/>
    </row>
    <row r="24" spans="1:16" ht="22.5" customHeight="1">
      <c r="A24" s="91"/>
      <c r="B24" s="111"/>
      <c r="C24" s="111"/>
      <c r="D24" s="90"/>
      <c r="E24" s="86"/>
      <c r="F24" s="90"/>
      <c r="G24" s="97"/>
      <c r="H24" s="90"/>
      <c r="I24" s="90"/>
      <c r="J24" s="87"/>
      <c r="K24" s="87"/>
      <c r="L24" s="87"/>
      <c r="M24" s="90"/>
      <c r="N24" s="90"/>
      <c r="O24" s="117"/>
    </row>
    <row r="25" spans="1:16" ht="22.5" customHeight="1">
      <c r="A25" s="91"/>
      <c r="B25" s="90"/>
      <c r="C25" s="98"/>
      <c r="D25" s="98"/>
      <c r="E25" s="90"/>
      <c r="F25" s="90"/>
      <c r="G25" s="91"/>
      <c r="H25" s="90"/>
      <c r="I25" s="90"/>
      <c r="J25" s="89"/>
      <c r="K25" s="115"/>
      <c r="L25" s="106"/>
      <c r="M25" s="90"/>
      <c r="N25" s="115"/>
      <c r="O25" s="117"/>
    </row>
    <row r="26" spans="1:16">
      <c r="A26" s="88"/>
      <c r="B26" s="98"/>
      <c r="C26" s="98"/>
      <c r="D26" s="90"/>
      <c r="E26" s="111"/>
      <c r="F26" s="90"/>
      <c r="G26" s="98"/>
      <c r="H26" s="90"/>
      <c r="I26" s="116"/>
      <c r="J26" s="87"/>
      <c r="K26" s="87"/>
      <c r="L26" s="87"/>
      <c r="M26" s="90"/>
      <c r="N26" s="115"/>
      <c r="O26" s="115"/>
    </row>
    <row r="27" spans="1:16" ht="15.75" thickBot="1">
      <c r="A27" s="91"/>
      <c r="B27" s="90"/>
      <c r="C27" s="115"/>
      <c r="D27" s="115"/>
      <c r="E27" s="90"/>
      <c r="F27" s="117"/>
      <c r="G27" s="98"/>
      <c r="H27" s="98"/>
      <c r="I27" s="98"/>
      <c r="J27" s="98"/>
      <c r="K27" s="91"/>
      <c r="M27" s="98"/>
      <c r="N27" s="98"/>
      <c r="O27" s="117"/>
    </row>
    <row r="28" spans="1:16">
      <c r="A28" s="91"/>
      <c r="B28" s="115"/>
      <c r="C28" s="115"/>
      <c r="D28" s="115"/>
      <c r="E28" s="90"/>
      <c r="F28" s="98"/>
      <c r="G28" s="90"/>
      <c r="H28" s="98"/>
      <c r="I28" s="87"/>
      <c r="J28" s="132"/>
      <c r="K28" s="133"/>
      <c r="L28" s="86"/>
      <c r="M28" s="111"/>
      <c r="N28" s="98"/>
      <c r="O28" s="98"/>
    </row>
    <row r="29" spans="1:16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88"/>
      <c r="M29" s="90"/>
      <c r="N29" s="88"/>
      <c r="O29" s="90"/>
    </row>
    <row r="30" spans="1:16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7"/>
      <c r="M30" s="87"/>
      <c r="N30" s="88"/>
      <c r="O30" s="116"/>
    </row>
    <row r="31" spans="1:16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1"/>
      <c r="M31" s="90"/>
      <c r="N31" s="116"/>
    </row>
    <row r="32" spans="1:16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88"/>
      <c r="M32" s="115"/>
      <c r="N32" s="95"/>
    </row>
    <row r="33" spans="1:14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116"/>
      <c r="M33" s="115"/>
    </row>
    <row r="34" spans="1:14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106"/>
      <c r="M34" s="90"/>
    </row>
    <row r="35" spans="1:14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1"/>
      <c r="M35" s="89"/>
      <c r="N35" s="106"/>
    </row>
    <row r="36" spans="1:14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86"/>
      <c r="M36" s="111"/>
      <c r="N36" s="86"/>
    </row>
    <row r="37" spans="1:14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</row>
    <row r="38" spans="1:14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</row>
    <row r="39" spans="1:14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</row>
    <row r="40" spans="1:14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</row>
    <row r="41" spans="1:14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</row>
    <row r="42" spans="1:14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</row>
    <row r="43" spans="1:14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</row>
    <row r="44" spans="1:1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</row>
    <row r="45" spans="1:14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</row>
    <row r="46" spans="1:14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</row>
    <row r="47" spans="1:14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</row>
    <row r="48" spans="1:14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</row>
    <row r="49" spans="1:1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</row>
    <row r="50" spans="1:1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1" sqref="B1:Y1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98"/>
      <c r="B1" s="543" t="s">
        <v>0</v>
      </c>
      <c r="C1" s="544"/>
      <c r="D1" s="544"/>
      <c r="E1" s="544"/>
      <c r="F1" s="544"/>
      <c r="G1" s="544"/>
      <c r="H1" s="544"/>
      <c r="I1" s="544"/>
      <c r="J1" s="544"/>
      <c r="K1" s="544"/>
      <c r="L1" s="544"/>
      <c r="M1" s="544"/>
      <c r="N1" s="544"/>
      <c r="O1" s="544"/>
      <c r="P1" s="544"/>
      <c r="Q1" s="544"/>
      <c r="R1" s="544"/>
      <c r="S1" s="544"/>
      <c r="T1" s="544"/>
      <c r="U1" s="544"/>
      <c r="V1" s="544"/>
      <c r="W1" s="544"/>
      <c r="X1" s="544"/>
      <c r="Y1" s="545"/>
      <c r="Z1" s="193"/>
    </row>
    <row r="2" spans="1:28" ht="9" customHeight="1" thickBot="1">
      <c r="A2" s="196"/>
      <c r="B2" s="96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95"/>
      <c r="R2" s="117"/>
      <c r="S2" s="117"/>
      <c r="T2" s="117"/>
      <c r="U2" s="95"/>
      <c r="V2" s="117"/>
      <c r="W2" s="117"/>
      <c r="X2" s="117"/>
      <c r="Y2" s="95"/>
      <c r="Z2" s="90"/>
      <c r="AA2" s="111"/>
    </row>
    <row r="3" spans="1:28" ht="24.75" customHeight="1" thickBot="1">
      <c r="A3" s="199" t="s">
        <v>180</v>
      </c>
      <c r="B3" s="546" t="s">
        <v>221</v>
      </c>
      <c r="C3" s="547"/>
      <c r="D3" s="547"/>
      <c r="E3" s="547"/>
      <c r="F3" s="547"/>
      <c r="G3" s="547"/>
      <c r="H3" s="547"/>
      <c r="I3" s="547"/>
      <c r="J3" s="547"/>
      <c r="K3" s="547"/>
      <c r="L3" s="547"/>
      <c r="M3" s="547"/>
      <c r="N3" s="547"/>
      <c r="O3" s="547"/>
      <c r="P3" s="547"/>
      <c r="Q3" s="547"/>
      <c r="R3" s="547"/>
      <c r="S3" s="547"/>
      <c r="T3" s="547"/>
      <c r="U3" s="547"/>
      <c r="V3" s="547"/>
      <c r="W3" s="547"/>
      <c r="X3" s="547"/>
      <c r="Y3" s="548"/>
      <c r="Z3" s="194"/>
      <c r="AA3" s="111"/>
    </row>
    <row r="4" spans="1:28" ht="23.25" customHeight="1" thickBot="1">
      <c r="A4" s="200" t="s">
        <v>181</v>
      </c>
      <c r="B4" s="549" t="s">
        <v>182</v>
      </c>
      <c r="C4" s="550"/>
      <c r="D4" s="550"/>
      <c r="E4" s="550"/>
      <c r="F4" s="550"/>
      <c r="G4" s="550"/>
      <c r="H4" s="550"/>
      <c r="I4" s="550"/>
      <c r="J4" s="550"/>
      <c r="K4" s="550"/>
      <c r="L4" s="550"/>
      <c r="M4" s="550"/>
      <c r="N4" s="550"/>
      <c r="O4" s="550"/>
      <c r="P4" s="550"/>
      <c r="Q4" s="550"/>
      <c r="R4" s="550"/>
      <c r="S4" s="550"/>
      <c r="T4" s="550"/>
      <c r="U4" s="550"/>
      <c r="V4" s="550"/>
      <c r="W4" s="550"/>
      <c r="X4" s="550"/>
      <c r="Y4" s="551"/>
      <c r="Z4" s="195"/>
      <c r="AA4" s="111"/>
    </row>
    <row r="5" spans="1:28" ht="15.75" thickBot="1">
      <c r="A5" s="197"/>
      <c r="B5" s="96"/>
      <c r="C5" s="117"/>
      <c r="D5" s="117"/>
      <c r="E5" s="117"/>
      <c r="F5" s="115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95"/>
      <c r="R5" s="95"/>
      <c r="S5" s="117"/>
      <c r="T5" s="117"/>
      <c r="U5" s="95"/>
      <c r="V5" s="117"/>
      <c r="W5" s="117"/>
      <c r="X5" s="117"/>
      <c r="Y5" s="95"/>
      <c r="Z5" s="90"/>
      <c r="AA5" s="111"/>
    </row>
    <row r="6" spans="1:28" ht="24.75" customHeight="1" thickBot="1">
      <c r="A6" s="201"/>
      <c r="B6" s="555" t="s">
        <v>137</v>
      </c>
      <c r="C6" s="556"/>
      <c r="D6" s="556"/>
      <c r="E6" s="557"/>
      <c r="F6" s="97"/>
      <c r="G6" s="160"/>
      <c r="H6" s="575" t="s">
        <v>142</v>
      </c>
      <c r="I6" s="576"/>
      <c r="J6" s="576"/>
      <c r="K6" s="577"/>
      <c r="L6" s="97"/>
      <c r="M6" s="160"/>
      <c r="N6" s="583" t="s">
        <v>161</v>
      </c>
      <c r="O6" s="584"/>
      <c r="P6" s="585"/>
      <c r="Q6" s="167"/>
      <c r="R6" s="169"/>
      <c r="S6" s="535" t="s">
        <v>143</v>
      </c>
      <c r="T6" s="536"/>
      <c r="U6" s="170"/>
      <c r="V6" s="174"/>
      <c r="W6" s="161"/>
      <c r="X6" s="535" t="s">
        <v>144</v>
      </c>
      <c r="Y6" s="536"/>
      <c r="Z6" s="88"/>
      <c r="AA6" s="111"/>
    </row>
    <row r="7" spans="1:28" ht="30.75" customHeight="1" thickBot="1">
      <c r="A7" s="201"/>
      <c r="B7" s="211" t="s">
        <v>138</v>
      </c>
      <c r="C7" s="203" t="s">
        <v>139</v>
      </c>
      <c r="D7" s="204" t="s">
        <v>140</v>
      </c>
      <c r="E7" s="205" t="s">
        <v>141</v>
      </c>
      <c r="F7" s="97"/>
      <c r="G7" s="127"/>
      <c r="H7" s="571">
        <f>I23</f>
        <v>0</v>
      </c>
      <c r="I7" s="582"/>
      <c r="J7" s="582"/>
      <c r="K7" s="572"/>
      <c r="L7" s="97"/>
      <c r="M7" s="127"/>
      <c r="N7" s="567">
        <f>L23</f>
        <v>0</v>
      </c>
      <c r="O7" s="568"/>
      <c r="P7" s="569"/>
      <c r="Q7" s="168"/>
      <c r="R7" s="170"/>
      <c r="S7" s="571">
        <f>O23</f>
        <v>0</v>
      </c>
      <c r="T7" s="572"/>
      <c r="U7" s="97"/>
      <c r="V7" s="173"/>
      <c r="W7" s="90"/>
      <c r="X7" s="571">
        <f>R23</f>
        <v>0</v>
      </c>
      <c r="Y7" s="572"/>
      <c r="Z7" s="159"/>
      <c r="AA7" s="111"/>
    </row>
    <row r="8" spans="1:28" ht="21.75" customHeight="1" thickBot="1">
      <c r="A8" s="201"/>
      <c r="B8" s="213"/>
      <c r="C8" s="207"/>
      <c r="D8" s="202"/>
      <c r="E8" s="222"/>
      <c r="F8" s="97"/>
      <c r="G8" s="162"/>
      <c r="H8" s="163"/>
      <c r="I8" s="164"/>
      <c r="J8" s="172"/>
      <c r="K8" s="165"/>
      <c r="L8" s="97"/>
      <c r="M8" s="162"/>
      <c r="N8" s="166"/>
      <c r="O8" s="166"/>
      <c r="P8" s="165"/>
      <c r="Q8" s="97"/>
      <c r="R8" s="171"/>
      <c r="S8" s="166"/>
      <c r="T8" s="165"/>
      <c r="U8" s="86"/>
      <c r="V8" s="162"/>
      <c r="W8" s="166"/>
      <c r="X8" s="166"/>
      <c r="Y8" s="165"/>
      <c r="Z8" s="88"/>
      <c r="AA8" s="111"/>
    </row>
    <row r="9" spans="1:28" ht="18" customHeight="1" thickBot="1">
      <c r="A9" s="206"/>
      <c r="B9" s="213"/>
      <c r="C9" s="208"/>
      <c r="D9" s="152"/>
      <c r="E9" s="223"/>
      <c r="F9" s="88"/>
      <c r="G9" s="117"/>
      <c r="H9" s="117"/>
      <c r="I9" s="117"/>
      <c r="J9" s="117"/>
      <c r="K9" s="117"/>
      <c r="L9" s="117"/>
      <c r="M9" s="117"/>
      <c r="N9" s="117"/>
      <c r="O9" s="180"/>
      <c r="P9" s="117"/>
      <c r="Q9" s="95"/>
      <c r="R9" s="95"/>
      <c r="S9" s="117"/>
      <c r="T9" s="117"/>
      <c r="U9" s="98"/>
      <c r="V9" s="117"/>
      <c r="W9" s="117"/>
      <c r="X9" s="117"/>
      <c r="Y9" s="95"/>
      <c r="Z9" s="90"/>
      <c r="AA9" s="111"/>
    </row>
    <row r="10" spans="1:28" ht="21" customHeight="1">
      <c r="A10" s="89"/>
      <c r="B10" s="213"/>
      <c r="C10" s="208"/>
      <c r="D10" s="152"/>
      <c r="E10" s="223"/>
      <c r="F10" s="97"/>
      <c r="G10" s="563" t="s">
        <v>145</v>
      </c>
      <c r="H10" s="564"/>
      <c r="I10" s="564"/>
      <c r="J10" s="564"/>
      <c r="K10" s="564"/>
      <c r="L10" s="564"/>
      <c r="M10" s="564"/>
      <c r="N10" s="564"/>
      <c r="O10" s="564"/>
      <c r="P10" s="564"/>
      <c r="Q10" s="564"/>
      <c r="R10" s="564"/>
      <c r="S10" s="564"/>
      <c r="T10" s="564"/>
      <c r="U10" s="564"/>
      <c r="V10" s="564"/>
      <c r="W10" s="564"/>
      <c r="X10" s="564"/>
      <c r="Y10" s="565"/>
      <c r="Z10" s="88"/>
      <c r="AA10" s="111"/>
    </row>
    <row r="11" spans="1:28" ht="19.5" customHeight="1">
      <c r="A11" s="87"/>
      <c r="B11" s="213"/>
      <c r="C11" s="212"/>
      <c r="D11" s="152"/>
      <c r="E11" s="223"/>
      <c r="F11" s="97"/>
      <c r="G11" s="566" t="s">
        <v>146</v>
      </c>
      <c r="H11" s="561"/>
      <c r="I11" s="561" t="s">
        <v>147</v>
      </c>
      <c r="J11" s="561"/>
      <c r="K11" s="561"/>
      <c r="L11" s="561" t="s">
        <v>148</v>
      </c>
      <c r="M11" s="561"/>
      <c r="N11" s="561"/>
      <c r="O11" s="561" t="s">
        <v>149</v>
      </c>
      <c r="P11" s="561"/>
      <c r="Q11" s="561"/>
      <c r="R11" s="561" t="s">
        <v>144</v>
      </c>
      <c r="S11" s="561"/>
      <c r="T11" s="561"/>
      <c r="U11" s="561"/>
      <c r="V11" s="561"/>
      <c r="W11" s="561"/>
      <c r="X11" s="561"/>
      <c r="Y11" s="562"/>
      <c r="Z11" s="88"/>
      <c r="AA11" s="111"/>
    </row>
    <row r="12" spans="1:28" ht="17.25" customHeight="1">
      <c r="A12" s="87"/>
      <c r="B12" s="214"/>
      <c r="C12" s="216"/>
      <c r="D12" s="208"/>
      <c r="E12" s="223"/>
      <c r="F12" s="97"/>
      <c r="G12" s="566"/>
      <c r="H12" s="561"/>
      <c r="I12" s="561"/>
      <c r="J12" s="561"/>
      <c r="K12" s="561"/>
      <c r="L12" s="561"/>
      <c r="M12" s="561"/>
      <c r="N12" s="561"/>
      <c r="O12" s="561"/>
      <c r="P12" s="561"/>
      <c r="Q12" s="561"/>
      <c r="R12" s="537" t="s">
        <v>150</v>
      </c>
      <c r="S12" s="537"/>
      <c r="T12" s="537" t="s">
        <v>151</v>
      </c>
      <c r="U12" s="537"/>
      <c r="V12" s="537" t="s">
        <v>152</v>
      </c>
      <c r="W12" s="537"/>
      <c r="X12" s="537" t="s">
        <v>153</v>
      </c>
      <c r="Y12" s="558"/>
      <c r="Z12" s="88"/>
      <c r="AA12" s="87"/>
    </row>
    <row r="13" spans="1:28" ht="18.75" customHeight="1">
      <c r="A13" s="87"/>
      <c r="B13" s="213"/>
      <c r="C13" s="207"/>
      <c r="D13" s="152"/>
      <c r="E13" s="223"/>
      <c r="F13" s="97"/>
      <c r="G13" s="566"/>
      <c r="H13" s="561"/>
      <c r="I13" s="561"/>
      <c r="J13" s="561"/>
      <c r="K13" s="561"/>
      <c r="L13" s="561"/>
      <c r="M13" s="561"/>
      <c r="N13" s="561"/>
      <c r="O13" s="561"/>
      <c r="P13" s="561"/>
      <c r="Q13" s="561"/>
      <c r="R13" s="537"/>
      <c r="S13" s="537"/>
      <c r="T13" s="537"/>
      <c r="U13" s="537"/>
      <c r="V13" s="537"/>
      <c r="W13" s="537"/>
      <c r="X13" s="559"/>
      <c r="Y13" s="560"/>
      <c r="Z13" s="88"/>
      <c r="AA13" s="89"/>
    </row>
    <row r="14" spans="1:28" ht="18.75" customHeight="1">
      <c r="A14" s="87"/>
      <c r="B14" s="213"/>
      <c r="C14" s="208"/>
      <c r="D14" s="152"/>
      <c r="E14" s="223"/>
      <c r="F14" s="97"/>
      <c r="G14" s="538"/>
      <c r="H14" s="539"/>
      <c r="I14" s="540"/>
      <c r="J14" s="541"/>
      <c r="K14" s="542"/>
      <c r="L14" s="534"/>
      <c r="M14" s="534"/>
      <c r="N14" s="534"/>
      <c r="O14" s="534"/>
      <c r="P14" s="534"/>
      <c r="Q14" s="534"/>
      <c r="R14" s="534"/>
      <c r="S14" s="534"/>
      <c r="T14" s="534"/>
      <c r="U14" s="534"/>
      <c r="V14" s="534"/>
      <c r="W14" s="540"/>
      <c r="X14" s="534"/>
      <c r="Y14" s="570"/>
      <c r="Z14" s="88"/>
    </row>
    <row r="15" spans="1:28" ht="19.5" customHeight="1" thickBot="1">
      <c r="A15" s="87"/>
      <c r="B15" s="215"/>
      <c r="C15" s="210"/>
      <c r="D15" s="209"/>
      <c r="E15" s="224"/>
      <c r="F15" s="97"/>
      <c r="G15" s="538"/>
      <c r="H15" s="539"/>
      <c r="I15" s="540"/>
      <c r="J15" s="541"/>
      <c r="K15" s="542"/>
      <c r="L15" s="534"/>
      <c r="M15" s="534"/>
      <c r="N15" s="534"/>
      <c r="O15" s="534"/>
      <c r="P15" s="534"/>
      <c r="Q15" s="534"/>
      <c r="R15" s="534"/>
      <c r="S15" s="534"/>
      <c r="T15" s="534"/>
      <c r="U15" s="534"/>
      <c r="V15" s="534"/>
      <c r="W15" s="540"/>
      <c r="X15" s="534"/>
      <c r="Y15" s="570"/>
      <c r="Z15" s="88"/>
      <c r="AA15" s="111"/>
    </row>
    <row r="16" spans="1:28" ht="24" customHeight="1" thickBot="1">
      <c r="A16" s="90"/>
      <c r="B16" s="117"/>
      <c r="C16" s="117"/>
      <c r="D16" s="117"/>
      <c r="E16" s="117"/>
      <c r="F16" s="87"/>
      <c r="G16" s="538"/>
      <c r="H16" s="539"/>
      <c r="I16" s="540"/>
      <c r="J16" s="541"/>
      <c r="K16" s="542"/>
      <c r="L16" s="534"/>
      <c r="M16" s="534"/>
      <c r="N16" s="534"/>
      <c r="O16" s="534"/>
      <c r="P16" s="534"/>
      <c r="Q16" s="534"/>
      <c r="R16" s="534"/>
      <c r="S16" s="534"/>
      <c r="T16" s="534"/>
      <c r="U16" s="534"/>
      <c r="V16" s="534"/>
      <c r="W16" s="540"/>
      <c r="X16" s="534"/>
      <c r="Y16" s="570"/>
      <c r="Z16" s="88"/>
      <c r="AA16" s="111"/>
      <c r="AB16" s="218"/>
    </row>
    <row r="17" spans="1:27" ht="21" customHeight="1">
      <c r="A17" s="87"/>
      <c r="B17" s="552" t="s">
        <v>155</v>
      </c>
      <c r="C17" s="553"/>
      <c r="D17" s="553"/>
      <c r="E17" s="554"/>
      <c r="F17" s="97"/>
      <c r="G17" s="538"/>
      <c r="H17" s="539"/>
      <c r="I17" s="540"/>
      <c r="J17" s="541"/>
      <c r="K17" s="542"/>
      <c r="L17" s="534"/>
      <c r="M17" s="534"/>
      <c r="N17" s="534"/>
      <c r="O17" s="534"/>
      <c r="P17" s="534"/>
      <c r="Q17" s="534"/>
      <c r="R17" s="534"/>
      <c r="S17" s="534"/>
      <c r="T17" s="534"/>
      <c r="U17" s="534"/>
      <c r="V17" s="534"/>
      <c r="W17" s="540"/>
      <c r="X17" s="534"/>
      <c r="Y17" s="570"/>
      <c r="Z17" s="88"/>
      <c r="AA17" s="111"/>
    </row>
    <row r="18" spans="1:27" ht="34.5" customHeight="1">
      <c r="A18" s="87"/>
      <c r="B18" s="175" t="s">
        <v>156</v>
      </c>
      <c r="C18" s="151" t="s">
        <v>150</v>
      </c>
      <c r="D18" s="150" t="s">
        <v>136</v>
      </c>
      <c r="E18" s="176" t="s">
        <v>157</v>
      </c>
      <c r="F18" s="97"/>
      <c r="G18" s="538"/>
      <c r="H18" s="539"/>
      <c r="I18" s="540"/>
      <c r="J18" s="541"/>
      <c r="K18" s="542"/>
      <c r="L18" s="534"/>
      <c r="M18" s="534"/>
      <c r="N18" s="534"/>
      <c r="O18" s="534"/>
      <c r="P18" s="534"/>
      <c r="Q18" s="534"/>
      <c r="R18" s="534"/>
      <c r="S18" s="534"/>
      <c r="T18" s="534"/>
      <c r="U18" s="534"/>
      <c r="V18" s="534"/>
      <c r="W18" s="540"/>
      <c r="X18" s="534"/>
      <c r="Y18" s="570"/>
      <c r="Z18" s="88"/>
      <c r="AA18" s="111"/>
    </row>
    <row r="19" spans="1:27" ht="30.75" customHeight="1">
      <c r="A19" s="87"/>
      <c r="B19" s="177"/>
      <c r="C19" s="152"/>
      <c r="D19" s="157"/>
      <c r="E19" s="225"/>
      <c r="F19" s="97"/>
      <c r="G19" s="538"/>
      <c r="H19" s="539"/>
      <c r="I19" s="540"/>
      <c r="J19" s="541"/>
      <c r="K19" s="542"/>
      <c r="L19" s="534"/>
      <c r="M19" s="534"/>
      <c r="N19" s="534"/>
      <c r="O19" s="534"/>
      <c r="P19" s="534"/>
      <c r="Q19" s="534"/>
      <c r="R19" s="534"/>
      <c r="S19" s="534"/>
      <c r="T19" s="534"/>
      <c r="U19" s="534"/>
      <c r="V19" s="534"/>
      <c r="W19" s="540"/>
      <c r="X19" s="534"/>
      <c r="Y19" s="570"/>
      <c r="Z19" s="88"/>
      <c r="AA19" s="111"/>
    </row>
    <row r="20" spans="1:27" ht="30" customHeight="1">
      <c r="A20" s="87"/>
      <c r="B20" s="177"/>
      <c r="C20" s="157"/>
      <c r="D20" s="157"/>
      <c r="E20" s="225"/>
      <c r="F20" s="97"/>
      <c r="G20" s="538"/>
      <c r="H20" s="539"/>
      <c r="I20" s="540"/>
      <c r="J20" s="541"/>
      <c r="K20" s="542"/>
      <c r="L20" s="534"/>
      <c r="M20" s="534"/>
      <c r="N20" s="534"/>
      <c r="O20" s="534"/>
      <c r="P20" s="534"/>
      <c r="Q20" s="534"/>
      <c r="R20" s="534"/>
      <c r="S20" s="534"/>
      <c r="T20" s="534"/>
      <c r="U20" s="534"/>
      <c r="V20" s="534"/>
      <c r="W20" s="540"/>
      <c r="X20" s="534"/>
      <c r="Y20" s="570"/>
      <c r="Z20" s="88"/>
      <c r="AA20" s="111"/>
    </row>
    <row r="21" spans="1:27" ht="30" customHeight="1">
      <c r="A21" s="87"/>
      <c r="B21" s="177"/>
      <c r="C21" s="157"/>
      <c r="D21" s="157"/>
      <c r="E21" s="225"/>
      <c r="F21" s="97"/>
      <c r="G21" s="538"/>
      <c r="H21" s="539"/>
      <c r="I21" s="540"/>
      <c r="J21" s="541"/>
      <c r="K21" s="542"/>
      <c r="L21" s="534"/>
      <c r="M21" s="534"/>
      <c r="N21" s="534"/>
      <c r="O21" s="534"/>
      <c r="P21" s="534"/>
      <c r="Q21" s="534"/>
      <c r="R21" s="534"/>
      <c r="S21" s="534"/>
      <c r="T21" s="534"/>
      <c r="U21" s="534"/>
      <c r="V21" s="534"/>
      <c r="W21" s="540"/>
      <c r="X21" s="534"/>
      <c r="Y21" s="570"/>
      <c r="Z21" s="88"/>
      <c r="AA21" s="111"/>
    </row>
    <row r="22" spans="1:27" ht="32.25" customHeight="1">
      <c r="A22" s="87"/>
      <c r="B22" s="177"/>
      <c r="C22" s="157"/>
      <c r="D22" s="157"/>
      <c r="E22" s="225"/>
      <c r="F22" s="97"/>
      <c r="G22" s="538"/>
      <c r="H22" s="539"/>
      <c r="I22" s="540"/>
      <c r="J22" s="541"/>
      <c r="K22" s="542"/>
      <c r="L22" s="534"/>
      <c r="M22" s="534"/>
      <c r="N22" s="534"/>
      <c r="O22" s="534"/>
      <c r="P22" s="534"/>
      <c r="Q22" s="534"/>
      <c r="R22" s="534"/>
      <c r="S22" s="534"/>
      <c r="T22" s="534"/>
      <c r="U22" s="534"/>
      <c r="V22" s="534"/>
      <c r="W22" s="540"/>
      <c r="X22" s="534"/>
      <c r="Y22" s="570"/>
      <c r="Z22" s="88"/>
      <c r="AA22" s="111"/>
    </row>
    <row r="23" spans="1:27" ht="30.75" customHeight="1" thickBot="1">
      <c r="A23" s="87"/>
      <c r="B23" s="178"/>
      <c r="C23" s="179"/>
      <c r="D23" s="179"/>
      <c r="E23" s="226"/>
      <c r="F23" s="97"/>
      <c r="G23" s="581" t="s">
        <v>154</v>
      </c>
      <c r="H23" s="573"/>
      <c r="I23" s="573">
        <f>SUM(I14:K22)</f>
        <v>0</v>
      </c>
      <c r="J23" s="573"/>
      <c r="K23" s="573"/>
      <c r="L23" s="573">
        <f>SUM(L14:N22)</f>
        <v>0</v>
      </c>
      <c r="M23" s="573"/>
      <c r="N23" s="573"/>
      <c r="O23" s="578">
        <f>SUM(O14:Q22)</f>
        <v>0</v>
      </c>
      <c r="P23" s="579"/>
      <c r="Q23" s="580"/>
      <c r="R23" s="578">
        <f>SUM(R14:S22)</f>
        <v>0</v>
      </c>
      <c r="S23" s="580"/>
      <c r="T23" s="578">
        <f>SUM(T14:U22)</f>
        <v>0</v>
      </c>
      <c r="U23" s="580"/>
      <c r="V23" s="578">
        <f>SUM(V14:W22)</f>
        <v>0</v>
      </c>
      <c r="W23" s="579"/>
      <c r="X23" s="573">
        <f>SUM(X14:Y22)</f>
        <v>0</v>
      </c>
      <c r="Y23" s="574"/>
      <c r="Z23" s="88"/>
      <c r="AA23" s="111"/>
    </row>
    <row r="24" spans="1:27" ht="12" customHeight="1">
      <c r="A24" s="90"/>
      <c r="B24" s="115"/>
      <c r="C24" s="115"/>
      <c r="D24" s="115"/>
      <c r="E24" s="115"/>
      <c r="F24" s="90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89"/>
      <c r="R24" s="89"/>
      <c r="S24" s="115"/>
      <c r="T24" s="115"/>
      <c r="U24" s="89"/>
      <c r="V24" s="115"/>
      <c r="W24" s="115"/>
      <c r="X24" s="115"/>
      <c r="Y24" s="89"/>
      <c r="Z24" s="90"/>
      <c r="AA24" s="111"/>
    </row>
    <row r="25" spans="1:27" ht="9" customHeight="1" thickBot="1">
      <c r="A25" s="90"/>
      <c r="B25" s="90"/>
      <c r="C25" s="90"/>
      <c r="D25" s="90"/>
      <c r="E25" s="90"/>
      <c r="F25" s="90"/>
      <c r="G25" s="98"/>
      <c r="H25" s="98"/>
      <c r="I25" s="98"/>
      <c r="J25" s="98"/>
      <c r="K25" s="90"/>
      <c r="L25" s="98"/>
      <c r="M25" s="98"/>
      <c r="N25" s="98"/>
      <c r="O25" s="98"/>
      <c r="P25" s="98"/>
      <c r="Q25" s="111"/>
      <c r="R25" s="111"/>
      <c r="S25" s="98"/>
      <c r="T25" s="98"/>
      <c r="U25" s="111"/>
      <c r="V25" s="98"/>
      <c r="W25" s="98"/>
      <c r="X25" s="98"/>
      <c r="Y25" s="111"/>
      <c r="Z25" s="90"/>
      <c r="AA25" s="111"/>
    </row>
    <row r="26" spans="1:27" ht="37.5" customHeight="1">
      <c r="A26" s="90"/>
      <c r="B26" s="90"/>
      <c r="C26" s="90"/>
      <c r="D26" s="90"/>
      <c r="E26" s="90"/>
      <c r="F26" s="87"/>
      <c r="G26" s="153"/>
      <c r="H26" s="618" t="s">
        <v>169</v>
      </c>
      <c r="I26" s="619"/>
      <c r="J26" s="620"/>
      <c r="K26" s="97"/>
      <c r="L26" s="624" t="s">
        <v>162</v>
      </c>
      <c r="M26" s="625"/>
      <c r="N26" s="625"/>
      <c r="O26" s="625"/>
      <c r="P26" s="625"/>
      <c r="Q26" s="625"/>
      <c r="R26" s="625"/>
      <c r="S26" s="625"/>
      <c r="T26" s="625"/>
      <c r="U26" s="625"/>
      <c r="V26" s="625"/>
      <c r="W26" s="625"/>
      <c r="X26" s="625"/>
      <c r="Y26" s="626"/>
      <c r="Z26" s="88"/>
      <c r="AA26" s="111"/>
    </row>
    <row r="27" spans="1:27" ht="32.25" customHeight="1">
      <c r="A27" s="90"/>
      <c r="B27" s="90"/>
      <c r="C27" s="90"/>
      <c r="D27" s="90"/>
      <c r="E27" s="90"/>
      <c r="F27" s="87"/>
      <c r="G27" s="154"/>
      <c r="H27" s="615">
        <f>Y38</f>
        <v>0</v>
      </c>
      <c r="I27" s="616"/>
      <c r="J27" s="617"/>
      <c r="K27" s="97"/>
      <c r="L27" s="589" t="s">
        <v>146</v>
      </c>
      <c r="M27" s="537"/>
      <c r="N27" s="537"/>
      <c r="O27" s="537" t="s">
        <v>163</v>
      </c>
      <c r="P27" s="537"/>
      <c r="Q27" s="537" t="s">
        <v>164</v>
      </c>
      <c r="R27" s="537"/>
      <c r="S27" s="537" t="s">
        <v>165</v>
      </c>
      <c r="T27" s="537" t="s">
        <v>166</v>
      </c>
      <c r="U27" s="537"/>
      <c r="V27" s="537" t="s">
        <v>167</v>
      </c>
      <c r="W27" s="537" t="s">
        <v>168</v>
      </c>
      <c r="X27" s="537"/>
      <c r="Y27" s="558" t="s">
        <v>154</v>
      </c>
      <c r="Z27" s="88"/>
      <c r="AA27" s="87"/>
    </row>
    <row r="28" spans="1:27" ht="9.75" customHeight="1">
      <c r="A28" s="90"/>
      <c r="B28" s="90"/>
      <c r="C28" s="90"/>
      <c r="D28" s="90"/>
      <c r="E28" s="90"/>
      <c r="F28" s="87"/>
      <c r="G28" s="154"/>
      <c r="H28" s="90"/>
      <c r="I28" s="90"/>
      <c r="J28" s="185"/>
      <c r="K28" s="97"/>
      <c r="L28" s="589"/>
      <c r="M28" s="537"/>
      <c r="N28" s="537"/>
      <c r="O28" s="537"/>
      <c r="P28" s="537"/>
      <c r="Q28" s="537"/>
      <c r="R28" s="537"/>
      <c r="S28" s="537"/>
      <c r="T28" s="537"/>
      <c r="U28" s="537"/>
      <c r="V28" s="537"/>
      <c r="W28" s="537"/>
      <c r="X28" s="537"/>
      <c r="Y28" s="558"/>
      <c r="Z28" s="88"/>
      <c r="AA28" s="111"/>
    </row>
    <row r="29" spans="1:27" ht="17.25" customHeight="1" thickBot="1">
      <c r="A29" s="90"/>
      <c r="B29" s="90"/>
      <c r="C29" s="90"/>
      <c r="D29" s="90"/>
      <c r="E29" s="90"/>
      <c r="F29" s="87"/>
      <c r="G29" s="155"/>
      <c r="H29" s="186"/>
      <c r="I29" s="186"/>
      <c r="J29" s="156"/>
      <c r="K29" s="97"/>
      <c r="L29" s="586"/>
      <c r="M29" s="587"/>
      <c r="N29" s="587"/>
      <c r="O29" s="587"/>
      <c r="P29" s="587"/>
      <c r="Q29" s="587"/>
      <c r="R29" s="587"/>
      <c r="S29" s="79"/>
      <c r="T29" s="587"/>
      <c r="U29" s="587"/>
      <c r="V29" s="79"/>
      <c r="W29" s="587"/>
      <c r="X29" s="588"/>
      <c r="Y29" s="219"/>
      <c r="Z29" s="88"/>
      <c r="AA29" s="111"/>
    </row>
    <row r="30" spans="1:27" ht="15.75" thickBot="1">
      <c r="A30" s="90"/>
      <c r="B30" s="90"/>
      <c r="C30" s="90"/>
      <c r="D30" s="90"/>
      <c r="E30" s="90"/>
      <c r="F30" s="90"/>
      <c r="G30" s="117"/>
      <c r="H30" s="117"/>
      <c r="I30" s="117"/>
      <c r="J30" s="117"/>
      <c r="K30" s="87"/>
      <c r="L30" s="586"/>
      <c r="M30" s="587"/>
      <c r="N30" s="587"/>
      <c r="O30" s="587"/>
      <c r="P30" s="587"/>
      <c r="Q30" s="587"/>
      <c r="R30" s="587"/>
      <c r="S30" s="79"/>
      <c r="T30" s="587"/>
      <c r="U30" s="587"/>
      <c r="V30" s="79"/>
      <c r="W30" s="587"/>
      <c r="X30" s="588"/>
      <c r="Y30" s="219"/>
      <c r="Z30" s="88"/>
      <c r="AA30" s="87"/>
    </row>
    <row r="31" spans="1:27" ht="21">
      <c r="A31" s="90"/>
      <c r="B31" s="90"/>
      <c r="C31" s="90"/>
      <c r="D31" s="90"/>
      <c r="E31" s="90"/>
      <c r="F31" s="87"/>
      <c r="G31" s="153"/>
      <c r="H31" s="621" t="s">
        <v>159</v>
      </c>
      <c r="I31" s="622"/>
      <c r="J31" s="623"/>
      <c r="K31" s="97"/>
      <c r="L31" s="586"/>
      <c r="M31" s="587"/>
      <c r="N31" s="587"/>
      <c r="O31" s="587"/>
      <c r="P31" s="587"/>
      <c r="Q31" s="587"/>
      <c r="R31" s="587"/>
      <c r="S31" s="79"/>
      <c r="T31" s="587"/>
      <c r="U31" s="587"/>
      <c r="V31" s="79"/>
      <c r="W31" s="587"/>
      <c r="X31" s="588"/>
      <c r="Y31" s="219"/>
      <c r="Z31" s="88"/>
      <c r="AA31" s="87"/>
    </row>
    <row r="32" spans="1:27" ht="17.25" customHeight="1">
      <c r="A32" s="90"/>
      <c r="B32" s="90"/>
      <c r="C32" s="90"/>
      <c r="D32" s="90"/>
      <c r="E32" s="90"/>
      <c r="F32" s="87"/>
      <c r="G32" s="154"/>
      <c r="H32" s="90"/>
      <c r="I32" s="90"/>
      <c r="J32" s="185"/>
      <c r="K32" s="97"/>
      <c r="L32" s="586"/>
      <c r="M32" s="587"/>
      <c r="N32" s="587"/>
      <c r="O32" s="587"/>
      <c r="P32" s="587"/>
      <c r="Q32" s="587"/>
      <c r="R32" s="587"/>
      <c r="S32" s="79"/>
      <c r="T32" s="587"/>
      <c r="U32" s="587"/>
      <c r="V32" s="79"/>
      <c r="W32" s="587"/>
      <c r="X32" s="588"/>
      <c r="Y32" s="219"/>
      <c r="Z32" s="88"/>
      <c r="AA32" s="87"/>
    </row>
    <row r="33" spans="1:27" ht="31.5" customHeight="1">
      <c r="A33" s="90"/>
      <c r="B33" s="90"/>
      <c r="C33" s="90"/>
      <c r="D33" s="90"/>
      <c r="E33" s="90"/>
      <c r="F33" s="87"/>
      <c r="G33" s="154"/>
      <c r="H33" s="615">
        <f>O38</f>
        <v>0</v>
      </c>
      <c r="I33" s="616"/>
      <c r="J33" s="617"/>
      <c r="K33" s="97"/>
      <c r="L33" s="586"/>
      <c r="M33" s="587"/>
      <c r="N33" s="587"/>
      <c r="O33" s="587"/>
      <c r="P33" s="587"/>
      <c r="Q33" s="587"/>
      <c r="R33" s="587"/>
      <c r="S33" s="79"/>
      <c r="T33" s="587"/>
      <c r="U33" s="587"/>
      <c r="V33" s="79"/>
      <c r="W33" s="587"/>
      <c r="X33" s="588"/>
      <c r="Y33" s="219"/>
      <c r="Z33" s="88"/>
      <c r="AA33" s="217"/>
    </row>
    <row r="34" spans="1:27" ht="18" customHeight="1">
      <c r="A34" s="90"/>
      <c r="B34" s="90"/>
      <c r="C34" s="90"/>
      <c r="D34" s="90"/>
      <c r="E34" s="90"/>
      <c r="F34" s="87"/>
      <c r="G34" s="154"/>
      <c r="H34" s="90"/>
      <c r="I34" s="90"/>
      <c r="J34" s="185"/>
      <c r="K34" s="97"/>
      <c r="L34" s="586"/>
      <c r="M34" s="587"/>
      <c r="N34" s="587"/>
      <c r="O34" s="587"/>
      <c r="P34" s="587"/>
      <c r="Q34" s="587"/>
      <c r="R34" s="587"/>
      <c r="S34" s="79"/>
      <c r="T34" s="587"/>
      <c r="U34" s="587"/>
      <c r="V34" s="79"/>
      <c r="W34" s="587"/>
      <c r="X34" s="588"/>
      <c r="Y34" s="219"/>
      <c r="Z34" s="88"/>
      <c r="AA34" s="87"/>
    </row>
    <row r="35" spans="1:27" ht="15.75" customHeight="1" thickBot="1">
      <c r="A35" s="90"/>
      <c r="B35" s="90"/>
      <c r="C35" s="90"/>
      <c r="D35" s="90"/>
      <c r="E35" s="90"/>
      <c r="F35" s="87"/>
      <c r="G35" s="155"/>
      <c r="H35" s="186"/>
      <c r="I35" s="186"/>
      <c r="J35" s="156"/>
      <c r="K35" s="97"/>
      <c r="L35" s="586"/>
      <c r="M35" s="587"/>
      <c r="N35" s="587"/>
      <c r="O35" s="590"/>
      <c r="P35" s="590"/>
      <c r="Q35" s="590"/>
      <c r="R35" s="590"/>
      <c r="S35" s="182"/>
      <c r="T35" s="590"/>
      <c r="U35" s="590"/>
      <c r="V35" s="182"/>
      <c r="W35" s="590"/>
      <c r="X35" s="591"/>
      <c r="Y35" s="219"/>
      <c r="Z35" s="88"/>
      <c r="AA35" s="111"/>
    </row>
    <row r="36" spans="1:27" ht="21" customHeight="1" thickBot="1">
      <c r="A36" s="90"/>
      <c r="B36" s="90"/>
      <c r="C36" s="90"/>
      <c r="D36" s="90"/>
      <c r="E36" s="90"/>
      <c r="F36" s="90"/>
      <c r="G36" s="117"/>
      <c r="H36" s="117"/>
      <c r="I36" s="117"/>
      <c r="J36" s="117"/>
      <c r="K36" s="87"/>
      <c r="L36" s="586"/>
      <c r="M36" s="587"/>
      <c r="N36" s="588"/>
      <c r="O36" s="592"/>
      <c r="P36" s="592"/>
      <c r="Q36" s="592"/>
      <c r="R36" s="592"/>
      <c r="S36" s="183"/>
      <c r="T36" s="592"/>
      <c r="U36" s="592"/>
      <c r="V36" s="183"/>
      <c r="W36" s="592"/>
      <c r="X36" s="593"/>
      <c r="Y36" s="219"/>
      <c r="Z36" s="88"/>
      <c r="AA36" s="87"/>
    </row>
    <row r="37" spans="1:27" ht="19.5" customHeight="1">
      <c r="A37" s="90"/>
      <c r="B37" s="90"/>
      <c r="C37" s="90"/>
      <c r="D37" s="90"/>
      <c r="E37" s="90"/>
      <c r="F37" s="87"/>
      <c r="G37" s="153"/>
      <c r="H37" s="621" t="s">
        <v>158</v>
      </c>
      <c r="I37" s="622"/>
      <c r="J37" s="623"/>
      <c r="K37" s="97"/>
      <c r="L37" s="586"/>
      <c r="M37" s="587"/>
      <c r="N37" s="588"/>
      <c r="O37" s="592"/>
      <c r="P37" s="592"/>
      <c r="Q37" s="592"/>
      <c r="R37" s="592"/>
      <c r="S37" s="183"/>
      <c r="T37" s="592"/>
      <c r="U37" s="592"/>
      <c r="V37" s="183"/>
      <c r="W37" s="592"/>
      <c r="X37" s="593"/>
      <c r="Y37" s="219"/>
      <c r="Z37" s="88"/>
    </row>
    <row r="38" spans="1:27" ht="14.25" customHeight="1" thickBot="1">
      <c r="A38" s="90"/>
      <c r="B38" s="90"/>
      <c r="C38" s="90"/>
      <c r="D38" s="90"/>
      <c r="E38" s="90"/>
      <c r="F38" s="87"/>
      <c r="G38" s="154"/>
      <c r="H38" s="90"/>
      <c r="I38" s="90"/>
      <c r="J38" s="185"/>
      <c r="K38" s="97"/>
      <c r="L38" s="605" t="s">
        <v>154</v>
      </c>
      <c r="M38" s="606"/>
      <c r="N38" s="607"/>
      <c r="O38" s="594">
        <f>SUM(O29:P37)</f>
        <v>0</v>
      </c>
      <c r="P38" s="594"/>
      <c r="Q38" s="594">
        <f>SUM(Q29:R37)</f>
        <v>0</v>
      </c>
      <c r="R38" s="594"/>
      <c r="S38" s="220">
        <f>SUM(S29:S37)</f>
        <v>0</v>
      </c>
      <c r="T38" s="594">
        <f>SUM(T29:U37)</f>
        <v>0</v>
      </c>
      <c r="U38" s="594"/>
      <c r="V38" s="220">
        <f>SUM(V29:V37)</f>
        <v>0</v>
      </c>
      <c r="W38" s="594">
        <f>SUM(W29:X37)</f>
        <v>0</v>
      </c>
      <c r="X38" s="594"/>
      <c r="Y38" s="221">
        <f>SUM(Y29:Y37)</f>
        <v>0</v>
      </c>
      <c r="Z38" s="88"/>
      <c r="AA38" s="111"/>
    </row>
    <row r="39" spans="1:27" ht="25.5" customHeight="1">
      <c r="A39" s="90"/>
      <c r="B39" s="90"/>
      <c r="C39" s="90"/>
      <c r="D39" s="90"/>
      <c r="E39" s="90"/>
      <c r="F39" s="87"/>
      <c r="G39" s="154"/>
      <c r="H39" s="615">
        <f>S38</f>
        <v>0</v>
      </c>
      <c r="I39" s="616"/>
      <c r="J39" s="617"/>
      <c r="K39" s="97"/>
      <c r="L39" s="600"/>
      <c r="M39" s="608"/>
      <c r="N39" s="609"/>
      <c r="O39" s="600"/>
      <c r="P39" s="601"/>
      <c r="Q39" s="613"/>
      <c r="R39" s="614"/>
      <c r="S39" s="115"/>
      <c r="T39" s="641"/>
      <c r="U39" s="641"/>
      <c r="V39" s="115"/>
      <c r="W39" s="641"/>
      <c r="X39" s="641"/>
      <c r="Y39" s="146"/>
      <c r="Z39" s="90"/>
      <c r="AA39" s="87"/>
    </row>
    <row r="40" spans="1:27" ht="12" customHeight="1">
      <c r="A40" s="90"/>
      <c r="B40" s="90"/>
      <c r="C40" s="90"/>
      <c r="D40" s="90"/>
      <c r="E40" s="90"/>
      <c r="F40" s="87"/>
      <c r="G40" s="154"/>
      <c r="H40" s="90"/>
      <c r="I40" s="90"/>
      <c r="J40" s="185"/>
      <c r="K40" s="97"/>
      <c r="L40" s="610"/>
      <c r="M40" s="611"/>
      <c r="N40" s="612"/>
      <c r="O40" s="602"/>
      <c r="P40" s="599"/>
      <c r="Q40" s="598"/>
      <c r="R40" s="599"/>
      <c r="S40" s="90"/>
      <c r="T40" s="642"/>
      <c r="U40" s="642"/>
      <c r="V40" s="90"/>
      <c r="W40" s="642"/>
      <c r="X40" s="642"/>
      <c r="Y40" s="158"/>
      <c r="Z40" s="90"/>
    </row>
    <row r="41" spans="1:27" ht="9" customHeight="1" thickBot="1">
      <c r="A41" s="90"/>
      <c r="B41" s="90"/>
      <c r="C41" s="90"/>
      <c r="D41" s="90"/>
      <c r="E41" s="90"/>
      <c r="F41" s="87"/>
      <c r="G41" s="155"/>
      <c r="H41" s="186"/>
      <c r="I41" s="186"/>
      <c r="J41" s="156"/>
      <c r="K41" s="97"/>
      <c r="L41" s="610"/>
      <c r="M41" s="611"/>
      <c r="N41" s="612"/>
      <c r="O41" s="603"/>
      <c r="P41" s="604"/>
      <c r="Q41" s="610"/>
      <c r="R41" s="612"/>
      <c r="S41" s="90"/>
      <c r="T41" s="610"/>
      <c r="U41" s="612"/>
      <c r="V41" s="90"/>
      <c r="W41" s="610"/>
      <c r="X41" s="612"/>
      <c r="Y41" s="158"/>
      <c r="Z41" s="90"/>
      <c r="AA41" s="111"/>
    </row>
    <row r="42" spans="1:27" ht="24" thickBot="1">
      <c r="A42" s="90"/>
      <c r="B42" s="90"/>
      <c r="C42" s="90"/>
      <c r="D42" s="90"/>
      <c r="E42" s="90"/>
      <c r="F42" s="90"/>
      <c r="G42" s="117"/>
      <c r="H42" s="117"/>
      <c r="I42" s="117"/>
      <c r="J42" s="117"/>
      <c r="K42" s="87"/>
      <c r="L42" s="595"/>
      <c r="M42" s="596"/>
      <c r="N42" s="597"/>
      <c r="O42" s="613"/>
      <c r="P42" s="614"/>
      <c r="Q42" s="90"/>
      <c r="R42" s="639" t="s">
        <v>214</v>
      </c>
      <c r="S42" s="640"/>
      <c r="T42" s="116"/>
      <c r="U42" s="643"/>
      <c r="V42" s="644"/>
      <c r="W42" s="643"/>
      <c r="X42" s="644"/>
      <c r="Y42" s="158"/>
      <c r="Z42" s="90"/>
      <c r="AA42" s="87"/>
    </row>
    <row r="43" spans="1:27" ht="26.25" customHeight="1">
      <c r="A43" s="90"/>
      <c r="B43" s="90"/>
      <c r="C43" s="90"/>
      <c r="D43" s="90"/>
      <c r="E43" s="90"/>
      <c r="F43" s="87"/>
      <c r="G43" s="153"/>
      <c r="H43" s="646" t="s">
        <v>170</v>
      </c>
      <c r="I43" s="646"/>
      <c r="J43" s="647"/>
      <c r="K43" s="97"/>
      <c r="L43" s="153"/>
      <c r="M43" s="184"/>
      <c r="N43" s="630" t="s">
        <v>160</v>
      </c>
      <c r="O43" s="631"/>
      <c r="P43" s="632"/>
      <c r="Q43" s="154"/>
      <c r="R43" s="346" t="s">
        <v>215</v>
      </c>
      <c r="S43" s="359"/>
      <c r="T43" s="356" t="s">
        <v>218</v>
      </c>
      <c r="U43" s="347"/>
      <c r="V43" s="347"/>
      <c r="W43" s="347"/>
      <c r="X43" s="360"/>
      <c r="Y43" s="353"/>
      <c r="Z43" s="349"/>
      <c r="AA43" s="354"/>
    </row>
    <row r="44" spans="1:27" ht="12" customHeight="1">
      <c r="A44" s="90"/>
      <c r="B44" s="90"/>
      <c r="C44" s="90"/>
      <c r="D44" s="90"/>
      <c r="E44" s="90"/>
      <c r="F44" s="87"/>
      <c r="G44" s="154"/>
      <c r="H44" s="90"/>
      <c r="I44" s="90"/>
      <c r="J44" s="185"/>
      <c r="K44" s="97"/>
      <c r="L44" s="154"/>
      <c r="M44" s="90"/>
      <c r="N44" s="90"/>
      <c r="O44" s="90"/>
      <c r="P44" s="185"/>
      <c r="Q44" s="366"/>
      <c r="R44" s="348"/>
      <c r="S44" s="363"/>
      <c r="T44" s="364"/>
      <c r="U44" s="361"/>
      <c r="V44" s="362"/>
      <c r="W44" s="362"/>
      <c r="X44" s="362"/>
      <c r="Y44" s="368"/>
      <c r="Z44" s="362"/>
      <c r="AA44" s="363"/>
    </row>
    <row r="45" spans="1:27" ht="27" customHeight="1">
      <c r="A45" s="90"/>
      <c r="B45" s="90"/>
      <c r="C45" s="90"/>
      <c r="D45" s="90"/>
      <c r="E45" s="90"/>
      <c r="F45" s="87"/>
      <c r="G45" s="154"/>
      <c r="H45" s="615">
        <f>SUM(V38)</f>
        <v>0</v>
      </c>
      <c r="I45" s="616"/>
      <c r="J45" s="617"/>
      <c r="K45" s="97"/>
      <c r="L45" s="154"/>
      <c r="M45" s="90"/>
      <c r="N45" s="90"/>
      <c r="O45" s="633">
        <f>SUM(Q38,T38,W38)</f>
        <v>0</v>
      </c>
      <c r="P45" s="634"/>
      <c r="Q45" s="154"/>
      <c r="R45" s="347" t="s">
        <v>216</v>
      </c>
      <c r="S45" s="357"/>
      <c r="T45" s="355" t="s">
        <v>219</v>
      </c>
      <c r="U45" s="356"/>
      <c r="V45" s="349"/>
      <c r="W45" s="349"/>
      <c r="X45" s="354"/>
      <c r="Y45" s="367"/>
      <c r="Z45" s="349"/>
      <c r="AA45" s="354"/>
    </row>
    <row r="46" spans="1:27" ht="17.25" customHeight="1">
      <c r="A46" s="90"/>
      <c r="B46" s="90"/>
      <c r="C46" s="90"/>
      <c r="D46" s="90"/>
      <c r="E46" s="90"/>
      <c r="F46" s="87"/>
      <c r="G46" s="154"/>
      <c r="H46" s="90"/>
      <c r="I46" s="90"/>
      <c r="J46" s="185"/>
      <c r="K46" s="97"/>
      <c r="L46" s="154"/>
      <c r="M46" s="90"/>
      <c r="N46" s="90"/>
      <c r="O46" s="635"/>
      <c r="P46" s="636"/>
      <c r="Q46" s="154"/>
      <c r="R46" s="348"/>
      <c r="S46" s="363"/>
      <c r="T46" s="364"/>
      <c r="U46" s="361"/>
      <c r="V46" s="362"/>
      <c r="W46" s="362"/>
      <c r="X46" s="362"/>
      <c r="Y46" s="369"/>
      <c r="Z46" s="362"/>
      <c r="AA46" s="365"/>
    </row>
    <row r="47" spans="1:27" ht="19.5" customHeight="1" thickBot="1">
      <c r="A47" s="90"/>
      <c r="B47" s="90"/>
      <c r="C47" s="90"/>
      <c r="D47" s="90"/>
      <c r="E47" s="90"/>
      <c r="F47" s="87"/>
      <c r="G47" s="155"/>
      <c r="H47" s="186"/>
      <c r="I47" s="186"/>
      <c r="J47" s="156"/>
      <c r="K47" s="97"/>
      <c r="L47" s="155"/>
      <c r="M47" s="186"/>
      <c r="N47" s="186"/>
      <c r="O47" s="186"/>
      <c r="P47" s="156"/>
      <c r="R47" s="355" t="s">
        <v>217</v>
      </c>
      <c r="S47" s="354"/>
      <c r="T47" s="355" t="s">
        <v>220</v>
      </c>
      <c r="U47" s="356"/>
      <c r="V47" s="349"/>
      <c r="W47" s="349"/>
      <c r="X47" s="354"/>
      <c r="Y47" s="370"/>
      <c r="Z47" s="349"/>
      <c r="AA47" s="358"/>
    </row>
    <row r="48" spans="1:27" ht="18.75" customHeight="1">
      <c r="A48" s="90"/>
      <c r="B48" s="90"/>
      <c r="C48" s="90"/>
      <c r="D48" s="90"/>
      <c r="E48" s="98"/>
      <c r="F48" s="111"/>
      <c r="G48" s="115"/>
      <c r="H48" s="117"/>
      <c r="I48" s="117"/>
      <c r="J48" s="115"/>
      <c r="K48" s="86"/>
      <c r="L48" s="184"/>
      <c r="M48" s="184"/>
      <c r="N48" s="184"/>
      <c r="O48" s="184"/>
      <c r="P48" s="95"/>
      <c r="Q48" s="90"/>
      <c r="R48" s="87"/>
      <c r="S48" s="90"/>
      <c r="T48" s="90"/>
      <c r="U48" s="87"/>
      <c r="V48" s="90"/>
      <c r="W48" s="90"/>
      <c r="X48" s="90"/>
      <c r="Y48" s="87"/>
      <c r="Z48" s="90"/>
      <c r="AA48" s="111"/>
    </row>
    <row r="49" spans="1:28" ht="28.5" customHeight="1">
      <c r="A49" s="90"/>
      <c r="B49" s="90"/>
      <c r="C49" s="90"/>
      <c r="D49" s="90"/>
      <c r="E49" s="90"/>
      <c r="F49" s="87"/>
      <c r="G49" s="90"/>
      <c r="H49" s="98"/>
      <c r="I49" s="98"/>
      <c r="J49" s="90"/>
      <c r="K49" s="90"/>
      <c r="L49" s="115"/>
      <c r="M49" s="115"/>
      <c r="N49" s="115"/>
      <c r="O49" s="115"/>
      <c r="P49" s="90"/>
      <c r="Q49" s="90"/>
      <c r="R49" s="87"/>
      <c r="S49" s="90"/>
      <c r="T49" s="90"/>
      <c r="U49" s="87"/>
      <c r="V49" s="90"/>
      <c r="W49" s="90"/>
      <c r="X49" s="90"/>
      <c r="Y49" s="87"/>
      <c r="Z49" s="90"/>
      <c r="AA49" s="111"/>
    </row>
    <row r="50" spans="1:28" ht="16.5" thickBot="1">
      <c r="A50" s="90"/>
      <c r="B50" s="90"/>
      <c r="C50" s="90"/>
      <c r="D50" s="90"/>
      <c r="E50" s="90"/>
      <c r="F50" s="87"/>
      <c r="G50" s="187"/>
      <c r="H50" s="637"/>
      <c r="I50" s="637"/>
      <c r="J50" s="638"/>
      <c r="K50" s="88"/>
      <c r="L50" s="115"/>
      <c r="M50" s="115"/>
      <c r="N50" s="115"/>
      <c r="O50" s="115"/>
      <c r="P50" s="90"/>
      <c r="Q50" s="87"/>
      <c r="R50" s="87"/>
      <c r="S50" s="90"/>
      <c r="T50" s="90"/>
      <c r="U50" s="87"/>
      <c r="V50" s="90"/>
      <c r="W50" s="90"/>
      <c r="X50" s="90"/>
      <c r="Y50" s="87"/>
      <c r="Z50" s="90"/>
      <c r="AA50" s="111"/>
    </row>
    <row r="51" spans="1:28">
      <c r="A51" s="90"/>
      <c r="B51" s="90"/>
      <c r="C51" s="90"/>
      <c r="D51" s="90"/>
      <c r="E51" s="90"/>
      <c r="F51" s="90"/>
      <c r="G51" s="115"/>
      <c r="H51" s="115"/>
      <c r="I51" s="115"/>
      <c r="J51" s="115"/>
      <c r="K51" s="90"/>
      <c r="L51" s="90"/>
      <c r="M51" s="90"/>
      <c r="N51" s="90"/>
      <c r="O51" s="90"/>
      <c r="P51" s="90"/>
      <c r="Q51" s="87"/>
      <c r="R51" s="87"/>
      <c r="S51" s="90"/>
      <c r="T51" s="90"/>
      <c r="U51" s="87"/>
      <c r="V51" s="90"/>
      <c r="W51" s="90"/>
      <c r="X51" s="90"/>
      <c r="Y51" s="87"/>
      <c r="Z51" s="90"/>
    </row>
    <row r="52" spans="1:28" ht="36">
      <c r="A52" s="90"/>
      <c r="B52" s="90"/>
      <c r="C52" s="90"/>
      <c r="D52" s="90"/>
      <c r="E52" s="90"/>
      <c r="F52" s="90"/>
      <c r="G52" s="90"/>
      <c r="H52" s="645"/>
      <c r="I52" s="645"/>
      <c r="J52" s="645"/>
      <c r="K52" s="90"/>
      <c r="L52" s="90"/>
      <c r="M52" s="90"/>
      <c r="N52" s="90"/>
      <c r="O52" s="90"/>
      <c r="P52" s="90"/>
      <c r="Q52" s="87"/>
      <c r="R52" s="87"/>
      <c r="S52" s="90"/>
      <c r="T52" s="90"/>
      <c r="U52" s="87"/>
      <c r="V52" s="90"/>
      <c r="W52" s="90"/>
      <c r="X52" s="90"/>
      <c r="Y52" s="87"/>
      <c r="Z52" s="90"/>
      <c r="AA52" s="111"/>
    </row>
    <row r="53" spans="1:28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87"/>
      <c r="R53" s="87"/>
      <c r="S53" s="90"/>
      <c r="T53" s="90"/>
      <c r="U53" s="87"/>
      <c r="V53" s="90"/>
      <c r="W53" s="90"/>
      <c r="X53" s="90"/>
      <c r="Y53" s="87"/>
      <c r="Z53" s="90"/>
      <c r="AA53" s="111"/>
    </row>
    <row r="54" spans="1:28" ht="3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87"/>
      <c r="R54" s="87"/>
      <c r="S54" s="90"/>
      <c r="T54" s="90"/>
      <c r="U54" s="87"/>
      <c r="V54" s="90"/>
      <c r="W54" s="90"/>
      <c r="X54" s="90"/>
      <c r="Y54" s="87"/>
      <c r="Z54" s="90"/>
      <c r="AA54" s="111"/>
    </row>
    <row r="55" spans="1:28" ht="5.2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87"/>
      <c r="R55" s="87"/>
      <c r="S55" s="90"/>
      <c r="T55" s="90"/>
      <c r="U55" s="87"/>
      <c r="V55" s="90"/>
      <c r="W55" s="90"/>
      <c r="X55" s="627"/>
      <c r="Y55" s="628"/>
      <c r="Z55" s="628"/>
      <c r="AA55" s="628"/>
      <c r="AB55" s="629"/>
    </row>
    <row r="56" spans="1:28" ht="23.25" hidden="1">
      <c r="A56" s="90"/>
      <c r="B56" s="90"/>
      <c r="C56" s="90"/>
      <c r="D56" s="90"/>
      <c r="E56" s="115"/>
      <c r="F56" s="115"/>
      <c r="G56" s="115"/>
      <c r="H56" s="115"/>
      <c r="I56" s="115"/>
      <c r="J56" s="115"/>
      <c r="K56" s="115"/>
      <c r="L56" s="90"/>
      <c r="M56" s="90"/>
      <c r="N56" s="90"/>
      <c r="O56" s="90"/>
      <c r="P56" s="90"/>
      <c r="Q56" s="87"/>
      <c r="R56" s="87"/>
      <c r="S56" s="90"/>
      <c r="T56" s="90"/>
      <c r="U56" s="87"/>
      <c r="V56" s="90"/>
      <c r="W56" s="90"/>
      <c r="X56" s="350"/>
      <c r="Y56" s="351"/>
      <c r="Z56" s="90"/>
      <c r="AA56" s="90"/>
      <c r="AB56" s="87"/>
    </row>
    <row r="57" spans="1:28" ht="23.25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87"/>
      <c r="R57" s="87"/>
      <c r="S57" s="90"/>
      <c r="T57" s="90"/>
      <c r="U57" s="87"/>
      <c r="V57" s="90"/>
      <c r="W57" s="90"/>
      <c r="X57" s="352"/>
      <c r="Y57" s="351"/>
      <c r="Z57" s="90"/>
      <c r="AA57" s="90"/>
      <c r="AB57" s="87"/>
    </row>
    <row r="58" spans="1:28" ht="23.25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87"/>
      <c r="R58" s="87"/>
      <c r="S58" s="90"/>
      <c r="T58" s="90"/>
      <c r="U58" s="87"/>
      <c r="V58" s="90"/>
      <c r="W58" s="90"/>
      <c r="X58" s="350"/>
      <c r="Y58" s="351"/>
      <c r="Z58" s="90"/>
      <c r="AA58" s="90"/>
      <c r="AB58" s="87"/>
    </row>
    <row r="59" spans="1:28" ht="23.25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87"/>
      <c r="R59" s="87"/>
      <c r="S59" s="90"/>
      <c r="T59" s="90"/>
      <c r="U59" s="87"/>
      <c r="V59" s="90"/>
      <c r="W59" s="90"/>
      <c r="X59" s="352"/>
      <c r="Y59" s="351"/>
      <c r="Z59" s="90"/>
      <c r="AA59" s="90"/>
      <c r="AB59" s="87"/>
    </row>
    <row r="60" spans="1:28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87"/>
      <c r="R60" s="87"/>
      <c r="S60" s="90"/>
      <c r="T60" s="90"/>
      <c r="U60" s="87"/>
      <c r="V60" s="90"/>
      <c r="W60" s="90"/>
      <c r="X60" s="90"/>
      <c r="Y60" s="87"/>
      <c r="Z60" s="90"/>
      <c r="AA60" s="111"/>
    </row>
    <row r="61" spans="1:28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87"/>
      <c r="R61" s="87"/>
      <c r="X61" s="90"/>
      <c r="Y61" s="87"/>
      <c r="Z61" s="90"/>
    </row>
    <row r="62" spans="1:28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87"/>
      <c r="R62" s="87"/>
      <c r="X62" s="90"/>
      <c r="Y62" s="87"/>
      <c r="Z62" s="90"/>
    </row>
    <row r="63" spans="1:28" ht="23.2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87"/>
      <c r="R63" s="87"/>
      <c r="U63" s="627"/>
      <c r="V63" s="628"/>
      <c r="W63" s="628"/>
      <c r="X63" s="628"/>
      <c r="Y63" s="629"/>
      <c r="Z63" s="90"/>
    </row>
    <row r="64" spans="1:28" ht="23.25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87"/>
      <c r="R64" s="87"/>
      <c r="U64" s="350"/>
      <c r="V64" s="351"/>
      <c r="W64" s="90"/>
      <c r="X64" s="90"/>
      <c r="Y64" s="87"/>
      <c r="Z64" s="90"/>
    </row>
    <row r="65" spans="1:26" ht="23.2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87"/>
      <c r="R65" s="87"/>
      <c r="U65" s="352"/>
      <c r="V65" s="351"/>
      <c r="W65" s="90"/>
      <c r="X65" s="90"/>
      <c r="Y65" s="87"/>
      <c r="Z65" s="90"/>
    </row>
    <row r="66" spans="1:26" ht="23.25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87"/>
      <c r="R66" s="87"/>
      <c r="U66" s="350"/>
      <c r="V66" s="351"/>
      <c r="W66" s="90"/>
      <c r="X66" s="90"/>
      <c r="Y66" s="87"/>
      <c r="Z66" s="90"/>
    </row>
    <row r="67" spans="1:26" ht="23.25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87"/>
      <c r="R67" s="87"/>
      <c r="S67" s="90"/>
      <c r="T67" s="90"/>
      <c r="U67" s="352"/>
      <c r="V67" s="351"/>
      <c r="W67" s="90"/>
      <c r="X67" s="90"/>
      <c r="Y67" s="87"/>
      <c r="Z67" s="90"/>
    </row>
    <row r="68" spans="1:26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87"/>
      <c r="R68" s="87"/>
      <c r="S68" s="90"/>
      <c r="T68" s="90"/>
      <c r="U68" s="87"/>
      <c r="V68" s="90"/>
      <c r="W68" s="90"/>
      <c r="X68" s="90"/>
      <c r="Y68" s="87"/>
      <c r="Z68" s="90"/>
    </row>
    <row r="69" spans="1:26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87"/>
      <c r="R69" s="87"/>
      <c r="S69" s="90"/>
      <c r="T69" s="90"/>
      <c r="U69" s="87"/>
      <c r="V69" s="90"/>
      <c r="W69" s="90"/>
      <c r="X69" s="90"/>
      <c r="Y69" s="87"/>
      <c r="Z69" s="90"/>
    </row>
    <row r="70" spans="1:26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87"/>
      <c r="R70" s="87"/>
      <c r="S70" s="90"/>
      <c r="T70" s="90"/>
      <c r="U70" s="87"/>
      <c r="V70" s="90"/>
      <c r="W70" s="90"/>
      <c r="X70" s="90"/>
      <c r="Y70" s="87"/>
      <c r="Z70" s="90"/>
    </row>
    <row r="71" spans="1:26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87"/>
      <c r="R71" s="87"/>
      <c r="S71" s="90"/>
      <c r="T71" s="90"/>
      <c r="U71" s="87"/>
      <c r="V71" s="90"/>
      <c r="W71" s="90"/>
      <c r="X71" s="90"/>
      <c r="Y71" s="87"/>
      <c r="Z71" s="90"/>
    </row>
    <row r="72" spans="1:26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87"/>
      <c r="R72" s="87"/>
      <c r="S72" s="90"/>
      <c r="T72" s="90"/>
      <c r="U72" s="87"/>
      <c r="V72" s="90"/>
      <c r="W72" s="90"/>
      <c r="X72" s="90"/>
      <c r="Y72" s="87"/>
      <c r="Z72" s="90"/>
    </row>
    <row r="73" spans="1:26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87"/>
      <c r="R73" s="87"/>
      <c r="S73" s="90"/>
      <c r="T73" s="90"/>
      <c r="U73" s="87"/>
      <c r="V73" s="90"/>
      <c r="W73" s="90"/>
      <c r="X73" s="90"/>
      <c r="Y73" s="87"/>
      <c r="Z73" s="90"/>
    </row>
    <row r="74" spans="1:26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87"/>
      <c r="R74" s="87"/>
      <c r="S74" s="90"/>
      <c r="T74" s="90"/>
      <c r="U74" s="87"/>
      <c r="V74" s="90"/>
      <c r="W74" s="90"/>
      <c r="X74" s="90"/>
      <c r="Y74" s="87"/>
      <c r="Z74" s="90"/>
    </row>
    <row r="75" spans="1:26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R75" s="87"/>
      <c r="S75" s="90"/>
      <c r="T75" s="90"/>
      <c r="U75" s="87"/>
      <c r="V75" s="90"/>
      <c r="W75" s="90"/>
      <c r="X75" s="90"/>
      <c r="Y75" s="87"/>
      <c r="Z75" s="90"/>
    </row>
    <row r="76" spans="1:2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87"/>
      <c r="R76" s="87"/>
      <c r="S76" s="90"/>
      <c r="T76" s="90"/>
      <c r="U76" s="87"/>
      <c r="V76" s="90"/>
      <c r="W76" s="90"/>
      <c r="X76" s="90"/>
      <c r="Y76" s="87"/>
      <c r="Z76" s="90"/>
    </row>
    <row r="77" spans="1:26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87"/>
      <c r="R77" s="87"/>
      <c r="S77" s="90"/>
      <c r="T77" s="90"/>
      <c r="U77" s="87"/>
      <c r="V77" s="90"/>
      <c r="W77" s="90"/>
      <c r="X77" s="90"/>
      <c r="Y77" s="87"/>
      <c r="Z77" s="90"/>
    </row>
    <row r="78" spans="1:26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87"/>
      <c r="R78" s="87"/>
      <c r="S78" s="90"/>
      <c r="T78" s="90"/>
      <c r="U78" s="87"/>
      <c r="V78" s="90"/>
      <c r="W78" s="90"/>
      <c r="X78" s="90"/>
      <c r="Y78" s="87"/>
      <c r="Z78" s="90"/>
    </row>
    <row r="79" spans="1:26">
      <c r="R79" s="87"/>
      <c r="S79" s="90"/>
      <c r="T79" s="90"/>
      <c r="U79" s="87"/>
      <c r="V79" s="90"/>
      <c r="W79" s="90"/>
      <c r="X79" s="90"/>
      <c r="Y79" s="87"/>
      <c r="Z79" s="90"/>
    </row>
    <row r="80" spans="1:26">
      <c r="V80" s="90"/>
      <c r="W80" s="90"/>
      <c r="X80" s="90"/>
      <c r="Y80" s="87"/>
      <c r="Z80" s="90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50" t="s">
        <v>171</v>
      </c>
      <c r="C2" s="650"/>
      <c r="D2" s="650"/>
      <c r="E2" s="650"/>
      <c r="F2" s="650"/>
    </row>
    <row r="3" spans="1:6">
      <c r="B3" s="651" t="s">
        <v>172</v>
      </c>
      <c r="C3" s="651"/>
      <c r="D3" s="651"/>
      <c r="E3" s="651"/>
      <c r="F3" s="651"/>
    </row>
    <row r="4" spans="1:6">
      <c r="B4" s="81" t="s">
        <v>173</v>
      </c>
      <c r="C4" s="81" t="s">
        <v>174</v>
      </c>
      <c r="D4" s="81" t="s">
        <v>175</v>
      </c>
      <c r="E4" s="81" t="s">
        <v>176</v>
      </c>
      <c r="F4" s="81" t="s">
        <v>177</v>
      </c>
    </row>
    <row r="5" spans="1:6">
      <c r="A5" s="181"/>
      <c r="B5" s="81">
        <v>1</v>
      </c>
      <c r="C5" s="81">
        <v>2</v>
      </c>
      <c r="D5" s="81">
        <v>3</v>
      </c>
      <c r="E5" s="81">
        <v>4</v>
      </c>
      <c r="F5" s="81">
        <v>5</v>
      </c>
    </row>
    <row r="6" spans="1:6">
      <c r="A6" s="81">
        <v>5</v>
      </c>
      <c r="B6" s="188">
        <v>0</v>
      </c>
      <c r="C6" s="188">
        <v>0</v>
      </c>
      <c r="D6" s="189">
        <v>2</v>
      </c>
      <c r="E6" s="189">
        <v>0</v>
      </c>
      <c r="F6" s="189">
        <v>0</v>
      </c>
    </row>
    <row r="7" spans="1:6">
      <c r="A7" s="81">
        <v>4</v>
      </c>
      <c r="B7" s="190">
        <v>2</v>
      </c>
      <c r="C7" s="188">
        <v>12</v>
      </c>
      <c r="D7" s="188">
        <v>22</v>
      </c>
      <c r="E7" s="189">
        <v>19</v>
      </c>
      <c r="F7" s="189">
        <v>0</v>
      </c>
    </row>
    <row r="8" spans="1:6">
      <c r="A8" s="81">
        <v>3</v>
      </c>
      <c r="B8" s="191">
        <v>3</v>
      </c>
      <c r="C8" s="190">
        <v>32</v>
      </c>
      <c r="D8" s="188">
        <v>86</v>
      </c>
      <c r="E8" s="189">
        <v>48</v>
      </c>
      <c r="F8" s="189">
        <v>2</v>
      </c>
    </row>
    <row r="9" spans="1:6">
      <c r="A9" s="81">
        <v>2</v>
      </c>
      <c r="B9" s="191">
        <v>12</v>
      </c>
      <c r="C9" s="191">
        <v>58</v>
      </c>
      <c r="D9" s="190">
        <v>70</v>
      </c>
      <c r="E9" s="188">
        <v>31</v>
      </c>
      <c r="F9" s="189">
        <v>11</v>
      </c>
    </row>
    <row r="10" spans="1:6">
      <c r="A10" s="81">
        <v>1</v>
      </c>
      <c r="B10" s="191">
        <v>35</v>
      </c>
      <c r="C10" s="191">
        <v>19</v>
      </c>
      <c r="D10" s="190">
        <v>25</v>
      </c>
      <c r="E10" s="188">
        <v>21</v>
      </c>
      <c r="F10" s="188">
        <v>16</v>
      </c>
    </row>
    <row r="14" spans="1:6" ht="15.75">
      <c r="C14" s="256" t="s">
        <v>178</v>
      </c>
      <c r="D14" s="256" t="s">
        <v>172</v>
      </c>
      <c r="E14" s="257" t="s">
        <v>154</v>
      </c>
    </row>
    <row r="15" spans="1:6">
      <c r="C15" s="81"/>
      <c r="D15" s="81"/>
      <c r="E15" s="2"/>
    </row>
    <row r="16" spans="1:6">
      <c r="C16" s="81"/>
      <c r="D16" s="81"/>
      <c r="E16" s="2"/>
    </row>
    <row r="17" spans="3:8">
      <c r="C17" s="81"/>
      <c r="D17" s="81"/>
      <c r="E17" s="2"/>
    </row>
    <row r="18" spans="3:8">
      <c r="C18" s="81"/>
      <c r="D18" s="81"/>
      <c r="E18" s="2"/>
    </row>
    <row r="19" spans="3:8">
      <c r="C19" s="81"/>
      <c r="D19" s="81"/>
      <c r="E19" s="2"/>
    </row>
    <row r="20" spans="3:8">
      <c r="C20" s="81"/>
      <c r="D20" s="81"/>
      <c r="E20" s="2"/>
    </row>
    <row r="21" spans="3:8">
      <c r="C21" s="81"/>
      <c r="D21" s="81"/>
      <c r="E21" s="2"/>
    </row>
    <row r="22" spans="3:8">
      <c r="C22" s="81"/>
      <c r="D22" s="81"/>
      <c r="E22" s="2"/>
    </row>
    <row r="23" spans="3:8">
      <c r="C23" s="81"/>
      <c r="D23" s="81"/>
      <c r="E23" s="2"/>
    </row>
    <row r="24" spans="3:8">
      <c r="C24" s="81"/>
      <c r="D24" s="81"/>
      <c r="E24" s="2"/>
    </row>
    <row r="25" spans="3:8">
      <c r="C25" s="81"/>
      <c r="D25" s="81"/>
      <c r="E25" s="2"/>
    </row>
    <row r="26" spans="3:8">
      <c r="C26" s="81"/>
      <c r="D26" s="81"/>
      <c r="E26" s="2"/>
      <c r="G26" s="648" t="s">
        <v>178</v>
      </c>
      <c r="H26" s="649">
        <v>5</v>
      </c>
    </row>
    <row r="27" spans="3:8">
      <c r="C27" s="81"/>
      <c r="D27" s="81"/>
      <c r="E27" s="2"/>
      <c r="G27" s="648"/>
      <c r="H27" s="649"/>
    </row>
    <row r="28" spans="3:8">
      <c r="C28" s="81"/>
      <c r="D28" s="81"/>
      <c r="E28" s="2"/>
      <c r="G28" s="648"/>
      <c r="H28" s="649"/>
    </row>
    <row r="29" spans="3:8">
      <c r="C29" s="81"/>
      <c r="D29" s="81"/>
      <c r="E29" s="2"/>
      <c r="G29" s="648"/>
      <c r="H29" s="649"/>
    </row>
    <row r="30" spans="3:8">
      <c r="C30" s="81"/>
      <c r="D30" s="81"/>
      <c r="E30" s="2"/>
      <c r="G30" s="648"/>
      <c r="H30" s="649"/>
    </row>
    <row r="31" spans="3:8">
      <c r="C31" s="81"/>
      <c r="D31" s="81"/>
      <c r="E31" s="2"/>
      <c r="G31" s="648"/>
      <c r="H31" s="649">
        <v>4</v>
      </c>
    </row>
    <row r="32" spans="3:8">
      <c r="C32" s="81"/>
      <c r="D32" s="81"/>
      <c r="E32" s="2"/>
      <c r="G32" s="648"/>
      <c r="H32" s="649"/>
    </row>
    <row r="33" spans="3:8">
      <c r="C33" s="81"/>
      <c r="D33" s="81"/>
      <c r="E33" s="2"/>
      <c r="G33" s="648"/>
      <c r="H33" s="649"/>
    </row>
    <row r="34" spans="3:8">
      <c r="C34" s="81"/>
      <c r="D34" s="81"/>
      <c r="E34" s="2"/>
      <c r="G34" s="648"/>
      <c r="H34" s="649"/>
    </row>
    <row r="35" spans="3:8">
      <c r="C35" s="81"/>
      <c r="D35" s="81"/>
      <c r="E35" s="2"/>
      <c r="G35" s="648"/>
      <c r="H35" s="649"/>
    </row>
    <row r="36" spans="3:8">
      <c r="C36" s="81"/>
      <c r="D36" s="81"/>
      <c r="E36" s="2"/>
      <c r="G36" s="648"/>
      <c r="H36" s="649">
        <v>3</v>
      </c>
    </row>
    <row r="37" spans="3:8">
      <c r="C37" s="81"/>
      <c r="D37" s="81"/>
      <c r="E37" s="2"/>
      <c r="G37" s="648"/>
      <c r="H37" s="649"/>
    </row>
    <row r="38" spans="3:8">
      <c r="C38" s="81"/>
      <c r="D38" s="81"/>
      <c r="E38" s="2"/>
      <c r="G38" s="648"/>
      <c r="H38" s="649"/>
    </row>
    <row r="39" spans="3:8">
      <c r="C39" s="81"/>
      <c r="D39" s="81"/>
      <c r="E39" s="2"/>
      <c r="G39" s="648"/>
      <c r="H39" s="649"/>
    </row>
    <row r="40" spans="3:8">
      <c r="G40" s="648"/>
      <c r="H40" s="649"/>
    </row>
    <row r="41" spans="3:8">
      <c r="G41" s="648"/>
      <c r="H41" s="649">
        <v>2</v>
      </c>
    </row>
    <row r="42" spans="3:8">
      <c r="G42" s="648"/>
      <c r="H42" s="649"/>
    </row>
    <row r="43" spans="3:8">
      <c r="G43" s="648"/>
      <c r="H43" s="649"/>
    </row>
    <row r="44" spans="3:8">
      <c r="G44" s="648"/>
      <c r="H44" s="649"/>
    </row>
    <row r="45" spans="3:8">
      <c r="G45" s="648"/>
      <c r="H45" s="649"/>
    </row>
    <row r="46" spans="3:8">
      <c r="G46" s="648"/>
      <c r="H46" s="649">
        <v>1</v>
      </c>
    </row>
    <row r="47" spans="3:8">
      <c r="G47" s="648"/>
      <c r="H47" s="649"/>
    </row>
    <row r="48" spans="3:8">
      <c r="G48" s="648"/>
      <c r="H48" s="649"/>
    </row>
    <row r="49" spans="7:10">
      <c r="G49" s="648"/>
      <c r="H49" s="649"/>
    </row>
    <row r="50" spans="7:10">
      <c r="G50" s="648"/>
      <c r="H50" s="649"/>
    </row>
    <row r="55" spans="7:10">
      <c r="H55" s="192"/>
      <c r="I55" s="649"/>
      <c r="J55" s="648"/>
    </row>
    <row r="56" spans="7:10">
      <c r="H56" s="192"/>
      <c r="I56" s="649"/>
      <c r="J56" s="648"/>
    </row>
    <row r="57" spans="7:10">
      <c r="H57" s="192"/>
      <c r="I57" s="649"/>
      <c r="J57" s="648"/>
    </row>
    <row r="58" spans="7:10">
      <c r="H58" s="192"/>
      <c r="I58" s="649"/>
      <c r="J58" s="648"/>
    </row>
    <row r="59" spans="7:10">
      <c r="H59" s="192"/>
      <c r="I59" s="649"/>
      <c r="J59" s="648"/>
    </row>
    <row r="60" spans="7:10">
      <c r="H60" s="192"/>
      <c r="I60" s="649"/>
      <c r="J60" s="648"/>
    </row>
    <row r="61" spans="7:10">
      <c r="H61" s="192"/>
      <c r="I61" s="649"/>
      <c r="J61" s="648"/>
    </row>
    <row r="62" spans="7:10">
      <c r="H62" s="192"/>
      <c r="I62" s="649"/>
      <c r="J62" s="648"/>
    </row>
    <row r="63" spans="7:10">
      <c r="H63" s="192"/>
      <c r="I63" s="649"/>
      <c r="J63" s="648"/>
    </row>
    <row r="64" spans="7:10">
      <c r="H64" s="192"/>
      <c r="I64" s="649"/>
      <c r="J64" s="648"/>
    </row>
    <row r="65" spans="8:11">
      <c r="H65" s="192"/>
      <c r="I65" s="649"/>
      <c r="J65" s="648"/>
    </row>
    <row r="66" spans="8:11">
      <c r="H66" s="192"/>
      <c r="I66" s="649"/>
      <c r="J66" s="648"/>
    </row>
    <row r="67" spans="8:11">
      <c r="H67" s="192"/>
      <c r="I67" s="649"/>
      <c r="J67" s="648"/>
    </row>
    <row r="68" spans="8:11">
      <c r="H68" s="192"/>
      <c r="I68" s="649"/>
      <c r="J68" s="648"/>
    </row>
    <row r="69" spans="8:11">
      <c r="H69" s="192"/>
      <c r="I69" s="649"/>
      <c r="J69" s="648"/>
    </row>
    <row r="70" spans="8:11">
      <c r="H70" s="192"/>
      <c r="I70" s="649"/>
      <c r="J70" s="648"/>
      <c r="K70" s="648" t="s">
        <v>179</v>
      </c>
    </row>
    <row r="71" spans="8:11">
      <c r="H71" s="192"/>
      <c r="I71" s="649"/>
      <c r="J71" s="648"/>
      <c r="K71" s="648"/>
    </row>
    <row r="72" spans="8:11">
      <c r="H72" s="192"/>
      <c r="I72" s="649"/>
      <c r="J72" s="648"/>
      <c r="K72" s="648"/>
    </row>
    <row r="73" spans="8:11">
      <c r="H73" s="192"/>
      <c r="I73" s="649"/>
      <c r="J73" s="648"/>
      <c r="K73" s="648"/>
    </row>
    <row r="74" spans="8:11">
      <c r="H74" s="192"/>
      <c r="I74" s="649"/>
      <c r="J74" s="648"/>
      <c r="K74" s="648"/>
    </row>
    <row r="75" spans="8:11">
      <c r="H75" s="192"/>
      <c r="I75" s="649"/>
      <c r="J75" s="648"/>
      <c r="K75" s="648"/>
    </row>
    <row r="76" spans="8:11">
      <c r="H76" s="192"/>
      <c r="I76" s="649"/>
      <c r="J76" s="648"/>
      <c r="K76" s="648"/>
    </row>
    <row r="77" spans="8:11">
      <c r="H77" s="192"/>
      <c r="I77" s="649"/>
      <c r="J77" s="648"/>
      <c r="K77" s="648"/>
    </row>
    <row r="78" spans="8:11">
      <c r="H78" s="192"/>
      <c r="I78" s="649"/>
      <c r="J78" s="648"/>
      <c r="K78" s="648"/>
    </row>
    <row r="79" spans="8:11">
      <c r="H79" s="192"/>
      <c r="I79" s="649"/>
      <c r="J79" s="648"/>
      <c r="K79" s="648"/>
    </row>
    <row r="80" spans="8:11">
      <c r="K80" s="648"/>
    </row>
    <row r="81" spans="11:11">
      <c r="K81" s="648"/>
    </row>
    <row r="82" spans="11:11">
      <c r="K82" s="648"/>
    </row>
    <row r="83" spans="11:11">
      <c r="K83" s="648"/>
    </row>
    <row r="84" spans="11:11">
      <c r="K84" s="648"/>
    </row>
    <row r="85" spans="11:11">
      <c r="K85" s="648"/>
    </row>
    <row r="86" spans="11:11">
      <c r="K86" s="648"/>
    </row>
    <row r="87" spans="11:11">
      <c r="K87" s="648"/>
    </row>
    <row r="88" spans="11:11">
      <c r="K88" s="648"/>
    </row>
    <row r="89" spans="11:11">
      <c r="K89" s="648"/>
    </row>
    <row r="90" spans="11:11">
      <c r="K90" s="648"/>
    </row>
    <row r="91" spans="11:11">
      <c r="K91" s="648"/>
    </row>
    <row r="92" spans="11:11">
      <c r="K92" s="648"/>
    </row>
    <row r="93" spans="11:11">
      <c r="K93" s="648"/>
    </row>
    <row r="94" spans="11:11">
      <c r="K94" s="648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opLeftCell="A6" zoomScale="55" zoomScaleNormal="55" workbookViewId="0">
      <selection activeCell="T5" sqref="T5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0"/>
      <c r="B1" s="656" t="s">
        <v>186</v>
      </c>
      <c r="C1" s="657"/>
      <c r="D1" s="657"/>
      <c r="E1" s="657"/>
      <c r="F1" s="657"/>
      <c r="G1" s="657"/>
      <c r="H1" s="657"/>
      <c r="I1" s="657"/>
      <c r="J1" s="657"/>
      <c r="K1" s="657"/>
      <c r="L1" s="657"/>
      <c r="M1" s="657"/>
      <c r="N1" s="657"/>
      <c r="O1" s="657"/>
      <c r="P1" s="658"/>
      <c r="Q1" s="90"/>
      <c r="R1" s="90"/>
      <c r="S1" s="90"/>
      <c r="T1" s="90"/>
      <c r="U1" s="90"/>
    </row>
    <row r="2" spans="1:21" ht="18.75" customHeight="1">
      <c r="A2" s="90"/>
      <c r="B2" s="652" t="s">
        <v>187</v>
      </c>
      <c r="C2" s="653"/>
      <c r="D2" s="653"/>
      <c r="E2" s="653"/>
      <c r="F2" s="653"/>
      <c r="G2" s="654" t="s">
        <v>231</v>
      </c>
      <c r="H2" s="654"/>
      <c r="I2" s="654"/>
      <c r="J2" s="654"/>
      <c r="K2" s="654"/>
      <c r="L2" s="654"/>
      <c r="M2" s="654"/>
      <c r="N2" s="654"/>
      <c r="O2" s="654"/>
      <c r="P2" s="655"/>
      <c r="Q2" s="90"/>
      <c r="R2" s="90"/>
      <c r="S2" s="90"/>
      <c r="T2" s="90"/>
      <c r="U2" s="90"/>
    </row>
    <row r="3" spans="1:21" ht="6" customHeight="1">
      <c r="A3" s="90"/>
      <c r="B3" s="237"/>
      <c r="C3" s="241"/>
      <c r="D3" s="240"/>
      <c r="E3" s="241"/>
      <c r="F3" s="240"/>
      <c r="G3" s="240"/>
      <c r="H3" s="240"/>
      <c r="I3" s="241"/>
      <c r="J3" s="242"/>
      <c r="K3" s="239"/>
      <c r="L3" s="237"/>
      <c r="M3" s="237"/>
      <c r="N3" s="237"/>
      <c r="O3" s="237"/>
      <c r="P3" s="238"/>
      <c r="Q3" s="90"/>
      <c r="R3" s="90"/>
      <c r="S3" s="90"/>
      <c r="T3" s="90"/>
      <c r="U3" s="90"/>
    </row>
    <row r="4" spans="1:21" ht="27.75" customHeight="1">
      <c r="A4" s="90"/>
      <c r="B4" s="111"/>
      <c r="C4" s="98"/>
      <c r="D4" s="98"/>
      <c r="E4" s="91"/>
      <c r="F4" s="91"/>
      <c r="G4" s="91"/>
      <c r="H4" s="88"/>
      <c r="I4" s="96"/>
      <c r="J4" s="243"/>
      <c r="K4" s="671" t="s">
        <v>227</v>
      </c>
      <c r="L4" s="671"/>
      <c r="M4" s="671"/>
      <c r="N4" s="671"/>
      <c r="O4" s="671"/>
      <c r="P4" s="671"/>
      <c r="Q4" s="90"/>
      <c r="R4" s="90"/>
      <c r="S4" s="90"/>
      <c r="T4" s="90"/>
      <c r="U4" s="90"/>
    </row>
    <row r="5" spans="1:21" ht="36" customHeight="1" thickBot="1">
      <c r="A5" s="90"/>
      <c r="B5" s="111"/>
      <c r="H5" s="87"/>
      <c r="I5" s="90"/>
      <c r="J5" s="244"/>
      <c r="K5" s="667" t="s">
        <v>189</v>
      </c>
      <c r="L5" s="667"/>
      <c r="M5" s="667" t="s">
        <v>192</v>
      </c>
      <c r="N5" s="667"/>
      <c r="O5" s="667" t="s">
        <v>193</v>
      </c>
      <c r="P5" s="667"/>
      <c r="Q5" s="88"/>
      <c r="R5" s="90"/>
      <c r="S5" s="90"/>
      <c r="T5" s="90"/>
      <c r="U5" s="90"/>
    </row>
    <row r="6" spans="1:21" ht="58.5" customHeight="1">
      <c r="A6" s="90"/>
      <c r="B6" s="87"/>
      <c r="H6" s="87"/>
      <c r="I6" s="90"/>
      <c r="J6" s="87"/>
      <c r="K6" s="682"/>
      <c r="L6" s="663"/>
      <c r="M6" s="662"/>
      <c r="N6" s="663"/>
      <c r="O6" s="662"/>
      <c r="P6" s="668"/>
      <c r="Q6" s="88"/>
      <c r="R6" s="90"/>
      <c r="S6" s="90"/>
      <c r="T6" s="90"/>
      <c r="U6" s="90"/>
    </row>
    <row r="7" spans="1:21" ht="50.25" customHeight="1">
      <c r="A7" s="90"/>
      <c r="C7" s="90"/>
      <c r="D7" s="90"/>
      <c r="E7" s="669"/>
      <c r="F7" s="670"/>
      <c r="G7" s="670"/>
      <c r="H7" s="670"/>
      <c r="I7" s="90"/>
      <c r="J7" s="111"/>
      <c r="K7" s="672"/>
      <c r="L7" s="665"/>
      <c r="M7" s="664"/>
      <c r="N7" s="665"/>
      <c r="O7" s="664"/>
      <c r="P7" s="666"/>
      <c r="Q7" s="88"/>
      <c r="R7" s="90"/>
      <c r="S7" s="90"/>
      <c r="T7" s="90"/>
      <c r="U7" s="90"/>
    </row>
    <row r="8" spans="1:21" ht="50.25" customHeight="1">
      <c r="A8" s="87"/>
      <c r="B8" s="90"/>
      <c r="C8" s="90"/>
      <c r="D8" s="90"/>
      <c r="I8" s="90"/>
      <c r="J8" s="87"/>
      <c r="K8" s="672"/>
      <c r="L8" s="665"/>
      <c r="M8" s="664"/>
      <c r="N8" s="665"/>
      <c r="O8" s="664"/>
      <c r="P8" s="666"/>
      <c r="Q8" s="88"/>
      <c r="R8" s="90"/>
      <c r="S8" s="90"/>
      <c r="T8" s="90"/>
      <c r="U8" s="90"/>
    </row>
    <row r="9" spans="1:21" ht="55.5" customHeight="1">
      <c r="A9" s="87"/>
      <c r="B9" s="90"/>
      <c r="C9" s="90"/>
      <c r="D9" s="90"/>
      <c r="I9" s="90"/>
      <c r="J9" s="111"/>
      <c r="K9" s="672"/>
      <c r="L9" s="665"/>
      <c r="M9" s="664"/>
      <c r="N9" s="665"/>
      <c r="O9" s="664"/>
      <c r="P9" s="666"/>
      <c r="Q9" s="88"/>
      <c r="R9" s="90"/>
      <c r="S9" s="90"/>
      <c r="T9" s="90"/>
      <c r="U9" s="90"/>
    </row>
    <row r="10" spans="1:21" ht="88.5" customHeight="1" thickBot="1">
      <c r="A10" s="87"/>
      <c r="B10" s="90"/>
      <c r="C10" s="90"/>
      <c r="D10" s="90"/>
      <c r="I10" s="90"/>
      <c r="J10" s="87"/>
      <c r="K10" s="672"/>
      <c r="L10" s="665"/>
      <c r="M10" s="664"/>
      <c r="N10" s="665"/>
      <c r="O10" s="664"/>
      <c r="P10" s="666"/>
      <c r="Q10" s="88"/>
      <c r="R10" s="90"/>
      <c r="S10" s="90"/>
      <c r="T10" s="90"/>
      <c r="U10" s="90"/>
    </row>
    <row r="11" spans="1:21" ht="44.25" customHeight="1">
      <c r="A11" s="87"/>
      <c r="B11" s="90"/>
      <c r="C11" s="90"/>
      <c r="D11" s="87"/>
      <c r="E11" s="659" t="s">
        <v>191</v>
      </c>
      <c r="F11" s="660"/>
      <c r="G11" s="660"/>
      <c r="H11" s="661"/>
      <c r="I11" s="88"/>
      <c r="J11" s="111"/>
      <c r="K11" s="672"/>
      <c r="L11" s="665"/>
      <c r="M11" s="664"/>
      <c r="N11" s="665"/>
      <c r="O11" s="664"/>
      <c r="P11" s="666"/>
      <c r="Q11" s="88"/>
      <c r="R11" s="90"/>
      <c r="S11" s="90"/>
      <c r="T11" s="90"/>
      <c r="U11" s="90"/>
    </row>
    <row r="12" spans="1:21" ht="47.25" customHeight="1" thickBot="1">
      <c r="A12" s="87"/>
      <c r="B12" s="90"/>
      <c r="C12" s="90"/>
      <c r="D12" s="87"/>
      <c r="E12" s="673" t="s">
        <v>189</v>
      </c>
      <c r="F12" s="674"/>
      <c r="G12" s="675"/>
      <c r="H12" s="444" t="s">
        <v>190</v>
      </c>
      <c r="I12" s="88"/>
      <c r="J12" s="111"/>
      <c r="K12" s="672"/>
      <c r="L12" s="665"/>
      <c r="M12" s="664"/>
      <c r="N12" s="665"/>
      <c r="O12" s="664"/>
      <c r="P12" s="666"/>
      <c r="Q12" s="88"/>
      <c r="R12" s="90"/>
      <c r="S12" s="90"/>
      <c r="T12" s="90"/>
      <c r="U12" s="90"/>
    </row>
    <row r="13" spans="1:21" ht="42" customHeight="1">
      <c r="A13" s="87"/>
      <c r="B13" s="90"/>
      <c r="C13" s="90"/>
      <c r="D13" s="87"/>
      <c r="E13" s="676" t="s">
        <v>206</v>
      </c>
      <c r="F13" s="677"/>
      <c r="G13" s="678"/>
      <c r="H13" s="309">
        <v>2</v>
      </c>
      <c r="I13" s="88"/>
      <c r="J13" s="87"/>
      <c r="K13" s="672"/>
      <c r="L13" s="665"/>
      <c r="M13" s="664"/>
      <c r="N13" s="665"/>
      <c r="O13" s="664"/>
      <c r="P13" s="666"/>
      <c r="Q13" s="88"/>
      <c r="R13" s="90"/>
      <c r="S13" s="90"/>
      <c r="T13" s="90"/>
      <c r="U13" s="90"/>
    </row>
    <row r="14" spans="1:21" ht="60.75" customHeight="1">
      <c r="A14" s="87"/>
      <c r="B14" s="90"/>
      <c r="C14" s="90"/>
      <c r="D14" s="87"/>
      <c r="E14" s="679" t="s">
        <v>204</v>
      </c>
      <c r="F14" s="680"/>
      <c r="G14" s="681"/>
      <c r="H14" s="310">
        <v>26</v>
      </c>
      <c r="I14" s="88"/>
      <c r="J14" s="95"/>
      <c r="K14" s="672"/>
      <c r="L14" s="665"/>
      <c r="M14" s="664"/>
      <c r="N14" s="665"/>
      <c r="O14" s="664"/>
      <c r="P14" s="666"/>
      <c r="Q14" s="88"/>
      <c r="R14" s="90"/>
      <c r="S14" s="90"/>
      <c r="T14" s="90"/>
      <c r="U14" s="90"/>
    </row>
    <row r="15" spans="1:21" ht="42" customHeight="1">
      <c r="A15" s="87"/>
      <c r="B15" s="90"/>
      <c r="C15" s="90"/>
      <c r="D15" s="87"/>
      <c r="E15" s="679" t="s">
        <v>205</v>
      </c>
      <c r="F15" s="680"/>
      <c r="G15" s="681"/>
      <c r="H15" s="310">
        <v>5</v>
      </c>
      <c r="I15" s="88"/>
      <c r="J15" s="87"/>
      <c r="K15" s="672"/>
      <c r="L15" s="665"/>
      <c r="M15" s="664"/>
      <c r="N15" s="665"/>
      <c r="O15" s="664"/>
      <c r="P15" s="666"/>
      <c r="Q15" s="88"/>
      <c r="R15" s="90"/>
      <c r="S15" s="90"/>
      <c r="T15" s="90"/>
      <c r="U15" s="90"/>
    </row>
    <row r="16" spans="1:21" ht="45.75" customHeight="1">
      <c r="A16" s="87"/>
      <c r="B16" s="90"/>
      <c r="C16" s="90"/>
      <c r="D16" s="87"/>
      <c r="E16" s="679" t="s">
        <v>207</v>
      </c>
      <c r="F16" s="680"/>
      <c r="G16" s="681"/>
      <c r="H16" s="310">
        <v>29</v>
      </c>
      <c r="I16" s="88"/>
      <c r="J16" s="111"/>
      <c r="K16" s="672"/>
      <c r="L16" s="665"/>
      <c r="M16" s="664"/>
      <c r="N16" s="665"/>
      <c r="O16" s="664"/>
      <c r="P16" s="666"/>
      <c r="Q16" s="88"/>
      <c r="R16" s="90"/>
      <c r="S16" s="90"/>
      <c r="T16" s="90"/>
      <c r="U16" s="90"/>
    </row>
    <row r="17" spans="1:21" ht="66" customHeight="1">
      <c r="A17" s="87"/>
      <c r="D17" s="106"/>
      <c r="E17" s="679" t="s">
        <v>208</v>
      </c>
      <c r="F17" s="680"/>
      <c r="G17" s="681"/>
      <c r="H17" s="310">
        <v>6</v>
      </c>
      <c r="I17" s="88"/>
      <c r="J17" s="111"/>
      <c r="K17" s="672"/>
      <c r="L17" s="665"/>
      <c r="M17" s="664"/>
      <c r="N17" s="665"/>
      <c r="O17" s="664"/>
      <c r="P17" s="666"/>
      <c r="Q17" s="88"/>
      <c r="R17" s="90"/>
      <c r="S17" s="90"/>
      <c r="T17" s="90"/>
      <c r="U17" s="90"/>
    </row>
    <row r="18" spans="1:21" ht="44.25" customHeight="1" thickBot="1">
      <c r="A18" s="87"/>
      <c r="C18" s="115"/>
      <c r="D18" s="87"/>
      <c r="E18" s="691" t="s">
        <v>209</v>
      </c>
      <c r="F18" s="692"/>
      <c r="G18" s="693"/>
      <c r="H18" s="311">
        <v>25</v>
      </c>
      <c r="I18" s="88"/>
      <c r="J18" s="87"/>
      <c r="K18" s="699"/>
      <c r="L18" s="698"/>
      <c r="M18" s="683"/>
      <c r="N18" s="698"/>
      <c r="O18" s="683"/>
      <c r="P18" s="684"/>
      <c r="Q18" s="88"/>
      <c r="R18" s="90"/>
      <c r="S18" s="87"/>
      <c r="T18" s="90"/>
      <c r="U18" s="90"/>
    </row>
    <row r="19" spans="1:21" ht="11.25" customHeight="1" thickBot="1">
      <c r="A19" s="87"/>
      <c r="B19" s="91"/>
      <c r="C19" s="111"/>
      <c r="D19" s="98"/>
      <c r="E19" s="252"/>
      <c r="F19" s="236"/>
      <c r="G19" s="236"/>
      <c r="H19" s="236"/>
      <c r="I19" s="98"/>
      <c r="J19" s="87"/>
      <c r="K19" s="279"/>
      <c r="L19" s="95"/>
      <c r="M19" s="117"/>
      <c r="O19" s="115"/>
      <c r="P19" s="301"/>
      <c r="Q19" s="88"/>
      <c r="R19" s="90"/>
      <c r="S19" s="87"/>
      <c r="T19" s="90"/>
      <c r="U19" s="90"/>
    </row>
    <row r="20" spans="1:21" ht="56.25" customHeight="1" thickBot="1">
      <c r="A20" s="87"/>
      <c r="B20" s="445" t="s">
        <v>188</v>
      </c>
      <c r="C20" s="446" t="s">
        <v>222</v>
      </c>
      <c r="D20" s="246"/>
      <c r="E20" s="98"/>
      <c r="F20" s="98"/>
      <c r="G20" s="98"/>
      <c r="H20" s="98"/>
      <c r="I20" s="98"/>
      <c r="J20" s="95"/>
      <c r="K20" s="302"/>
      <c r="L20" s="298"/>
      <c r="M20" s="90"/>
      <c r="N20" s="90"/>
      <c r="O20" s="88"/>
      <c r="P20" s="185"/>
      <c r="Q20" s="88"/>
      <c r="R20" s="90"/>
      <c r="T20" s="90"/>
      <c r="U20" s="90"/>
    </row>
    <row r="21" spans="1:21" ht="3.75" customHeight="1" thickBot="1">
      <c r="A21" s="87"/>
      <c r="B21" s="447"/>
      <c r="C21" s="448"/>
      <c r="D21" s="280"/>
      <c r="E21" s="278"/>
      <c r="F21" s="290"/>
      <c r="G21" s="287"/>
      <c r="H21" s="278"/>
      <c r="I21" s="284"/>
      <c r="J21" s="296"/>
      <c r="K21" s="303"/>
      <c r="L21" s="285"/>
      <c r="M21" s="87"/>
      <c r="N21" s="90"/>
      <c r="O21" s="88"/>
      <c r="P21" s="185"/>
      <c r="Q21" s="88"/>
      <c r="R21" s="90"/>
      <c r="T21" s="90"/>
      <c r="U21" s="90"/>
    </row>
    <row r="22" spans="1:21" ht="35.25" customHeight="1" thickBot="1">
      <c r="A22" s="87"/>
      <c r="B22" s="299"/>
      <c r="C22" s="300"/>
      <c r="D22" s="280"/>
      <c r="E22" s="289"/>
      <c r="F22" s="308" t="s">
        <v>191</v>
      </c>
      <c r="G22" s="288"/>
      <c r="H22" s="694" t="s">
        <v>194</v>
      </c>
      <c r="I22" s="695"/>
      <c r="J22" s="297"/>
      <c r="K22" s="304"/>
      <c r="L22" s="285"/>
      <c r="M22" s="115"/>
      <c r="N22" s="90"/>
      <c r="O22" s="88"/>
      <c r="P22" s="185"/>
      <c r="Q22" s="88"/>
      <c r="R22" s="90"/>
      <c r="T22" s="90"/>
      <c r="U22" s="90"/>
    </row>
    <row r="23" spans="1:21" ht="35.25" customHeight="1" thickBot="1">
      <c r="A23" s="87"/>
      <c r="B23" s="248"/>
      <c r="C23" s="249"/>
      <c r="D23" s="280"/>
      <c r="E23" s="282"/>
      <c r="F23" s="291">
        <f>SUM(H13:H18)</f>
        <v>93</v>
      </c>
      <c r="G23" s="281"/>
      <c r="H23" s="292">
        <f>SUM(C22:C27)</f>
        <v>0</v>
      </c>
      <c r="I23" s="283"/>
      <c r="J23" s="297"/>
      <c r="K23" s="305"/>
      <c r="L23" s="286"/>
      <c r="M23" s="306"/>
      <c r="N23" s="306"/>
      <c r="O23" s="88"/>
      <c r="P23" s="185"/>
      <c r="Q23" s="88"/>
      <c r="R23" s="90"/>
      <c r="T23" s="90"/>
      <c r="U23" s="90"/>
    </row>
    <row r="24" spans="1:21" ht="35.25" customHeight="1" thickBot="1">
      <c r="A24" s="87"/>
      <c r="B24" s="250"/>
      <c r="C24" s="251"/>
      <c r="D24" s="246"/>
      <c r="E24" s="117"/>
      <c r="F24" s="117"/>
      <c r="G24" s="90"/>
      <c r="H24" s="115"/>
      <c r="I24" s="115"/>
      <c r="J24" s="89"/>
      <c r="K24" s="279"/>
      <c r="L24" s="135"/>
      <c r="M24" s="136"/>
      <c r="N24" s="134"/>
      <c r="O24" s="91"/>
      <c r="P24" s="385"/>
      <c r="Q24" s="88"/>
      <c r="R24" s="90"/>
      <c r="T24" s="90"/>
      <c r="U24" s="90"/>
    </row>
    <row r="25" spans="1:21" ht="33" customHeight="1" thickBot="1">
      <c r="A25" s="87"/>
      <c r="B25" s="250"/>
      <c r="C25" s="251"/>
      <c r="D25" s="280"/>
      <c r="E25" s="186"/>
      <c r="F25" s="186"/>
      <c r="G25" s="98"/>
      <c r="I25" s="166"/>
      <c r="J25" s="87"/>
      <c r="K25" s="388" t="s">
        <v>224</v>
      </c>
      <c r="L25" s="184"/>
      <c r="M25" s="387"/>
      <c r="N25" s="390"/>
      <c r="O25" s="389"/>
      <c r="P25" s="284"/>
      <c r="Q25" s="88"/>
      <c r="R25" s="90"/>
      <c r="T25" s="90"/>
      <c r="U25" s="90"/>
    </row>
    <row r="26" spans="1:21" ht="44.25" customHeight="1">
      <c r="A26" s="87"/>
      <c r="B26" s="250"/>
      <c r="C26" s="251"/>
      <c r="D26" s="280"/>
      <c r="E26" s="294"/>
      <c r="F26" s="307" t="s">
        <v>195</v>
      </c>
      <c r="H26" s="696" t="s">
        <v>223</v>
      </c>
      <c r="I26" s="697"/>
      <c r="J26" s="386"/>
      <c r="K26" s="685" t="s">
        <v>226</v>
      </c>
      <c r="L26" s="686"/>
      <c r="M26" s="686"/>
      <c r="N26" s="687"/>
      <c r="O26" s="88"/>
      <c r="P26" s="185"/>
      <c r="Q26" s="88"/>
      <c r="R26" s="90"/>
      <c r="T26" s="90"/>
      <c r="U26" s="90"/>
    </row>
    <row r="27" spans="1:21" ht="36.75" customHeight="1" thickBot="1">
      <c r="A27" s="87"/>
      <c r="B27" s="253"/>
      <c r="C27" s="254"/>
      <c r="D27" s="246"/>
      <c r="E27" s="293"/>
      <c r="F27" s="295">
        <v>45657</v>
      </c>
      <c r="G27" s="86"/>
      <c r="H27" s="255">
        <f>COUNTA(O6:P27)</f>
        <v>0</v>
      </c>
      <c r="I27" s="247"/>
      <c r="J27" s="245"/>
      <c r="K27" s="688" t="s">
        <v>225</v>
      </c>
      <c r="L27" s="689"/>
      <c r="M27" s="689"/>
      <c r="N27" s="690"/>
      <c r="O27" s="186"/>
      <c r="P27" s="156"/>
      <c r="Q27" s="88"/>
      <c r="R27" s="90"/>
      <c r="T27" s="90"/>
      <c r="U27" s="90"/>
    </row>
    <row r="28" spans="1:21" ht="44.25" customHeight="1">
      <c r="A28" s="90"/>
      <c r="B28" s="117"/>
      <c r="C28" s="117"/>
      <c r="D28" s="117"/>
      <c r="E28" s="117"/>
      <c r="F28" s="95"/>
      <c r="G28" s="95"/>
      <c r="H28" s="95"/>
      <c r="I28" s="98"/>
      <c r="J28" s="111"/>
      <c r="K28" s="135"/>
      <c r="L28" s="117"/>
      <c r="M28" s="117"/>
      <c r="N28" s="313"/>
      <c r="O28" s="96"/>
      <c r="P28" s="115"/>
      <c r="Q28" s="90"/>
      <c r="R28" s="90"/>
      <c r="S28" s="87"/>
      <c r="T28" s="90"/>
      <c r="U28" s="90"/>
    </row>
    <row r="29" spans="1:21" ht="43.5" customHeight="1">
      <c r="A29" s="87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88"/>
      <c r="R29" s="90"/>
      <c r="S29" s="87"/>
      <c r="T29" s="90"/>
      <c r="U29" s="90"/>
    </row>
    <row r="30" spans="1:21" ht="45" customHeight="1">
      <c r="A30" s="87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88"/>
      <c r="R30" s="90"/>
      <c r="S30" s="90"/>
      <c r="T30" s="90"/>
      <c r="U30" s="90"/>
    </row>
    <row r="31" spans="1:21">
      <c r="A31" s="87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88"/>
      <c r="R31" s="90"/>
      <c r="S31" s="90"/>
      <c r="T31" s="90"/>
      <c r="U31" s="90"/>
    </row>
    <row r="32" spans="1:21">
      <c r="A32" s="87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88"/>
      <c r="R32" s="90"/>
      <c r="S32" s="90"/>
      <c r="T32" s="90"/>
      <c r="U32" s="90"/>
    </row>
    <row r="33" spans="1:21">
      <c r="A33" s="87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88"/>
      <c r="R33" s="90"/>
      <c r="S33" s="90"/>
      <c r="T33" s="90"/>
      <c r="U33" s="90"/>
    </row>
    <row r="34" spans="1:21">
      <c r="A34" s="87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88"/>
      <c r="R34" s="90"/>
      <c r="S34" s="90"/>
      <c r="T34" s="90"/>
      <c r="U34" s="90"/>
    </row>
    <row r="35" spans="1:21">
      <c r="A35" s="87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88"/>
      <c r="R35" s="90"/>
      <c r="S35" s="90"/>
      <c r="T35" s="90"/>
      <c r="U35" s="90"/>
    </row>
    <row r="36" spans="1:21">
      <c r="A36" s="87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88"/>
      <c r="R36" s="90"/>
      <c r="S36" s="90"/>
      <c r="T36" s="90"/>
      <c r="U36" s="90"/>
    </row>
    <row r="37" spans="1:21">
      <c r="A37" s="87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88"/>
      <c r="R37" s="90"/>
      <c r="S37" s="90"/>
      <c r="T37" s="90"/>
      <c r="U37" s="90"/>
    </row>
    <row r="38" spans="1:21">
      <c r="A38" s="87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88"/>
      <c r="R38" s="90"/>
      <c r="S38" s="90"/>
      <c r="T38" s="90"/>
      <c r="U38" s="90"/>
    </row>
    <row r="39" spans="1:21">
      <c r="A39" s="87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88"/>
      <c r="R39" s="90"/>
      <c r="S39" s="90"/>
      <c r="T39" s="90"/>
      <c r="U39" s="90"/>
    </row>
    <row r="40" spans="1:21">
      <c r="A40" s="87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88"/>
      <c r="R40" s="90"/>
      <c r="S40" s="90"/>
      <c r="T40" s="90"/>
      <c r="U40" s="90"/>
    </row>
    <row r="41" spans="1:21">
      <c r="A41" s="87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88"/>
      <c r="R41" s="90"/>
      <c r="S41" s="90"/>
      <c r="T41" s="90"/>
      <c r="U41" s="90"/>
    </row>
    <row r="42" spans="1:21">
      <c r="A42" s="87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88"/>
      <c r="R42" s="90"/>
      <c r="S42" s="90"/>
      <c r="T42" s="90"/>
      <c r="U42" s="90"/>
    </row>
    <row r="43" spans="1:21">
      <c r="A43" s="87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88"/>
      <c r="R43" s="90"/>
      <c r="S43" s="90"/>
      <c r="T43" s="90"/>
      <c r="U43" s="90"/>
    </row>
    <row r="44" spans="1:21">
      <c r="A44" s="87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88"/>
      <c r="R44" s="90"/>
      <c r="S44" s="90"/>
      <c r="T44" s="90"/>
      <c r="U44" s="90"/>
    </row>
    <row r="45" spans="1:21">
      <c r="A45" s="87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88"/>
      <c r="R45" s="90"/>
      <c r="S45" s="90"/>
      <c r="T45" s="90"/>
      <c r="U45" s="90"/>
    </row>
    <row r="46" spans="1:21">
      <c r="A46" s="87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88"/>
      <c r="R46" s="90"/>
      <c r="S46" s="90"/>
      <c r="T46" s="90"/>
      <c r="U46" s="90"/>
    </row>
  </sheetData>
  <mergeCells count="59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K15:L15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6:L6"/>
    <mergeCell ref="K7:L7"/>
    <mergeCell ref="K8:L8"/>
    <mergeCell ref="K9:L9"/>
    <mergeCell ref="K10:L10"/>
    <mergeCell ref="M11:N11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B2:F2"/>
    <mergeCell ref="G2:P2"/>
    <mergeCell ref="B1:P1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12" t="s">
        <v>196</v>
      </c>
      <c r="B2" s="312" t="s">
        <v>197</v>
      </c>
      <c r="C2" s="312" t="s">
        <v>198</v>
      </c>
      <c r="D2" s="312" t="s">
        <v>199</v>
      </c>
    </row>
    <row r="3" spans="1:4" ht="58.5" customHeight="1">
      <c r="A3" s="441"/>
      <c r="B3" s="437"/>
      <c r="C3" s="443"/>
      <c r="D3" s="443"/>
    </row>
    <row r="4" spans="1:4" ht="68.25" customHeight="1">
      <c r="A4" s="442"/>
      <c r="B4" s="438"/>
      <c r="C4" s="443"/>
      <c r="D4" s="443"/>
    </row>
    <row r="5" spans="1:4" ht="47.25" customHeight="1">
      <c r="A5" s="442"/>
      <c r="B5" s="437"/>
      <c r="C5" s="443"/>
      <c r="D5" s="443"/>
    </row>
    <row r="6" spans="1:4" ht="45" customHeight="1">
      <c r="A6" s="442"/>
      <c r="B6" s="438"/>
      <c r="C6" s="443"/>
      <c r="D6" s="443"/>
    </row>
    <row r="7" spans="1:4" ht="66" customHeight="1">
      <c r="A7" s="442"/>
      <c r="B7" s="437"/>
      <c r="C7" s="443"/>
      <c r="D7" s="443"/>
    </row>
    <row r="8" spans="1:4" ht="48.75" customHeight="1">
      <c r="A8" s="442"/>
      <c r="B8" s="438"/>
      <c r="C8" s="443"/>
      <c r="D8" s="443"/>
    </row>
    <row r="9" spans="1:4" ht="52.5" customHeight="1">
      <c r="A9" s="442"/>
      <c r="B9" s="437"/>
      <c r="C9" s="443"/>
      <c r="D9" s="443"/>
    </row>
    <row r="10" spans="1:4" ht="32.25" customHeight="1">
      <c r="A10" s="442"/>
      <c r="B10" s="438"/>
      <c r="C10" s="443"/>
      <c r="D10" s="443"/>
    </row>
    <row r="11" spans="1:4" ht="14.25" customHeight="1">
      <c r="A11" s="442"/>
      <c r="B11" s="437"/>
      <c r="C11" s="443"/>
      <c r="D11" s="443"/>
    </row>
    <row r="12" spans="1:4">
      <c r="A12" s="442"/>
      <c r="B12" s="439"/>
      <c r="C12" s="443"/>
      <c r="D12" s="443"/>
    </row>
    <row r="13" spans="1:4">
      <c r="A13" s="442"/>
      <c r="B13" s="438"/>
      <c r="C13" s="443"/>
      <c r="D13" s="443"/>
    </row>
    <row r="14" spans="1:4">
      <c r="A14" s="442"/>
      <c r="B14" s="440"/>
      <c r="C14" s="443"/>
      <c r="D14" s="4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2025-05-15T16:39:18Z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