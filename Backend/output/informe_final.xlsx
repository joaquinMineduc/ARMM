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hidePivotFieldList="1" defaultThemeVersion="124226"/>
  <xr:revisionPtr revIDLastSave="0" documentId="8_{3749256D-A225-4566-929B-63C918E536DF}" xr6:coauthVersionLast="47" xr6:coauthVersionMax="47" xr10:uidLastSave="{00000000-0000-0000-0000-000000000000}"/>
  <bookViews>
    <workbookView xWindow="-120" yWindow="-120" windowWidth="20730" windowHeight="11040" tabRatio="719" firstSheet="12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rogramas sociales" sheetId="50" r:id="rId13"/>
    <sheet name="Planes de tratamientos" sheetId="55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3">'Planes de tratamientos'!$A$1:$O$37</definedName>
    <definedName name="_xlnm.Print_Area" localSheetId="0">Portada!$B$1:$J$21</definedName>
    <definedName name="_xlnm.Print_Area" localSheetId="12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33" l="1"/>
  <c r="D49" i="33"/>
  <c r="D50" i="33"/>
  <c r="D51" i="33"/>
  <c r="D52" i="33"/>
  <c r="D53" i="33"/>
  <c r="D47" i="33"/>
  <c r="D40" i="33"/>
  <c r="D41" i="33"/>
  <c r="D42" i="33"/>
  <c r="D43" i="33"/>
  <c r="D44" i="33"/>
  <c r="D45" i="33"/>
  <c r="D39" i="33"/>
  <c r="D33" i="33"/>
  <c r="D34" i="33"/>
  <c r="D35" i="33"/>
  <c r="D36" i="33"/>
  <c r="D37" i="33"/>
  <c r="D32" i="33"/>
  <c r="D24" i="33"/>
  <c r="D25" i="33"/>
  <c r="D26" i="33"/>
  <c r="D27" i="33"/>
  <c r="D28" i="33"/>
  <c r="D29" i="33"/>
  <c r="D30" i="33"/>
  <c r="D23" i="33"/>
  <c r="D19" i="33"/>
  <c r="D20" i="33"/>
  <c r="D21" i="33"/>
  <c r="D18" i="33"/>
  <c r="D14" i="33"/>
  <c r="D15" i="33"/>
  <c r="D16" i="33"/>
  <c r="D13" i="33"/>
  <c r="D8" i="33"/>
  <c r="D9" i="33"/>
  <c r="D10" i="33"/>
  <c r="D11" i="33"/>
  <c r="D7" i="33"/>
  <c r="D4" i="33"/>
  <c r="D5" i="33"/>
  <c r="D3" i="33"/>
  <c r="C21" i="55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D25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D6" i="32"/>
  <c r="R10" i="35"/>
  <c r="D13" i="35" s="1"/>
  <c r="R11" i="35"/>
  <c r="D14" i="35" s="1"/>
  <c r="R12" i="35"/>
  <c r="D12" i="35" s="1"/>
  <c r="R13" i="35"/>
  <c r="D11" i="35" s="1"/>
  <c r="D26" i="35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O14" i="35"/>
  <c r="D28" i="35"/>
  <c r="D27" i="35"/>
  <c r="M14" i="35"/>
  <c r="K14" i="35"/>
  <c r="O45" i="48" l="1"/>
  <c r="R14" i="35"/>
  <c r="D15" i="35" s="1"/>
  <c r="D29" i="35"/>
</calcChain>
</file>

<file path=xl/sharedStrings.xml><?xml version="1.0" encoding="utf-8"?>
<sst xmlns="http://schemas.openxmlformats.org/spreadsheetml/2006/main" count="1008" uniqueCount="451">
  <si>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</si>
  <si>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</si>
  <si>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</si>
  <si>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</si>
  <si>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</si>
  <si>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</si>
  <si>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</si>
  <si>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</si>
  <si>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</si>
  <si>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</si>
  <si>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</si>
  <si>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</si>
  <si>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</si>
  <si>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</si>
  <si>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</si>
  <si>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</si>
  <si>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</si>
  <si>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</si>
  <si>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</si>
  <si>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</si>
  <si>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</si>
  <si>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</si>
  <si>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</si>
  <si>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</si>
  <si>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</si>
  <si>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</si>
  <si>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</si>
  <si>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</si>
  <si>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</si>
  <si>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</si>
  <si>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</si>
  <si>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</si>
  <si>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</si>
  <si>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</si>
  <si>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</si>
  <si>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</si>
  <si>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</si>
  <si>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</si>
  <si>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</si>
  <si>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</si>
  <si>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Valor Informe Mes</t>
  </si>
  <si>
    <t>Gabinete Ministro</t>
  </si>
  <si>
    <t>CDC: Auditorías del Plan Anual de Auditoría</t>
  </si>
  <si>
    <t>CDC: Solicitudes de información respondidas</t>
  </si>
  <si>
    <t>CDC: Documentos publicados en web Centro de Estudios</t>
  </si>
  <si>
    <t>Gabinete Subsecretaria</t>
  </si>
  <si>
    <t>CDC: Solicitudes de certificados de estudio</t>
  </si>
  <si>
    <t xml:space="preserve">CDC: Acciones formativas del Centro de Innovación </t>
  </si>
  <si>
    <t>CDC: Compra de equipamiento</t>
  </si>
  <si>
    <t xml:space="preserve">PMG: Sistema Calidad de Servicio y Experiencia </t>
  </si>
  <si>
    <t>H: Provincias que participan de acciones de CPEIP</t>
  </si>
  <si>
    <t>CDC: Inscipción para completar los estudios</t>
  </si>
  <si>
    <t>CDC: Acciones plan de difusión</t>
  </si>
  <si>
    <t>CDC: Procesos de validación de estudios</t>
  </si>
  <si>
    <t xml:space="preserve">CDC: Tickets de atención resueltos </t>
  </si>
  <si>
    <t>CDC: Sitios web con certificados de sitio seguro</t>
  </si>
  <si>
    <t>CDC: Sistemas definidos como críticos</t>
  </si>
  <si>
    <t>CDC: Asistencia vía SIGE</t>
  </si>
  <si>
    <t>CDC: Transacciones a través del sistema SIGPA</t>
  </si>
  <si>
    <t>CDC: Procesos documentados URAE</t>
  </si>
  <si>
    <t>PMG: Concentración del Gasto</t>
  </si>
  <si>
    <t>PMG: Transformación Digital</t>
  </si>
  <si>
    <t>CDC: Solicitudes de beneficios y/o préstamos</t>
  </si>
  <si>
    <t>CDC: Expedientes de compras</t>
  </si>
  <si>
    <t>CDC: Cierres contables oportunos</t>
  </si>
  <si>
    <t>CDC: Contratos nuevos a honorarios NC</t>
  </si>
  <si>
    <t>PMG: Sistema Estado Verde</t>
  </si>
  <si>
    <t>CDC: Recursos de Lectura, Aprendizaje y Bibliotecas</t>
  </si>
  <si>
    <t>CDC: Ejecución del plan de Desarrollo Curricular</t>
  </si>
  <si>
    <t>CDC: Difusión de instrumentos curriculares</t>
  </si>
  <si>
    <t>CDC: Modernización de textos escolares</t>
  </si>
  <si>
    <t>CDC: Ejecución del plan de Evaluación y Estándares</t>
  </si>
  <si>
    <t>H: Textos Escolares entregados</t>
  </si>
  <si>
    <t>CDC: Recursos de apelación, reclamación</t>
  </si>
  <si>
    <t xml:space="preserve">CDC: Actos administrativos con una Licitación Pública </t>
  </si>
  <si>
    <t>CDC: Propuestas de convenios o reformulación</t>
  </si>
  <si>
    <t>CDC: Actos administrativos que transfieren recursos</t>
  </si>
  <si>
    <t>CDC: Actos administrativos artículo 11 de la Ley N°20.159</t>
  </si>
  <si>
    <t>CDC: Actos administrativos Bases Admin. y Técnicas</t>
  </si>
  <si>
    <t>CDC: Defensas a recursos de protección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</si>
  <si>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</si>
  <si>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</si>
  <si>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</si>
  <si>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</si>
  <si>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</si>
  <si>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</si>
  <si>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</si>
  <si>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</si>
  <si>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</si>
  <si>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</si>
  <si>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</si>
  <si>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</si>
  <si>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</si>
  <si>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</si>
  <si>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</si>
  <si>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</si>
  <si>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</si>
  <si>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</si>
  <si>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</si>
  <si>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Convenio totalmente tramitado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</si>
  <si>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</si>
  <si>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</si>
  <si>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</si>
  <si>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</si>
  <si>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</si>
  <si>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</si>
  <si>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</si>
  <si>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</si>
  <si>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</si>
  <si>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</si>
  <si>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</si>
  <si>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</si>
  <si>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</si>
  <si>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</si>
  <si>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</si>
  <si>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</si>
  <si>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</si>
  <si>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</si>
  <si>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</si>
  <si>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</si>
  <si>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</si>
  <si>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</si>
  <si>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</si>
  <si>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</si>
  <si>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</si>
  <si>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</si>
  <si>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</si>
  <si>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</si>
  <si>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</si>
  <si>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</si>
  <si>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</si>
  <si>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</si>
  <si>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</si>
  <si>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</si>
  <si>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</si>
  <si>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</si>
  <si>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</si>
  <si>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</si>
  <si>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</si>
  <si>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</si>
  <si>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</si>
  <si>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</si>
  <si>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</si>
  <si>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</si>
  <si>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</si>
  <si>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</si>
  <si>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</si>
  <si>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</si>
  <si>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</si>
  <si>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</si>
  <si>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</si>
  <si>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</si>
  <si>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</si>
  <si>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</si>
  <si>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</si>
  <si>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</si>
  <si>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</si>
  <si>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</si>
  <si>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</si>
  <si>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</si>
  <si>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</si>
  <si>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</si>
  <si>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</si>
  <si>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</si>
  <si>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</si>
  <si>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CATEGORÍA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</si>
  <si>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</si>
  <si>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</si>
  <si>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</si>
  <si>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</si>
  <si>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</si>
  <si>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</si>
  <si>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</si>
  <si>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</si>
  <si>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</si>
  <si>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</si>
  <si>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</si>
  <si>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</si>
  <si>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</si>
  <si>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</si>
  <si>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</si>
  <si>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</si>
  <si>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</si>
  <si>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</si>
  <si>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</si>
  <si>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</si>
  <si>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</si>
  <si>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</si>
  <si>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</si>
  <si>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</si>
  <si>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</si>
  <si>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</si>
  <si>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</si>
  <si>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</si>
  <si>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</si>
  <si>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</si>
  <si>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</si>
  <si>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</si>
  <si>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</si>
  <si>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</si>
  <si>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</si>
  <si>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</si>
  <si>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</si>
  <si>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</si>
  <si>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</si>
  <si>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</si>
  <si>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PMG: Medidas de Equidad y Género</t>
  </si>
  <si>
    <t>CDC: Elaboración de informe formación docente</t>
  </si>
  <si>
    <t>CDC: Formación de bienestar docente</t>
  </si>
  <si>
    <t>CDC: Informe proyecto de ley carrera directiva</t>
  </si>
  <si>
    <t>PMG: Sistema de Riesgos Psicosociales laborales</t>
  </si>
  <si>
    <t>H: Implementación del Programa "A convivir se Aprende"</t>
  </si>
  <si>
    <t>H: Entrega de Kit evaluativo de los EE subvencionados</t>
  </si>
  <si>
    <t>Gab Subse</t>
  </si>
  <si>
    <t>Gab Ministro</t>
  </si>
  <si>
    <t>La Araucanía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</si>
  <si>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</si>
  <si>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</si>
  <si>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</si>
  <si>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</si>
  <si>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</si>
  <si>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</si>
  <si>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</si>
  <si>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</si>
  <si>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</si>
  <si>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</si>
  <si>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</si>
  <si>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</si>
  <si>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</si>
  <si>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</si>
  <si>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</si>
  <si>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</si>
  <si>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</si>
  <si>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</si>
  <si>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</si>
  <si>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</si>
  <si>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</si>
  <si>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</si>
  <si>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</si>
  <si>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</si>
  <si>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</si>
  <si>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</si>
  <si>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</si>
  <si>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</si>
  <si>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</si>
  <si>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</si>
  <si>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</si>
  <si>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</si>
  <si>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</si>
  <si>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</si>
  <si>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</si>
  <si>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</si>
  <si>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</si>
  <si>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</si>
  <si>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</si>
  <si>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</si>
  <si>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</si>
  <si>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</si>
  <si>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</si>
  <si>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</si>
  <si>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</si>
  <si>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</si>
  <si>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</si>
  <si>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</si>
  <si>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</si>
  <si>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</si>
  <si>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</si>
  <si>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</si>
  <si>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</si>
  <si>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</si>
  <si>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</si>
  <si>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</si>
  <si>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</si>
  <si>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</si>
  <si>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</si>
  <si>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</si>
  <si>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</si>
  <si>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</si>
  <si>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</si>
  <si>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</si>
  <si>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</si>
  <si>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</si>
  <si>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</si>
  <si>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</si>
  <si>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</si>
  <si>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</si>
  <si>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</si>
  <si>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</si>
  <si>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</si>
  <si>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</si>
  <si>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</si>
  <si>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</si>
  <si>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</si>
  <si>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</si>
  <si>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</si>
  <si>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</si>
  <si>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</si>
  <si>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</si>
  <si>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</si>
  <si>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</si>
  <si>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</si>
  <si>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</si>
  <si>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</si>
  <si>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</si>
  <si>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</si>
  <si>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</si>
  <si>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</si>
  <si>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</si>
  <si>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</si>
  <si>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Pendiente actualizar</t>
  </si>
  <si>
    <t xml:space="preserve">Actualizado </t>
  </si>
  <si>
    <t xml:space="preserve">Institucionales </t>
  </si>
  <si>
    <t>Señales de Alerta no asociadas a MR</t>
  </si>
  <si>
    <t>Se hizo envío del 1° monitoreo al CAIGG, el 30/04</t>
  </si>
  <si>
    <t xml:space="preserve">Ciberseguridad </t>
  </si>
  <si>
    <t>GabMin Estudios</t>
  </si>
  <si>
    <t>Ayuda MINEDUC</t>
  </si>
  <si>
    <t>TOTAL PROGRAMAS SOCIALES MINEDUC 2025</t>
  </si>
  <si>
    <r>
      <t xml:space="preserve">RF: </t>
    </r>
    <r>
      <rPr>
        <sz val="16"/>
        <color theme="3"/>
        <rFont val="Calibri"/>
        <family val="2"/>
        <scheme val="minor"/>
      </rPr>
      <t>Recomendación Favorable</t>
    </r>
  </si>
  <si>
    <t>NOTA: El monitoreo se realiza a programas sociales implementados en 2024</t>
  </si>
  <si>
    <t xml:space="preserve">NÚMERO DE PROGRAMAS SOCIALES </t>
  </si>
  <si>
    <t>PROGRAMA SOCIAL</t>
  </si>
  <si>
    <t>LÍNEA DE TIEMPO DE LOS PROCESOS DE EX ANTE Y MONITOREO DE LOS PROGRAMAS SOCIALES</t>
  </si>
  <si>
    <t>TOTAL DE PROGRAMAS SOCIALES MONITOREADOS 2024</t>
  </si>
  <si>
    <t>RESULTADO DEL PROCESO DE EVALUACIÓN EX ANTE 2025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</si>
  <si>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</si>
  <si>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</si>
  <si>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</si>
  <si>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</si>
  <si>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</si>
  <si>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</si>
  <si>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</si>
  <si>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</si>
  <si>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bajo</t>
  </si>
  <si>
    <t>Hitos del proceso</t>
  </si>
  <si>
    <t>Hitos de proceso de evaluación Ex Ante</t>
  </si>
  <si>
    <r>
      <rPr>
        <b/>
        <sz val="16"/>
        <color rgb="FF002060"/>
        <rFont val="Calibri"/>
        <family val="2"/>
        <scheme val="minor"/>
      </rPr>
      <t>EV</t>
    </r>
    <r>
      <rPr>
        <b/>
        <sz val="16"/>
        <color rgb="FF0070C0"/>
        <rFont val="Calibri"/>
        <family val="2"/>
        <scheme val="minor"/>
      </rPr>
      <t xml:space="preserve">: </t>
    </r>
    <r>
      <rPr>
        <sz val="16"/>
        <color theme="3"/>
        <rFont val="Calibri"/>
        <family val="2"/>
        <scheme val="minor"/>
      </rPr>
      <t>En evaluación por parte de Ministerio del desarrollo y Familia.</t>
    </r>
  </si>
  <si>
    <r>
      <rPr>
        <b/>
        <sz val="18"/>
        <color rgb="FF002060"/>
        <rFont val="Calibri"/>
        <family val="2"/>
        <scheme val="minor"/>
      </rPr>
      <t>*:</t>
    </r>
    <r>
      <rPr>
        <sz val="16"/>
        <color theme="3"/>
        <rFont val="Calibri"/>
        <family val="2"/>
        <scheme val="minor"/>
      </rPr>
      <t xml:space="preserve"> Programas se dieron de baja del proceso ex ante por parte del Servicio para reformularse en el proceso 2026</t>
    </r>
  </si>
  <si>
    <t>MAYO - 2025</t>
  </si>
  <si>
    <t>I16_002-Gabinete Ministerio</t>
  </si>
  <si>
    <t>I20_013-Gabinete Ministerio</t>
  </si>
  <si>
    <t>I20_014-Gabinete Ministerio</t>
  </si>
  <si>
    <t>I19_026-Gabinete Subsecretaría</t>
  </si>
  <si>
    <t>I23_015-Gabinete Subsecretaría</t>
  </si>
  <si>
    <t>I21_001-Gabinete Subsecretaría</t>
  </si>
  <si>
    <t>I24_001-Gabinete Subsecretaría</t>
  </si>
  <si>
    <t>I24_002-Gabinete Subsecretaría</t>
  </si>
  <si>
    <t>I25_002-CPEIP</t>
  </si>
  <si>
    <t>I23_018-CPEIP</t>
  </si>
  <si>
    <t>I25_003-CPEIP</t>
  </si>
  <si>
    <t>I25_001-CPEIP</t>
  </si>
  <si>
    <t>I25_011-DEG</t>
  </si>
  <si>
    <t>I17_001-DEG</t>
  </si>
  <si>
    <t>I23_004-DEG</t>
  </si>
  <si>
    <t>I24_009-DEG</t>
  </si>
  <si>
    <t>I16_043-División de Planificación y Presupuesto</t>
  </si>
  <si>
    <t>I20_011-División de Planificación y Presupuesto</t>
  </si>
  <si>
    <t>I20_012-División de Planificación y Presupuesto</t>
  </si>
  <si>
    <t>I25_012-División de Planificación y Presupuesto</t>
  </si>
  <si>
    <t>I21_002-División de Planificación y Presupuesto</t>
  </si>
  <si>
    <t>I16_054-División de Planificación y Presupuesto</t>
  </si>
  <si>
    <t>I19_012-División de Planificación y Presupuesto</t>
  </si>
  <si>
    <t>I25_005-División de Planificación y Presupuesto</t>
  </si>
  <si>
    <t>I21_007-DAG</t>
  </si>
  <si>
    <t>I25_004-DAG</t>
  </si>
  <si>
    <t>I23_019-DAG</t>
  </si>
  <si>
    <t>I25_013-DAG</t>
  </si>
  <si>
    <t>I20_006-DAG</t>
  </si>
  <si>
    <t>I20_005-DAG</t>
  </si>
  <si>
    <t>I19_020-UCE</t>
  </si>
  <si>
    <t>I21_011-UCE</t>
  </si>
  <si>
    <t>I21_012-UCE</t>
  </si>
  <si>
    <t>I22_006-UCE</t>
  </si>
  <si>
    <t>I19_019-UCE</t>
  </si>
  <si>
    <t>I16_062-UCE</t>
  </si>
  <si>
    <t>I25_010-UCE</t>
  </si>
  <si>
    <t>I16_052-División Jurídica</t>
  </si>
  <si>
    <t>I24_004-División Jurídica</t>
  </si>
  <si>
    <t>I23_007-División Jurídica</t>
  </si>
  <si>
    <t>I22_008-División Jurídica</t>
  </si>
  <si>
    <t>I24_011-División Jurídica</t>
  </si>
  <si>
    <t>I24_003-División Jurídica</t>
  </si>
  <si>
    <t>I16_053-División Jurídica</t>
  </si>
  <si>
    <t>CNT</t>
  </si>
  <si>
    <t>Recursos Financieros</t>
  </si>
  <si>
    <t>Subvenciones</t>
  </si>
  <si>
    <t>URAE</t>
  </si>
  <si>
    <t>JURID</t>
  </si>
  <si>
    <t>GABMIN</t>
  </si>
  <si>
    <t>Auditoria</t>
  </si>
  <si>
    <t>Estudios</t>
  </si>
  <si>
    <t>Gabinete Subsecretaría</t>
  </si>
  <si>
    <t>Ayuda Mineduc</t>
  </si>
  <si>
    <t>Innovación</t>
  </si>
  <si>
    <t>TP</t>
  </si>
  <si>
    <t>CRUCH</t>
  </si>
  <si>
    <t>JUNAEB</t>
  </si>
  <si>
    <t>Agencia de Calidad</t>
  </si>
  <si>
    <t>DEP</t>
  </si>
  <si>
    <t>Superintendencia de Educación</t>
  </si>
  <si>
    <t>JUNJI</t>
  </si>
  <si>
    <t>Superintendencia de Educación Superior</t>
  </si>
  <si>
    <t>En enero 2025 se envió mediante mail del Jefe del Gabinete del Ministro, el resultado del monitoreo del tercer año de gestión.</t>
  </si>
  <si>
    <t>En marzo 2025 se envió mediante mail del Jefe del Gabinete del Ministro, el resultado del monitoreo del tercer año de gestión.</t>
  </si>
  <si>
    <t>En enero 2025 se tramitó totalmente el acto administrativo que aprueba el grado de cumplimiento global de las metas del convenio del segundo año de gestión.</t>
  </si>
  <si>
    <t>En abril 2025 se envió mediante mail del Jefe del Gabinete del Ministro, el resultado del monitoreo del primer año de gestión.</t>
  </si>
  <si>
    <t>En febrero 2025 se tramitó totalmente el acto administrativo que aprueba el grado de cumplimiento global de las metas del convenio del segundo año de gestión.</t>
  </si>
  <si>
    <t>En abril 2025 se tramitó totalmente el acto administrativo que aprueba el grado de cumplimiento global de las metas del convenio del segundo año de gestión.</t>
  </si>
  <si>
    <t>Acum MAYO - 2025</t>
  </si>
  <si>
    <t>Hitos ADP ocurridos al 30 de MAYO</t>
  </si>
  <si>
    <t>SLEP Gabriela Mistral</t>
  </si>
  <si>
    <t xml:space="preserve">SLEP Chiloé </t>
  </si>
  <si>
    <t>En enero 2025 se tramitó totalmente el acto administrativo que aprueba el grado de cumplimiento global de las metas del convenio del 1er año de gestión.</t>
  </si>
  <si>
    <t>En enero 2025 se tramitó totalmente el acto administrativo que aprueba el convenio del Jefe de Planificación y Control de Gestión del SLEP Chiloé. Esto se realizó ante la ausencia de un Director del SLEP nombrado a la fecha del acto administrativo.</t>
  </si>
  <si>
    <t>Dirección de Educación Pública</t>
  </si>
  <si>
    <t>Junta Nacional de Auxilio Escolar y Becas</t>
  </si>
  <si>
    <t>Junta Nacional de Jardines Infantiles</t>
  </si>
  <si>
    <t>Subsecretaria de Educación</t>
  </si>
  <si>
    <t>Subsecretaría Educación Parvularia</t>
  </si>
  <si>
    <t>Subsecretaría Educación Superior</t>
  </si>
  <si>
    <t>Subsecretaría de Educación Parvularia</t>
  </si>
  <si>
    <t>Subsecretaría de Educación Superior</t>
  </si>
  <si>
    <t>Beca de Apoyo a la Retención Escolar</t>
  </si>
  <si>
    <t>Programa Habilidades para la Vida III</t>
  </si>
  <si>
    <t>Educación Rural</t>
  </si>
  <si>
    <t>Fortalecimiento del aprendizaje del inglés</t>
  </si>
  <si>
    <t>Subvención Escolar Regular</t>
  </si>
  <si>
    <t>Jardines Infantiles y Sala Cuna modalidad No Convencional</t>
  </si>
  <si>
    <t>Vacaciones en mi Jardín</t>
  </si>
  <si>
    <t>Plan de Fortalecimiento de Universidades</t>
  </si>
  <si>
    <t>Beca Bicentenario</t>
  </si>
  <si>
    <t>Red Maestro de Maestros</t>
  </si>
  <si>
    <t>Subvención Pro-Retención</t>
  </si>
  <si>
    <t>Programa Jardín Transitorio Estacional</t>
  </si>
  <si>
    <t>Programa Alternativo de Atención al Párvulo</t>
  </si>
  <si>
    <t>BP</t>
  </si>
  <si>
    <t> qweqweqwewqe</t>
  </si>
  <si>
    <t>qweqweqwe</t>
  </si>
  <si>
    <t>Inicio Monitoreo 2024
ejecución año t-1</t>
  </si>
  <si>
    <t>Envío de orientaciones
a contrapartes internas</t>
  </si>
  <si>
    <t>Reporte en
plataforma</t>
  </si>
  <si>
    <t>Evaluación
MDSyF</t>
  </si>
  <si>
    <t>Inicio Ex ante</t>
  </si>
  <si>
    <t>Envío de
lineamientos
internos</t>
  </si>
  <si>
    <t>Ingreso máximo ex ante</t>
  </si>
  <si>
    <t>Publicación
de informes
de monitoreo</t>
  </si>
  <si>
    <t>Iteración 1</t>
  </si>
  <si>
    <t>Iteración 2</t>
  </si>
  <si>
    <t>Iteración 3</t>
  </si>
  <si>
    <t>Iteración 4</t>
  </si>
  <si>
    <t>Cierre
ex 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</si>
</sst>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"/>
  </numFmts>
  <fonts count="1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sz val="16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8"/>
      <color rgb="FF00206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</fills>
  <borders count="34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 style="thin">
        <color theme="0"/>
      </left>
      <right style="medium">
        <color theme="1"/>
      </right>
      <top/>
      <bottom style="thin">
        <color theme="0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/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/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/>
      <top style="thin">
        <color theme="1" tint="0.499984740745262"/>
      </top>
      <bottom style="medium">
        <color theme="1"/>
      </bottom>
      <diagonal/>
    </border>
    <border>
      <left style="medium">
        <color theme="0" tint="-0.499984740745262"/>
      </left>
      <right style="medium">
        <color theme="1"/>
      </right>
      <top style="thin">
        <color theme="1" tint="0.499984740745262"/>
      </top>
      <bottom style="medium">
        <color theme="1"/>
      </bottom>
      <diagonal/>
    </border>
    <border>
      <left/>
      <right style="medium">
        <color theme="0" tint="-0.499984740745262"/>
      </right>
      <top style="thin">
        <color theme="1" tint="0.499984740745262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 tint="0.499984740745262"/>
      </top>
      <bottom style="medium">
        <color theme="1"/>
      </bottom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 style="medium">
        <color theme="1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68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18" fillId="0" borderId="0" xfId="0" applyFont="1"/>
    <xf numFmtId="0" fontId="0" fillId="3" borderId="0" xfId="0" applyFill="1"/>
    <xf numFmtId="0" fontId="19" fillId="2" borderId="0" xfId="0" applyFont="1" applyFill="1"/>
    <xf numFmtId="0" fontId="19" fillId="2" borderId="19" xfId="0" applyFont="1" applyFill="1" applyBorder="1"/>
    <xf numFmtId="0" fontId="19" fillId="2" borderId="20" xfId="0" applyFont="1" applyFill="1" applyBorder="1"/>
    <xf numFmtId="0" fontId="19" fillId="2" borderId="21" xfId="0" applyFont="1" applyFill="1" applyBorder="1"/>
    <xf numFmtId="0" fontId="19" fillId="2" borderId="17" xfId="0" applyFont="1" applyFill="1" applyBorder="1"/>
    <xf numFmtId="0" fontId="19" fillId="2" borderId="22" xfId="0" applyFont="1" applyFill="1" applyBorder="1"/>
    <xf numFmtId="0" fontId="19" fillId="2" borderId="23" xfId="0" applyFont="1" applyFill="1" applyBorder="1"/>
    <xf numFmtId="0" fontId="19" fillId="2" borderId="24" xfId="0" applyFont="1" applyFill="1" applyBorder="1"/>
    <xf numFmtId="0" fontId="19" fillId="2" borderId="25" xfId="0" applyFont="1" applyFill="1" applyBorder="1"/>
    <xf numFmtId="0" fontId="19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20" fillId="0" borderId="33" xfId="0" applyFont="1" applyBorder="1" applyAlignment="1">
      <alignment horizontal="right" vertical="center"/>
    </xf>
    <xf numFmtId="0" fontId="20" fillId="9" borderId="33" xfId="0" applyFont="1" applyFill="1" applyBorder="1" applyAlignment="1">
      <alignment vertical="center"/>
    </xf>
    <xf numFmtId="0" fontId="20" fillId="0" borderId="0" xfId="0" applyFont="1"/>
    <xf numFmtId="0" fontId="21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6" borderId="8" xfId="0" applyFont="1" applyFill="1" applyBorder="1" applyAlignment="1">
      <alignment horizontal="center" vertical="center"/>
    </xf>
    <xf numFmtId="0" fontId="34" fillId="6" borderId="8" xfId="0" applyFont="1" applyFill="1" applyBorder="1" applyAlignment="1">
      <alignment horizontal="center" vertical="center"/>
    </xf>
    <xf numFmtId="0" fontId="36" fillId="6" borderId="12" xfId="0" applyFont="1" applyFill="1" applyBorder="1"/>
    <xf numFmtId="0" fontId="35" fillId="6" borderId="13" xfId="0" applyFont="1" applyFill="1" applyBorder="1" applyAlignment="1">
      <alignment horizontal="center" vertical="center"/>
    </xf>
    <xf numFmtId="0" fontId="35" fillId="6" borderId="14" xfId="0" applyFont="1" applyFill="1" applyBorder="1" applyAlignment="1">
      <alignment horizontal="center" vertical="center"/>
    </xf>
    <xf numFmtId="0" fontId="36" fillId="0" borderId="0" xfId="0" applyFont="1"/>
    <xf numFmtId="0" fontId="34" fillId="0" borderId="0" xfId="0" applyFont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4" fillId="0" borderId="10" xfId="0" applyFont="1" applyBorder="1" applyAlignment="1">
      <alignment horizontal="left" vertical="center"/>
    </xf>
    <xf numFmtId="0" fontId="35" fillId="0" borderId="0" xfId="0" applyFont="1"/>
    <xf numFmtId="0" fontId="36" fillId="6" borderId="2" xfId="0" applyFont="1" applyFill="1" applyBorder="1" applyAlignment="1">
      <alignment vertical="center"/>
    </xf>
    <xf numFmtId="0" fontId="36" fillId="6" borderId="2" xfId="0" applyFont="1" applyFill="1" applyBorder="1"/>
    <xf numFmtId="0" fontId="33" fillId="6" borderId="2" xfId="0" applyFont="1" applyFill="1" applyBorder="1" applyAlignment="1">
      <alignment horizontal="center" vertical="center"/>
    </xf>
    <xf numFmtId="0" fontId="33" fillId="6" borderId="4" xfId="0" applyFont="1" applyFill="1" applyBorder="1" applyAlignment="1">
      <alignment horizontal="center" vertical="center"/>
    </xf>
    <xf numFmtId="0" fontId="34" fillId="6" borderId="3" xfId="0" applyFont="1" applyFill="1" applyBorder="1" applyAlignment="1">
      <alignment horizontal="left" vertical="center"/>
    </xf>
    <xf numFmtId="0" fontId="34" fillId="6" borderId="9" xfId="0" applyFont="1" applyFill="1" applyBorder="1" applyAlignment="1">
      <alignment horizontal="center" vertical="center"/>
    </xf>
    <xf numFmtId="0" fontId="33" fillId="6" borderId="7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3" fillId="0" borderId="0" xfId="0" applyFont="1" applyAlignment="1">
      <alignment vertical="top"/>
    </xf>
    <xf numFmtId="0" fontId="24" fillId="0" borderId="0" xfId="0" applyFont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30" fillId="8" borderId="19" xfId="0" applyFont="1" applyFill="1" applyBorder="1" applyAlignment="1">
      <alignment horizontal="center" vertical="center" wrapText="1"/>
    </xf>
    <xf numFmtId="0" fontId="30" fillId="8" borderId="63" xfId="0" applyFont="1" applyFill="1" applyBorder="1" applyAlignment="1">
      <alignment horizontal="center" vertical="center"/>
    </xf>
    <xf numFmtId="0" fontId="30" fillId="8" borderId="64" xfId="0" applyFont="1" applyFill="1" applyBorder="1" applyAlignment="1">
      <alignment horizontal="center" vertical="center"/>
    </xf>
    <xf numFmtId="0" fontId="20" fillId="9" borderId="27" xfId="0" applyFont="1" applyFill="1" applyBorder="1" applyAlignment="1">
      <alignment vertical="center"/>
    </xf>
    <xf numFmtId="0" fontId="30" fillId="9" borderId="19" xfId="0" applyFont="1" applyFill="1" applyBorder="1" applyAlignment="1">
      <alignment horizontal="center" vertical="center" wrapText="1"/>
    </xf>
    <xf numFmtId="0" fontId="30" fillId="9" borderId="63" xfId="0" applyFont="1" applyFill="1" applyBorder="1" applyAlignment="1">
      <alignment horizontal="center" vertical="center"/>
    </xf>
    <xf numFmtId="0" fontId="30" fillId="9" borderId="64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3" fillId="0" borderId="10" xfId="0" applyFont="1" applyBorder="1" applyAlignment="1">
      <alignment horizontal="left" vertical="center"/>
    </xf>
    <xf numFmtId="0" fontId="34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3" fillId="0" borderId="47" xfId="0" applyFont="1" applyBorder="1" applyAlignment="1">
      <alignment vertical="top"/>
    </xf>
    <xf numFmtId="0" fontId="33" fillId="0" borderId="48" xfId="0" applyFont="1" applyBorder="1" applyAlignment="1">
      <alignment vertical="top"/>
    </xf>
    <xf numFmtId="0" fontId="33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3" fillId="0" borderId="65" xfId="0" applyFont="1" applyBorder="1" applyAlignment="1">
      <alignment vertical="top"/>
    </xf>
    <xf numFmtId="0" fontId="24" fillId="0" borderId="47" xfId="0" applyFont="1" applyBorder="1" applyAlignment="1">
      <alignment vertical="center"/>
    </xf>
    <xf numFmtId="0" fontId="24" fillId="0" borderId="46" xfId="0" applyFont="1" applyBorder="1" applyAlignment="1">
      <alignment vertical="center"/>
    </xf>
    <xf numFmtId="0" fontId="33" fillId="0" borderId="50" xfId="0" applyFont="1" applyBorder="1" applyAlignment="1">
      <alignment vertical="top"/>
    </xf>
    <xf numFmtId="0" fontId="33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4" fillId="0" borderId="65" xfId="0" applyFont="1" applyBorder="1" applyAlignment="1">
      <alignment vertical="center"/>
    </xf>
    <xf numFmtId="0" fontId="24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4" fillId="0" borderId="54" xfId="0" applyFont="1" applyBorder="1" applyAlignment="1">
      <alignment vertical="center"/>
    </xf>
    <xf numFmtId="0" fontId="33" fillId="0" borderId="54" xfId="0" applyFont="1" applyBorder="1" applyAlignment="1">
      <alignment vertical="top"/>
    </xf>
    <xf numFmtId="0" fontId="39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41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40" fillId="0" borderId="59" xfId="0" applyFont="1" applyBorder="1" applyAlignment="1">
      <alignment vertical="center"/>
    </xf>
    <xf numFmtId="0" fontId="44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4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7" fillId="0" borderId="51" xfId="0" applyFont="1" applyBorder="1" applyAlignment="1">
      <alignment horizontal="center"/>
    </xf>
    <xf numFmtId="0" fontId="48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4" fillId="0" borderId="33" xfId="0" applyFont="1" applyBorder="1" applyAlignment="1">
      <alignment horizontal="center" vertical="center"/>
    </xf>
    <xf numFmtId="0" fontId="44" fillId="0" borderId="35" xfId="0" applyFont="1" applyBorder="1" applyAlignment="1">
      <alignment horizontal="center" vertical="center"/>
    </xf>
    <xf numFmtId="0" fontId="44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5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5" fillId="4" borderId="60" xfId="0" applyFont="1" applyFill="1" applyBorder="1" applyAlignment="1">
      <alignment vertical="top" wrapText="1"/>
    </xf>
    <xf numFmtId="17" fontId="26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5" fillId="0" borderId="142" xfId="0" applyFont="1" applyBorder="1" applyAlignment="1">
      <alignment vertical="top" wrapText="1"/>
    </xf>
    <xf numFmtId="17" fontId="26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4" fillId="0" borderId="6" xfId="0" applyFont="1" applyBorder="1" applyAlignment="1">
      <alignment horizontal="center" vertical="center"/>
    </xf>
    <xf numFmtId="0" fontId="0" fillId="0" borderId="149" xfId="0" applyBorder="1"/>
    <xf numFmtId="0" fontId="44" fillId="0" borderId="14" xfId="0" applyFont="1" applyBorder="1" applyAlignment="1">
      <alignment horizontal="center" vertical="center"/>
    </xf>
    <xf numFmtId="0" fontId="44" fillId="0" borderId="4" xfId="0" applyFont="1" applyBorder="1" applyAlignment="1">
      <alignment horizontal="center" vertical="center"/>
    </xf>
    <xf numFmtId="0" fontId="44" fillId="0" borderId="147" xfId="0" applyFont="1" applyBorder="1" applyAlignment="1">
      <alignment horizontal="center" vertical="center"/>
    </xf>
    <xf numFmtId="0" fontId="44" fillId="0" borderId="155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157" xfId="0" applyFont="1" applyBorder="1" applyAlignment="1">
      <alignment horizontal="left" vertical="center"/>
    </xf>
    <xf numFmtId="0" fontId="44" fillId="0" borderId="158" xfId="0" applyFont="1" applyBorder="1" applyAlignment="1">
      <alignment horizontal="left" vertical="center"/>
    </xf>
    <xf numFmtId="0" fontId="44" fillId="0" borderId="159" xfId="0" applyFont="1" applyBorder="1" applyAlignment="1">
      <alignment horizontal="left" vertical="center"/>
    </xf>
    <xf numFmtId="0" fontId="44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3" fillId="13" borderId="166" xfId="0" applyFont="1" applyFill="1" applyBorder="1" applyAlignment="1">
      <alignment horizontal="center" vertical="center"/>
    </xf>
    <xf numFmtId="0" fontId="53" fillId="13" borderId="167" xfId="0" applyFont="1" applyFill="1" applyBorder="1" applyAlignment="1">
      <alignment horizontal="center" vertical="center"/>
    </xf>
    <xf numFmtId="0" fontId="44" fillId="0" borderId="150" xfId="0" applyFont="1" applyBorder="1" applyAlignment="1">
      <alignment horizontal="center" vertical="center"/>
    </xf>
    <xf numFmtId="0" fontId="44" fillId="0" borderId="151" xfId="0" applyFont="1" applyBorder="1" applyAlignment="1">
      <alignment horizontal="center" vertical="center"/>
    </xf>
    <xf numFmtId="0" fontId="44" fillId="0" borderId="148" xfId="0" applyFont="1" applyBorder="1" applyAlignment="1">
      <alignment horizontal="center" vertical="center"/>
    </xf>
    <xf numFmtId="0" fontId="44" fillId="0" borderId="34" xfId="0" applyFont="1" applyBorder="1" applyAlignment="1">
      <alignment vertical="center"/>
    </xf>
    <xf numFmtId="0" fontId="44" fillId="0" borderId="37" xfId="0" applyFont="1" applyBorder="1" applyAlignment="1">
      <alignment vertical="center"/>
    </xf>
    <xf numFmtId="0" fontId="24" fillId="0" borderId="59" xfId="0" applyFont="1" applyBorder="1" applyAlignment="1">
      <alignment vertical="center"/>
    </xf>
    <xf numFmtId="0" fontId="24" fillId="0" borderId="52" xfId="0" applyFont="1" applyBorder="1" applyAlignment="1">
      <alignment vertical="center"/>
    </xf>
    <xf numFmtId="0" fontId="38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61" fillId="0" borderId="0" xfId="0" applyFont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3" fillId="16" borderId="1" xfId="0" applyFont="1" applyFill="1" applyBorder="1" applyAlignment="1">
      <alignment horizontal="center"/>
    </xf>
    <xf numFmtId="0" fontId="63" fillId="16" borderId="1" xfId="0" applyFont="1" applyFill="1" applyBorder="1" applyAlignment="1">
      <alignment horizontal="center" vertical="center"/>
    </xf>
    <xf numFmtId="0" fontId="65" fillId="0" borderId="62" xfId="0" applyFont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 wrapText="1"/>
    </xf>
    <xf numFmtId="0" fontId="36" fillId="0" borderId="46" xfId="0" applyFont="1" applyBorder="1" applyAlignment="1">
      <alignment wrapText="1"/>
    </xf>
    <xf numFmtId="0" fontId="19" fillId="0" borderId="46" xfId="0" applyFont="1" applyBorder="1"/>
    <xf numFmtId="0" fontId="16" fillId="0" borderId="46" xfId="0" applyFont="1" applyBorder="1"/>
    <xf numFmtId="0" fontId="67" fillId="0" borderId="46" xfId="0" applyFont="1" applyBorder="1"/>
    <xf numFmtId="0" fontId="67" fillId="0" borderId="46" xfId="0" applyFont="1" applyBorder="1" applyAlignment="1">
      <alignment vertical="center"/>
    </xf>
    <xf numFmtId="0" fontId="68" fillId="0" borderId="46" xfId="0" applyFont="1" applyBorder="1" applyAlignment="1">
      <alignment vertical="center" wrapText="1"/>
    </xf>
    <xf numFmtId="0" fontId="68" fillId="0" borderId="46" xfId="0" applyFont="1" applyBorder="1" applyAlignment="1">
      <alignment horizontal="right" vertical="top" wrapText="1"/>
    </xf>
    <xf numFmtId="0" fontId="66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9" xfId="0" applyBorder="1"/>
    <xf numFmtId="0" fontId="0" fillId="0" borderId="180" xfId="0" applyBorder="1"/>
    <xf numFmtId="0" fontId="0" fillId="0" borderId="181" xfId="0" applyBorder="1"/>
    <xf numFmtId="0" fontId="71" fillId="17" borderId="44" xfId="0" applyFont="1" applyFill="1" applyBorder="1" applyAlignment="1">
      <alignment horizontal="center" vertical="center"/>
    </xf>
    <xf numFmtId="0" fontId="29" fillId="3" borderId="0" xfId="0" applyFont="1" applyFill="1" applyAlignment="1">
      <alignment horizontal="center"/>
    </xf>
    <xf numFmtId="0" fontId="20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5" xfId="0" applyFont="1" applyFill="1" applyBorder="1"/>
    <xf numFmtId="0" fontId="8" fillId="3" borderId="184" xfId="0" applyFont="1" applyFill="1" applyBorder="1"/>
    <xf numFmtId="0" fontId="8" fillId="3" borderId="186" xfId="0" applyFont="1" applyFill="1" applyBorder="1"/>
    <xf numFmtId="0" fontId="8" fillId="3" borderId="7" xfId="0" applyFont="1" applyFill="1" applyBorder="1"/>
    <xf numFmtId="0" fontId="29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7" xfId="0" applyFont="1" applyFill="1" applyBorder="1"/>
    <xf numFmtId="0" fontId="8" fillId="3" borderId="188" xfId="0" applyFont="1" applyFill="1" applyBorder="1"/>
    <xf numFmtId="0" fontId="8" fillId="3" borderId="190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195" xfId="0" applyFont="1" applyFill="1" applyBorder="1"/>
    <xf numFmtId="0" fontId="8" fillId="3" borderId="49" xfId="0" applyFont="1" applyFill="1" applyBorder="1"/>
    <xf numFmtId="0" fontId="8" fillId="3" borderId="196" xfId="0" applyFont="1" applyFill="1" applyBorder="1"/>
    <xf numFmtId="0" fontId="8" fillId="3" borderId="60" xfId="0" applyFont="1" applyFill="1" applyBorder="1"/>
    <xf numFmtId="0" fontId="8" fillId="3" borderId="178" xfId="0" applyFont="1" applyFill="1" applyBorder="1"/>
    <xf numFmtId="0" fontId="8" fillId="3" borderId="197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5" fillId="6" borderId="13" xfId="0" applyFont="1" applyFill="1" applyBorder="1" applyAlignment="1">
      <alignment vertical="center"/>
    </xf>
    <xf numFmtId="0" fontId="76" fillId="0" borderId="49" xfId="0" applyFont="1" applyBorder="1" applyAlignment="1">
      <alignment horizontal="left"/>
    </xf>
    <xf numFmtId="0" fontId="76" fillId="0" borderId="51" xfId="0" applyFont="1" applyBorder="1" applyAlignment="1">
      <alignment horizontal="left"/>
    </xf>
    <xf numFmtId="0" fontId="76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6" fillId="0" borderId="46" xfId="0" applyFont="1" applyBorder="1"/>
    <xf numFmtId="0" fontId="76" fillId="0" borderId="47" xfId="0" applyFont="1" applyBorder="1"/>
    <xf numFmtId="0" fontId="76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6" fillId="0" borderId="46" xfId="0" applyFont="1" applyBorder="1" applyAlignment="1">
      <alignment horizontal="left"/>
    </xf>
    <xf numFmtId="0" fontId="76" fillId="0" borderId="47" xfId="0" applyFont="1" applyBorder="1" applyAlignment="1">
      <alignment horizontal="left"/>
    </xf>
    <xf numFmtId="0" fontId="75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5" fillId="0" borderId="50" xfId="0" applyFont="1" applyBorder="1" applyAlignment="1">
      <alignment horizontal="left"/>
    </xf>
    <xf numFmtId="0" fontId="76" fillId="0" borderId="48" xfId="0" applyFont="1" applyBorder="1" applyAlignment="1">
      <alignment horizontal="left"/>
    </xf>
    <xf numFmtId="0" fontId="76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6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8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8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9" xfId="0" applyFont="1" applyBorder="1"/>
    <xf numFmtId="0" fontId="68" fillId="0" borderId="200" xfId="0" applyFont="1" applyBorder="1" applyAlignment="1">
      <alignment horizontal="center" vertical="center"/>
    </xf>
    <xf numFmtId="0" fontId="68" fillId="0" borderId="200" xfId="0" applyFont="1" applyBorder="1" applyAlignment="1">
      <alignment horizontal="center" vertical="center" wrapText="1"/>
    </xf>
    <xf numFmtId="0" fontId="68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8" fillId="0" borderId="139" xfId="0" applyFont="1" applyBorder="1" applyAlignment="1">
      <alignment horizontal="center" vertical="center"/>
    </xf>
    <xf numFmtId="0" fontId="40" fillId="0" borderId="52" xfId="0" applyFont="1" applyBorder="1" applyAlignment="1">
      <alignment vertical="center"/>
    </xf>
    <xf numFmtId="0" fontId="16" fillId="0" borderId="202" xfId="0" applyFont="1" applyBorder="1"/>
    <xf numFmtId="0" fontId="0" fillId="0" borderId="203" xfId="0" applyBorder="1"/>
    <xf numFmtId="0" fontId="0" fillId="0" borderId="204" xfId="0" applyBorder="1"/>
    <xf numFmtId="0" fontId="0" fillId="0" borderId="205" xfId="0" applyBorder="1"/>
    <xf numFmtId="0" fontId="0" fillId="0" borderId="91" xfId="0" applyBorder="1" applyAlignment="1">
      <alignment vertical="center"/>
    </xf>
    <xf numFmtId="0" fontId="68" fillId="0" borderId="139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7" xfId="0" applyFill="1" applyBorder="1"/>
    <xf numFmtId="0" fontId="0" fillId="2" borderId="190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9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7" xfId="0" applyFill="1" applyBorder="1"/>
    <xf numFmtId="0" fontId="9" fillId="0" borderId="207" xfId="0" applyFont="1" applyBorder="1" applyAlignment="1">
      <alignment vertical="center"/>
    </xf>
    <xf numFmtId="0" fontId="12" fillId="0" borderId="190" xfId="0" applyFont="1" applyBorder="1" applyAlignment="1">
      <alignment horizontal="left" vertical="center"/>
    </xf>
    <xf numFmtId="0" fontId="9" fillId="0" borderId="190" xfId="0" applyFont="1" applyBorder="1" applyAlignment="1">
      <alignment horizontal="left" vertical="center"/>
    </xf>
    <xf numFmtId="0" fontId="0" fillId="0" borderId="190" xfId="0" applyBorder="1"/>
    <xf numFmtId="0" fontId="12" fillId="0" borderId="190" xfId="0" applyFont="1" applyBorder="1" applyAlignment="1">
      <alignment vertical="center"/>
    </xf>
    <xf numFmtId="0" fontId="12" fillId="3" borderId="210" xfId="0" applyFont="1" applyFill="1" applyBorder="1" applyAlignment="1">
      <alignment vertical="center"/>
    </xf>
    <xf numFmtId="0" fontId="0" fillId="3" borderId="192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7" xfId="0" applyFont="1" applyFill="1" applyBorder="1" applyAlignment="1">
      <alignment vertical="center"/>
    </xf>
    <xf numFmtId="0" fontId="9" fillId="3" borderId="211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2" xfId="0" applyFont="1" applyFill="1" applyBorder="1" applyAlignment="1">
      <alignment vertical="center"/>
    </xf>
    <xf numFmtId="0" fontId="79" fillId="0" borderId="0" xfId="0" applyFont="1" applyAlignment="1">
      <alignment horizontal="center" vertical="center"/>
    </xf>
    <xf numFmtId="0" fontId="79" fillId="0" borderId="190" xfId="0" applyFont="1" applyBorder="1" applyAlignment="1">
      <alignment horizontal="center" vertical="center"/>
    </xf>
    <xf numFmtId="0" fontId="80" fillId="0" borderId="213" xfId="0" applyFont="1" applyBorder="1" applyAlignment="1">
      <alignment horizontal="left" vertical="center" wrapText="1"/>
    </xf>
    <xf numFmtId="16" fontId="80" fillId="0" borderId="214" xfId="0" applyNumberFormat="1" applyFont="1" applyBorder="1" applyAlignment="1">
      <alignment horizontal="center" vertical="center"/>
    </xf>
    <xf numFmtId="0" fontId="80" fillId="0" borderId="1" xfId="0" applyFont="1" applyBorder="1" applyAlignment="1">
      <alignment horizontal="center" vertical="center"/>
    </xf>
    <xf numFmtId="9" fontId="20" fillId="9" borderId="32" xfId="0" applyNumberFormat="1" applyFont="1" applyFill="1" applyBorder="1" applyAlignment="1">
      <alignment horizontal="center" vertical="center"/>
    </xf>
    <xf numFmtId="9" fontId="20" fillId="9" borderId="28" xfId="0" applyNumberFormat="1" applyFont="1" applyFill="1" applyBorder="1" applyAlignment="1">
      <alignment horizontal="center" vertical="center"/>
    </xf>
    <xf numFmtId="9" fontId="20" fillId="9" borderId="1" xfId="0" applyNumberFormat="1" applyFont="1" applyFill="1" applyBorder="1" applyAlignment="1">
      <alignment horizontal="center" vertical="center"/>
    </xf>
    <xf numFmtId="9" fontId="20" fillId="9" borderId="34" xfId="0" applyNumberFormat="1" applyFont="1" applyFill="1" applyBorder="1" applyAlignment="1">
      <alignment horizontal="center" vertical="center"/>
    </xf>
    <xf numFmtId="9" fontId="20" fillId="9" borderId="36" xfId="0" applyNumberFormat="1" applyFont="1" applyFill="1" applyBorder="1" applyAlignment="1">
      <alignment horizontal="center" vertical="center"/>
    </xf>
    <xf numFmtId="9" fontId="20" fillId="9" borderId="37" xfId="0" applyNumberFormat="1" applyFont="1" applyFill="1" applyBorder="1" applyAlignment="1">
      <alignment horizontal="center" vertical="center"/>
    </xf>
    <xf numFmtId="9" fontId="20" fillId="9" borderId="27" xfId="0" applyNumberFormat="1" applyFont="1" applyFill="1" applyBorder="1" applyAlignment="1">
      <alignment horizontal="center" vertical="center"/>
    </xf>
    <xf numFmtId="9" fontId="20" fillId="9" borderId="33" xfId="0" applyNumberFormat="1" applyFont="1" applyFill="1" applyBorder="1" applyAlignment="1">
      <alignment horizontal="center" vertical="center"/>
    </xf>
    <xf numFmtId="9" fontId="20" fillId="9" borderId="35" xfId="0" applyNumberFormat="1" applyFont="1" applyFill="1" applyBorder="1" applyAlignment="1">
      <alignment horizontal="center" vertical="center"/>
    </xf>
    <xf numFmtId="0" fontId="0" fillId="0" borderId="187" xfId="0" applyBorder="1"/>
    <xf numFmtId="0" fontId="0" fillId="0" borderId="220" xfId="0" applyBorder="1"/>
    <xf numFmtId="0" fontId="0" fillId="0" borderId="195" xfId="0" applyBorder="1"/>
    <xf numFmtId="0" fontId="87" fillId="0" borderId="58" xfId="0" applyFont="1" applyBorder="1"/>
    <xf numFmtId="0" fontId="0" fillId="0" borderId="219" xfId="0" applyBorder="1"/>
    <xf numFmtId="0" fontId="0" fillId="0" borderId="221" xfId="0" applyBorder="1"/>
    <xf numFmtId="0" fontId="0" fillId="0" borderId="212" xfId="0" applyBorder="1"/>
    <xf numFmtId="0" fontId="0" fillId="0" borderId="222" xfId="0" applyBorder="1"/>
    <xf numFmtId="0" fontId="0" fillId="0" borderId="223" xfId="0" applyBorder="1"/>
    <xf numFmtId="0" fontId="0" fillId="0" borderId="224" xfId="0" applyBorder="1"/>
    <xf numFmtId="0" fontId="87" fillId="0" borderId="54" xfId="0" applyFont="1" applyBorder="1"/>
    <xf numFmtId="0" fontId="87" fillId="0" borderId="124" xfId="0" applyFont="1" applyBorder="1"/>
    <xf numFmtId="0" fontId="0" fillId="0" borderId="225" xfId="0" applyBorder="1"/>
    <xf numFmtId="0" fontId="0" fillId="0" borderId="108" xfId="0" applyBorder="1"/>
    <xf numFmtId="0" fontId="0" fillId="0" borderId="226" xfId="0" applyBorder="1"/>
    <xf numFmtId="0" fontId="0" fillId="0" borderId="228" xfId="0" applyBorder="1"/>
    <xf numFmtId="0" fontId="43" fillId="13" borderId="156" xfId="0" applyFont="1" applyFill="1" applyBorder="1" applyAlignment="1">
      <alignment horizontal="center" vertical="center"/>
    </xf>
    <xf numFmtId="0" fontId="43" fillId="13" borderId="147" xfId="0" applyFont="1" applyFill="1" applyBorder="1" applyAlignment="1">
      <alignment horizontal="center" vertical="center"/>
    </xf>
    <xf numFmtId="0" fontId="43" fillId="13" borderId="147" xfId="0" applyFont="1" applyFill="1" applyBorder="1" applyAlignment="1">
      <alignment horizontal="center" vertical="center" wrapText="1"/>
    </xf>
    <xf numFmtId="0" fontId="43" fillId="13" borderId="148" xfId="0" applyFont="1" applyFill="1" applyBorder="1" applyAlignment="1">
      <alignment horizontal="center" vertical="center"/>
    </xf>
    <xf numFmtId="0" fontId="43" fillId="13" borderId="33" xfId="0" applyFont="1" applyFill="1" applyBorder="1" applyAlignment="1">
      <alignment horizontal="center" vertical="center"/>
    </xf>
    <xf numFmtId="0" fontId="43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3" fillId="13" borderId="34" xfId="0" applyFont="1" applyFill="1" applyBorder="1" applyAlignment="1">
      <alignment horizontal="center" vertical="center"/>
    </xf>
    <xf numFmtId="0" fontId="89" fillId="13" borderId="168" xfId="0" applyFont="1" applyFill="1" applyBorder="1" applyAlignment="1">
      <alignment horizontal="center" vertical="center" wrapText="1"/>
    </xf>
    <xf numFmtId="0" fontId="89" fillId="13" borderId="169" xfId="0" applyFont="1" applyFill="1" applyBorder="1" applyAlignment="1">
      <alignment horizontal="center" vertical="center" wrapText="1"/>
    </xf>
    <xf numFmtId="0" fontId="89" fillId="13" borderId="170" xfId="0" applyFont="1" applyFill="1" applyBorder="1" applyAlignment="1">
      <alignment horizontal="center" vertical="center" wrapText="1"/>
    </xf>
    <xf numFmtId="0" fontId="90" fillId="13" borderId="87" xfId="0" applyFont="1" applyFill="1" applyBorder="1" applyAlignment="1">
      <alignment horizontal="center" vertical="center"/>
    </xf>
    <xf numFmtId="0" fontId="73" fillId="13" borderId="0" xfId="0" applyFont="1" applyFill="1" applyAlignment="1">
      <alignment vertical="center"/>
    </xf>
    <xf numFmtId="0" fontId="72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5" fillId="13" borderId="0" xfId="0" applyFont="1" applyFill="1" applyAlignment="1">
      <alignment vertical="top" wrapText="1"/>
    </xf>
    <xf numFmtId="0" fontId="27" fillId="13" borderId="0" xfId="0" applyFont="1" applyFill="1" applyAlignment="1">
      <alignment vertical="top" wrapText="1"/>
    </xf>
    <xf numFmtId="49" fontId="60" fillId="13" borderId="0" xfId="0" applyNumberFormat="1" applyFont="1" applyFill="1" applyAlignment="1">
      <alignment vertical="top" wrapText="1"/>
    </xf>
    <xf numFmtId="0" fontId="87" fillId="0" borderId="46" xfId="0" applyFont="1" applyBorder="1" applyAlignment="1">
      <alignment horizontal="right" vertical="center"/>
    </xf>
    <xf numFmtId="0" fontId="48" fillId="0" borderId="46" xfId="0" applyFont="1" applyBorder="1" applyAlignment="1">
      <alignment horizontal="center"/>
    </xf>
    <xf numFmtId="0" fontId="85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7" xfId="0" applyBorder="1" applyAlignment="1">
      <alignment vertical="center"/>
    </xf>
    <xf numFmtId="0" fontId="0" fillId="0" borderId="238" xfId="0" applyBorder="1"/>
    <xf numFmtId="0" fontId="0" fillId="0" borderId="241" xfId="0" applyBorder="1"/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0" fillId="0" borderId="244" xfId="0" applyBorder="1" applyAlignment="1">
      <alignment vertical="center"/>
    </xf>
    <xf numFmtId="0" fontId="85" fillId="0" borderId="245" xfId="0" applyFont="1" applyBorder="1" applyAlignment="1">
      <alignment horizontal="left" vertical="center"/>
    </xf>
    <xf numFmtId="0" fontId="0" fillId="0" borderId="246" xfId="0" applyBorder="1"/>
    <xf numFmtId="0" fontId="87" fillId="0" borderId="223" xfId="0" applyFont="1" applyBorder="1" applyAlignment="1">
      <alignment horizontal="center" vertical="center"/>
    </xf>
    <xf numFmtId="0" fontId="48" fillId="0" borderId="223" xfId="0" applyFont="1" applyBorder="1" applyAlignment="1">
      <alignment horizontal="center"/>
    </xf>
    <xf numFmtId="0" fontId="0" fillId="0" borderId="247" xfId="0" applyBorder="1"/>
    <xf numFmtId="0" fontId="0" fillId="0" borderId="248" xfId="0" applyBorder="1"/>
    <xf numFmtId="0" fontId="0" fillId="0" borderId="53" xfId="0" applyBorder="1" applyAlignment="1">
      <alignment vertical="center"/>
    </xf>
    <xf numFmtId="0" fontId="0" fillId="0" borderId="279" xfId="0" applyBorder="1"/>
    <xf numFmtId="0" fontId="0" fillId="0" borderId="280" xfId="0" applyBorder="1"/>
    <xf numFmtId="0" fontId="0" fillId="0" borderId="196" xfId="0" applyBorder="1"/>
    <xf numFmtId="0" fontId="0" fillId="0" borderId="129" xfId="0" applyBorder="1"/>
    <xf numFmtId="0" fontId="0" fillId="0" borderId="281" xfId="0" applyBorder="1"/>
    <xf numFmtId="0" fontId="0" fillId="0" borderId="136" xfId="0" applyBorder="1"/>
    <xf numFmtId="0" fontId="0" fillId="0" borderId="282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1" xfId="0" applyBorder="1"/>
    <xf numFmtId="0" fontId="0" fillId="0" borderId="287" xfId="0" applyBorder="1"/>
    <xf numFmtId="0" fontId="11" fillId="3" borderId="46" xfId="0" applyFont="1" applyFill="1" applyBorder="1"/>
    <xf numFmtId="0" fontId="9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7" xfId="0" applyFill="1" applyBorder="1"/>
    <xf numFmtId="0" fontId="0" fillId="3" borderId="291" xfId="0" applyFill="1" applyBorder="1"/>
    <xf numFmtId="0" fontId="0" fillId="3" borderId="293" xfId="0" applyFill="1" applyBorder="1"/>
    <xf numFmtId="0" fontId="0" fillId="3" borderId="292" xfId="0" applyFill="1" applyBorder="1"/>
    <xf numFmtId="0" fontId="0" fillId="3" borderId="289" xfId="0" applyFill="1" applyBorder="1"/>
    <xf numFmtId="0" fontId="93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9" fillId="0" borderId="0" xfId="0" applyNumberFormat="1" applyFont="1" applyAlignment="1">
      <alignment horizontal="center" vertical="center"/>
    </xf>
    <xf numFmtId="1" fontId="92" fillId="18" borderId="48" xfId="0" applyNumberFormat="1" applyFont="1" applyFill="1" applyBorder="1" applyAlignment="1">
      <alignment horizontal="center" vertical="center"/>
    </xf>
    <xf numFmtId="1" fontId="19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0" borderId="124" xfId="0" applyFont="1" applyBorder="1" applyAlignment="1">
      <alignment horizontal="center" vertical="center"/>
    </xf>
    <xf numFmtId="0" fontId="0" fillId="0" borderId="297" xfId="0" applyBorder="1"/>
    <xf numFmtId="0" fontId="0" fillId="0" borderId="127" xfId="0" applyBorder="1"/>
    <xf numFmtId="0" fontId="48" fillId="0" borderId="124" xfId="0" applyFont="1" applyBorder="1" applyAlignment="1">
      <alignment horizontal="left" vertical="center"/>
    </xf>
    <xf numFmtId="0" fontId="48" fillId="0" borderId="73" xfId="0" applyFont="1" applyBorder="1" applyAlignment="1">
      <alignment horizontal="center" vertical="center"/>
    </xf>
    <xf numFmtId="0" fontId="11" fillId="3" borderId="295" xfId="0" applyFont="1" applyFill="1" applyBorder="1"/>
    <xf numFmtId="0" fontId="11" fillId="3" borderId="72" xfId="0" applyFont="1" applyFill="1" applyBorder="1"/>
    <xf numFmtId="0" fontId="95" fillId="0" borderId="298" xfId="0" applyFont="1" applyBorder="1" applyAlignment="1">
      <alignment horizontal="left" vertical="center"/>
    </xf>
    <xf numFmtId="0" fontId="48" fillId="0" borderId="211" xfId="0" applyFont="1" applyBorder="1" applyAlignment="1">
      <alignment horizontal="center" vertical="center"/>
    </xf>
    <xf numFmtId="0" fontId="48" fillId="0" borderId="226" xfId="0" applyFont="1" applyBorder="1" applyAlignment="1">
      <alignment horizontal="center" vertical="center"/>
    </xf>
    <xf numFmtId="0" fontId="48" fillId="0" borderId="58" xfId="0" applyFont="1" applyBorder="1" applyAlignment="1">
      <alignment horizontal="center"/>
    </xf>
    <xf numFmtId="0" fontId="0" fillId="3" borderId="300" xfId="0" applyFill="1" applyBorder="1"/>
    <xf numFmtId="0" fontId="0" fillId="3" borderId="47" xfId="0" applyFill="1" applyBorder="1"/>
    <xf numFmtId="1" fontId="19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2" fillId="18" borderId="51" xfId="0" applyNumberFormat="1" applyFont="1" applyFill="1" applyBorder="1" applyAlignment="1">
      <alignment horizontal="center" vertical="center"/>
    </xf>
    <xf numFmtId="0" fontId="0" fillId="3" borderId="301" xfId="0" applyFill="1" applyBorder="1"/>
    <xf numFmtId="0" fontId="0" fillId="3" borderId="51" xfId="0" applyFill="1" applyBorder="1"/>
    <xf numFmtId="0" fontId="95" fillId="0" borderId="288" xfId="0" applyFont="1" applyBorder="1" applyAlignment="1">
      <alignment vertical="center"/>
    </xf>
    <xf numFmtId="0" fontId="0" fillId="0" borderId="290" xfId="0" applyBorder="1"/>
    <xf numFmtId="0" fontId="0" fillId="3" borderId="294" xfId="0" applyFill="1" applyBorder="1"/>
    <xf numFmtId="0" fontId="0" fillId="0" borderId="302" xfId="0" applyBorder="1"/>
    <xf numFmtId="16" fontId="80" fillId="0" borderId="303" xfId="0" applyNumberFormat="1" applyFont="1" applyBorder="1" applyAlignment="1">
      <alignment horizontal="center" vertical="center"/>
    </xf>
    <xf numFmtId="0" fontId="80" fillId="0" borderId="5" xfId="0" applyFont="1" applyBorder="1" applyAlignment="1">
      <alignment horizontal="center" vertical="center"/>
    </xf>
    <xf numFmtId="0" fontId="8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80" fillId="0" borderId="5" xfId="0" applyFont="1" applyBorder="1" applyAlignment="1">
      <alignment horizontal="left" vertical="center" wrapText="1"/>
    </xf>
    <xf numFmtId="16" fontId="80" fillId="0" borderId="1" xfId="0" applyNumberFormat="1" applyFont="1" applyBorder="1" applyAlignment="1">
      <alignment horizontal="center" vertical="center"/>
    </xf>
    <xf numFmtId="14" fontId="65" fillId="0" borderId="6" xfId="0" applyNumberFormat="1" applyFont="1" applyBorder="1" applyAlignment="1">
      <alignment horizontal="center" vertical="center"/>
    </xf>
    <xf numFmtId="14" fontId="65" fillId="0" borderId="1" xfId="0" applyNumberFormat="1" applyFont="1" applyBorder="1" applyAlignment="1">
      <alignment horizontal="center" vertical="center"/>
    </xf>
    <xf numFmtId="14" fontId="65" fillId="0" borderId="36" xfId="0" applyNumberFormat="1" applyFont="1" applyBorder="1" applyAlignment="1">
      <alignment horizontal="center" vertical="center"/>
    </xf>
    <xf numFmtId="14" fontId="65" fillId="0" borderId="45" xfId="0" applyNumberFormat="1" applyFont="1" applyBorder="1" applyAlignment="1">
      <alignment horizontal="center" vertical="center"/>
    </xf>
    <xf numFmtId="14" fontId="65" fillId="0" borderId="34" xfId="0" applyNumberFormat="1" applyFont="1" applyBorder="1" applyAlignment="1">
      <alignment horizontal="center" vertical="center"/>
    </xf>
    <xf numFmtId="14" fontId="65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4" fillId="0" borderId="0" xfId="0" applyFont="1" applyAlignment="1">
      <alignment horizontal="right"/>
    </xf>
    <xf numFmtId="0" fontId="69" fillId="0" borderId="0" xfId="0" applyFont="1" applyAlignment="1">
      <alignment horizontal="center" vertical="center"/>
    </xf>
    <xf numFmtId="16" fontId="62" fillId="0" borderId="0" xfId="0" applyNumberFormat="1" applyFont="1" applyAlignment="1">
      <alignment horizontal="right" vertical="center"/>
    </xf>
    <xf numFmtId="0" fontId="6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61" fillId="0" borderId="60" xfId="0" applyFont="1" applyBorder="1" applyAlignment="1">
      <alignment horizontal="center" vertical="center"/>
    </xf>
    <xf numFmtId="0" fontId="77" fillId="0" borderId="0" xfId="0" applyFont="1" applyAlignment="1">
      <alignment horizontal="left" vertical="center"/>
    </xf>
    <xf numFmtId="0" fontId="16" fillId="0" borderId="307" xfId="0" applyFont="1" applyBorder="1"/>
    <xf numFmtId="0" fontId="77" fillId="0" borderId="306" xfId="0" applyFont="1" applyBorder="1" applyAlignment="1">
      <alignment horizontal="left" vertical="center"/>
    </xf>
    <xf numFmtId="0" fontId="66" fillId="0" borderId="0" xfId="0" applyFont="1" applyAlignment="1">
      <alignment horizontal="left" vertical="top" wrapText="1"/>
    </xf>
    <xf numFmtId="0" fontId="66" fillId="0" borderId="306" xfId="0" applyFont="1" applyBorder="1" applyAlignment="1">
      <alignment horizontal="left" vertical="top" wrapText="1"/>
    </xf>
    <xf numFmtId="0" fontId="66" fillId="0" borderId="0" xfId="0" applyFont="1" applyAlignment="1">
      <alignment horizontal="left" vertical="center" wrapText="1"/>
    </xf>
    <xf numFmtId="0" fontId="66" fillId="0" borderId="306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8" fillId="0" borderId="46" xfId="0" applyFont="1" applyBorder="1" applyAlignment="1">
      <alignment horizontal="center" vertical="center"/>
    </xf>
    <xf numFmtId="0" fontId="68" fillId="0" borderId="46" xfId="0" applyFont="1" applyBorder="1" applyAlignment="1">
      <alignment horizontal="center" vertical="center" wrapText="1"/>
    </xf>
    <xf numFmtId="0" fontId="78" fillId="0" borderId="46" xfId="0" applyFont="1" applyBorder="1" applyAlignment="1">
      <alignment horizontal="center" vertical="center"/>
    </xf>
    <xf numFmtId="0" fontId="68" fillId="0" borderId="124" xfId="0" applyFont="1" applyBorder="1" applyAlignment="1">
      <alignment horizontal="center" vertical="center" wrapText="1"/>
    </xf>
    <xf numFmtId="0" fontId="66" fillId="0" borderId="223" xfId="0" applyFont="1" applyBorder="1" applyAlignment="1">
      <alignment horizontal="left" vertical="center" wrapText="1"/>
    </xf>
    <xf numFmtId="0" fontId="66" fillId="0" borderId="223" xfId="0" applyFont="1" applyBorder="1" applyAlignment="1">
      <alignment horizontal="left" vertical="top" wrapText="1"/>
    </xf>
    <xf numFmtId="0" fontId="77" fillId="0" borderId="308" xfId="0" applyFont="1" applyBorder="1" applyAlignment="1">
      <alignment horizontal="left" vertical="center"/>
    </xf>
    <xf numFmtId="0" fontId="68" fillId="0" borderId="50" xfId="0" applyFont="1" applyBorder="1" applyAlignment="1">
      <alignment horizontal="center" vertical="center" wrapText="1"/>
    </xf>
    <xf numFmtId="0" fontId="0" fillId="0" borderId="175" xfId="0" applyBorder="1" applyAlignment="1">
      <alignment horizontal="center"/>
    </xf>
    <xf numFmtId="0" fontId="0" fillId="0" borderId="92" xfId="0" applyBorder="1" applyAlignment="1">
      <alignment horizontal="center"/>
    </xf>
    <xf numFmtId="0" fontId="16" fillId="0" borderId="92" xfId="0" applyFont="1" applyBorder="1" applyAlignment="1">
      <alignment horizontal="center" vertical="center" wrapText="1"/>
    </xf>
    <xf numFmtId="0" fontId="15" fillId="0" borderId="92" xfId="0" applyFont="1" applyBorder="1" applyAlignment="1">
      <alignment horizontal="center" vertical="center" wrapText="1"/>
    </xf>
    <xf numFmtId="0" fontId="15" fillId="0" borderId="312" xfId="0" applyFont="1" applyBorder="1" applyAlignment="1">
      <alignment horizontal="center" vertical="center" wrapText="1"/>
    </xf>
    <xf numFmtId="0" fontId="0" fillId="0" borderId="313" xfId="0" applyBorder="1"/>
    <xf numFmtId="0" fontId="0" fillId="0" borderId="314" xfId="0" applyBorder="1"/>
    <xf numFmtId="0" fontId="11" fillId="0" borderId="46" xfId="0" applyFont="1" applyBorder="1"/>
    <xf numFmtId="0" fontId="103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9" fillId="0" borderId="46" xfId="0" applyNumberFormat="1" applyFont="1" applyBorder="1" applyAlignment="1">
      <alignment horizontal="center" vertical="center"/>
    </xf>
    <xf numFmtId="0" fontId="103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7" xfId="0" applyBorder="1"/>
    <xf numFmtId="0" fontId="106" fillId="0" borderId="172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106" fillId="0" borderId="317" xfId="0" applyFont="1" applyBorder="1" applyAlignment="1">
      <alignment horizontal="center" vertical="center"/>
    </xf>
    <xf numFmtId="0" fontId="24" fillId="0" borderId="151" xfId="0" applyFont="1" applyBorder="1" applyAlignment="1">
      <alignment horizontal="center"/>
    </xf>
    <xf numFmtId="0" fontId="106" fillId="0" borderId="319" xfId="0" applyFont="1" applyBorder="1" applyAlignment="1">
      <alignment horizontal="center" vertical="center"/>
    </xf>
    <xf numFmtId="0" fontId="24" fillId="0" borderId="147" xfId="0" applyFont="1" applyBorder="1" applyAlignment="1">
      <alignment horizontal="center"/>
    </xf>
    <xf numFmtId="0" fontId="24" fillId="0" borderId="320" xfId="0" applyFont="1" applyBorder="1" applyAlignment="1">
      <alignment horizontal="center"/>
    </xf>
    <xf numFmtId="0" fontId="24" fillId="0" borderId="148" xfId="0" applyFont="1" applyBorder="1" applyAlignment="1">
      <alignment horizontal="center"/>
    </xf>
    <xf numFmtId="0" fontId="7" fillId="13" borderId="162" xfId="0" applyFont="1" applyFill="1" applyBorder="1" applyAlignment="1">
      <alignment horizontal="center" vertical="center" wrapText="1"/>
    </xf>
    <xf numFmtId="0" fontId="24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5" fillId="0" borderId="65" xfId="0" applyFont="1" applyBorder="1" applyAlignment="1">
      <alignment horizontal="center" vertical="center" wrapText="1"/>
    </xf>
    <xf numFmtId="0" fontId="91" fillId="0" borderId="65" xfId="0" applyFont="1" applyBorder="1" applyAlignment="1">
      <alignment horizontal="center" vertical="center"/>
    </xf>
    <xf numFmtId="0" fontId="91" fillId="0" borderId="53" xfId="0" applyFont="1" applyBorder="1" applyAlignment="1">
      <alignment horizontal="center" vertical="center"/>
    </xf>
    <xf numFmtId="0" fontId="87" fillId="0" borderId="65" xfId="0" applyFont="1" applyBorder="1"/>
    <xf numFmtId="0" fontId="48" fillId="0" borderId="49" xfId="0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9" fontId="0" fillId="0" borderId="48" xfId="0" applyNumberFormat="1" applyBorder="1" applyAlignment="1">
      <alignment vertical="center"/>
    </xf>
    <xf numFmtId="9" fontId="0" fillId="0" borderId="48" xfId="0" applyNumberFormat="1" applyBorder="1" applyAlignment="1">
      <alignment horizontal="center" vertical="center"/>
    </xf>
    <xf numFmtId="0" fontId="48" fillId="0" borderId="179" xfId="0" applyFont="1" applyBorder="1" applyAlignment="1">
      <alignment horizontal="center" vertical="center"/>
    </xf>
    <xf numFmtId="0" fontId="91" fillId="0" borderId="124" xfId="0" applyFont="1" applyBorder="1" applyAlignment="1">
      <alignment horizontal="left" vertical="center"/>
    </xf>
    <xf numFmtId="0" fontId="85" fillId="0" borderId="65" xfId="0" applyFont="1" applyBorder="1" applyAlignment="1">
      <alignment horizontal="left" vertical="center"/>
    </xf>
    <xf numFmtId="0" fontId="95" fillId="0" borderId="50" xfId="0" applyFont="1" applyBorder="1" applyAlignment="1">
      <alignment horizontal="left" vertical="center"/>
    </xf>
    <xf numFmtId="0" fontId="108" fillId="0" borderId="90" xfId="0" applyFont="1" applyBorder="1" applyAlignment="1">
      <alignment horizontal="center" vertical="center" wrapText="1"/>
    </xf>
    <xf numFmtId="0" fontId="50" fillId="0" borderId="94" xfId="0" applyFont="1" applyBorder="1" applyAlignment="1">
      <alignment horizontal="center" vertical="center"/>
    </xf>
    <xf numFmtId="0" fontId="108" fillId="0" borderId="90" xfId="0" applyFont="1" applyBorder="1" applyAlignment="1">
      <alignment horizontal="left" vertical="center" wrapText="1"/>
    </xf>
    <xf numFmtId="0" fontId="109" fillId="0" borderId="90" xfId="0" applyFont="1" applyBorder="1" applyAlignment="1">
      <alignment horizontal="left" vertical="center" wrapText="1"/>
    </xf>
    <xf numFmtId="0" fontId="48" fillId="0" borderId="89" xfId="0" applyFont="1" applyBorder="1" applyAlignment="1">
      <alignment vertical="center"/>
    </xf>
    <xf numFmtId="0" fontId="48" fillId="0" borderId="93" xfId="0" applyFont="1" applyBorder="1" applyAlignment="1">
      <alignment vertical="center"/>
    </xf>
    <xf numFmtId="0" fontId="109" fillId="0" borderId="90" xfId="0" applyFont="1" applyBorder="1" applyAlignment="1">
      <alignment horizontal="center" vertical="center" wrapText="1"/>
    </xf>
    <xf numFmtId="0" fontId="7" fillId="13" borderId="306" xfId="0" applyFont="1" applyFill="1" applyBorder="1" applyAlignment="1">
      <alignment horizontal="center" vertical="top" wrapText="1"/>
    </xf>
    <xf numFmtId="0" fontId="66" fillId="0" borderId="53" xfId="0" applyFont="1" applyBorder="1" applyAlignment="1">
      <alignment vertical="center"/>
    </xf>
    <xf numFmtId="0" fontId="66" fillId="0" borderId="65" xfId="0" applyFont="1" applyBorder="1" applyAlignment="1">
      <alignment vertical="center"/>
    </xf>
    <xf numFmtId="0" fontId="113" fillId="0" borderId="306" xfId="0" applyFont="1" applyBorder="1" applyAlignment="1">
      <alignment horizontal="center" vertical="center"/>
    </xf>
    <xf numFmtId="0" fontId="105" fillId="13" borderId="144" xfId="0" applyFont="1" applyFill="1" applyBorder="1" applyAlignment="1">
      <alignment vertical="center" wrapText="1"/>
    </xf>
    <xf numFmtId="0" fontId="105" fillId="13" borderId="317" xfId="0" applyFont="1" applyFill="1" applyBorder="1" applyAlignment="1">
      <alignment vertical="center" wrapText="1"/>
    </xf>
    <xf numFmtId="0" fontId="105" fillId="13" borderId="156" xfId="0" applyFont="1" applyFill="1" applyBorder="1" applyAlignment="1">
      <alignment vertical="center" wrapText="1"/>
    </xf>
    <xf numFmtId="1" fontId="11" fillId="0" borderId="46" xfId="0" applyNumberFormat="1" applyFont="1" applyBorder="1"/>
    <xf numFmtId="1" fontId="104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0" fillId="21" borderId="326" xfId="0" applyNumberFormat="1" applyFill="1" applyBorder="1" applyAlignment="1">
      <alignment vertical="center"/>
    </xf>
    <xf numFmtId="9" fontId="0" fillId="21" borderId="328" xfId="0" applyNumberFormat="1" applyFill="1" applyBorder="1" applyAlignment="1">
      <alignment vertical="center"/>
    </xf>
    <xf numFmtId="9" fontId="0" fillId="21" borderId="328" xfId="0" applyNumberFormat="1" applyFill="1" applyBorder="1" applyAlignment="1">
      <alignment horizontal="center" vertical="center"/>
    </xf>
    <xf numFmtId="9" fontId="0" fillId="0" borderId="328" xfId="0" applyNumberFormat="1" applyBorder="1" applyAlignment="1">
      <alignment horizontal="center" vertical="center"/>
    </xf>
    <xf numFmtId="9" fontId="0" fillId="3" borderId="328" xfId="0" applyNumberFormat="1" applyFill="1" applyBorder="1" applyAlignment="1">
      <alignment horizontal="center" vertical="center"/>
    </xf>
    <xf numFmtId="0" fontId="113" fillId="0" borderId="306" xfId="0" applyFont="1" applyBorder="1" applyAlignment="1">
      <alignment horizontal="center" vertical="center" wrapText="1"/>
    </xf>
    <xf numFmtId="0" fontId="113" fillId="0" borderId="306" xfId="0" applyFont="1" applyBorder="1" applyAlignment="1">
      <alignment horizontal="center" wrapText="1"/>
    </xf>
    <xf numFmtId="0" fontId="0" fillId="21" borderId="329" xfId="0" applyFill="1" applyBorder="1" applyAlignment="1">
      <alignment vertical="center"/>
    </xf>
    <xf numFmtId="9" fontId="0" fillId="21" borderId="325" xfId="0" applyNumberFormat="1" applyFill="1" applyBorder="1" applyAlignment="1">
      <alignment vertical="center"/>
    </xf>
    <xf numFmtId="0" fontId="0" fillId="21" borderId="330" xfId="0" applyFill="1" applyBorder="1" applyAlignment="1">
      <alignment vertical="center"/>
    </xf>
    <xf numFmtId="9" fontId="0" fillId="21" borderId="327" xfId="0" applyNumberFormat="1" applyFill="1" applyBorder="1" applyAlignment="1">
      <alignment vertical="center"/>
    </xf>
    <xf numFmtId="9" fontId="0" fillId="21" borderId="327" xfId="0" applyNumberFormat="1" applyFill="1" applyBorder="1" applyAlignment="1">
      <alignment horizontal="center" vertical="center"/>
    </xf>
    <xf numFmtId="0" fontId="0" fillId="0" borderId="330" xfId="0" applyBorder="1" applyAlignment="1">
      <alignment vertical="center"/>
    </xf>
    <xf numFmtId="9" fontId="0" fillId="0" borderId="327" xfId="0" applyNumberFormat="1" applyBorder="1" applyAlignment="1">
      <alignment horizontal="center" vertical="center"/>
    </xf>
    <xf numFmtId="0" fontId="0" fillId="0" borderId="330" xfId="0" applyBorder="1" applyAlignment="1">
      <alignment horizontal="right" vertical="center"/>
    </xf>
    <xf numFmtId="0" fontId="0" fillId="21" borderId="330" xfId="0" applyFill="1" applyBorder="1" applyAlignment="1">
      <alignment horizontal="left" vertical="center"/>
    </xf>
    <xf numFmtId="0" fontId="0" fillId="3" borderId="330" xfId="0" applyFill="1" applyBorder="1" applyAlignment="1">
      <alignment horizontal="left" vertical="center"/>
    </xf>
    <xf numFmtId="9" fontId="0" fillId="3" borderId="327" xfId="0" applyNumberFormat="1" applyFill="1" applyBorder="1" applyAlignment="1">
      <alignment horizontal="center" vertical="center"/>
    </xf>
    <xf numFmtId="0" fontId="0" fillId="0" borderId="330" xfId="0" applyBorder="1" applyAlignment="1">
      <alignment horizontal="right"/>
    </xf>
    <xf numFmtId="0" fontId="0" fillId="21" borderId="331" xfId="0" applyFill="1" applyBorder="1" applyAlignment="1">
      <alignment horizontal="right"/>
    </xf>
    <xf numFmtId="9" fontId="0" fillId="21" borderId="332" xfId="0" applyNumberFormat="1" applyFill="1" applyBorder="1" applyAlignment="1">
      <alignment horizontal="center" vertical="center"/>
    </xf>
    <xf numFmtId="0" fontId="113" fillId="0" borderId="139" xfId="0" applyFont="1" applyBorder="1" applyAlignment="1">
      <alignment horizontal="center" vertical="center"/>
    </xf>
    <xf numFmtId="0" fontId="113" fillId="0" borderId="141" xfId="0" applyFont="1" applyBorder="1" applyAlignment="1">
      <alignment horizontal="center" vertical="center"/>
    </xf>
    <xf numFmtId="9" fontId="0" fillId="21" borderId="333" xfId="0" applyNumberFormat="1" applyFill="1" applyBorder="1" applyAlignment="1">
      <alignment horizontal="center" vertical="center"/>
    </xf>
    <xf numFmtId="9" fontId="86" fillId="21" borderId="322" xfId="0" applyNumberFormat="1" applyFont="1" applyFill="1" applyBorder="1" applyAlignment="1">
      <alignment vertical="center"/>
    </xf>
    <xf numFmtId="9" fontId="86" fillId="21" borderId="323" xfId="0" applyNumberFormat="1" applyFont="1" applyFill="1" applyBorder="1" applyAlignment="1">
      <alignment vertical="center"/>
    </xf>
    <xf numFmtId="9" fontId="86" fillId="21" borderId="323" xfId="0" applyNumberFormat="1" applyFont="1" applyFill="1" applyBorder="1" applyAlignment="1">
      <alignment horizontal="center" vertical="center"/>
    </xf>
    <xf numFmtId="9" fontId="86" fillId="0" borderId="323" xfId="0" applyNumberFormat="1" applyFont="1" applyBorder="1" applyAlignment="1">
      <alignment horizontal="center" vertical="center"/>
    </xf>
    <xf numFmtId="9" fontId="86" fillId="3" borderId="323" xfId="0" applyNumberFormat="1" applyFont="1" applyFill="1" applyBorder="1" applyAlignment="1">
      <alignment horizontal="center" vertical="center"/>
    </xf>
    <xf numFmtId="9" fontId="86" fillId="21" borderId="334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3" fillId="19" borderId="335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16" fillId="0" borderId="90" xfId="0" applyFont="1" applyBorder="1" applyAlignment="1">
      <alignment horizontal="center" vertical="center" wrapText="1"/>
    </xf>
    <xf numFmtId="0" fontId="100" fillId="0" borderId="207" xfId="0" applyFont="1" applyBorder="1"/>
    <xf numFmtId="0" fontId="24" fillId="0" borderId="222" xfId="0" applyFont="1" applyBorder="1"/>
    <xf numFmtId="0" fontId="24" fillId="0" borderId="212" xfId="0" applyFont="1" applyBorder="1"/>
    <xf numFmtId="0" fontId="24" fillId="0" borderId="338" xfId="0" applyFont="1" applyBorder="1"/>
    <xf numFmtId="0" fontId="0" fillId="0" borderId="339" xfId="0" applyBorder="1"/>
    <xf numFmtId="0" fontId="0" fillId="0" borderId="340" xfId="0" applyBorder="1"/>
    <xf numFmtId="0" fontId="0" fillId="0" borderId="341" xfId="0" applyBorder="1"/>
    <xf numFmtId="0" fontId="0" fillId="0" borderId="56" xfId="0" applyBorder="1"/>
    <xf numFmtId="0" fontId="0" fillId="0" borderId="342" xfId="0" applyBorder="1"/>
    <xf numFmtId="0" fontId="0" fillId="0" borderId="343" xfId="0" applyBorder="1"/>
    <xf numFmtId="0" fontId="0" fillId="0" borderId="304" xfId="0" applyBorder="1"/>
    <xf numFmtId="0" fontId="0" fillId="0" borderId="344" xfId="0" applyBorder="1"/>
    <xf numFmtId="0" fontId="0" fillId="0" borderId="345" xfId="0" applyBorder="1"/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8" fillId="0" borderId="46" xfId="0" applyNumberFormat="1" applyFont="1" applyBorder="1" applyAlignment="1">
      <alignment horizontal="left" vertical="top"/>
    </xf>
    <xf numFmtId="0" fontId="66" fillId="0" borderId="47" xfId="0" applyFont="1" applyBorder="1" applyAlignment="1">
      <alignment horizontal="center"/>
    </xf>
    <xf numFmtId="0" fontId="66" fillId="0" borderId="48" xfId="0" applyFont="1" applyBorder="1" applyAlignment="1">
      <alignment horizontal="center"/>
    </xf>
    <xf numFmtId="0" fontId="33" fillId="6" borderId="1" xfId="0" applyFont="1" applyFill="1" applyBorder="1" applyAlignment="1">
      <alignment horizontal="center" vertical="center"/>
    </xf>
    <xf numFmtId="0" fontId="33" fillId="6" borderId="6" xfId="0" applyFont="1" applyFill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27" fillId="13" borderId="0" xfId="0" applyFont="1" applyFill="1" applyAlignment="1">
      <alignment horizontal="right" vertical="top" wrapText="1"/>
    </xf>
    <xf numFmtId="0" fontId="34" fillId="0" borderId="3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6" borderId="139" xfId="0" applyFont="1" applyFill="1" applyBorder="1" applyAlignment="1">
      <alignment horizontal="center" vertical="center"/>
    </xf>
    <xf numFmtId="0" fontId="34" fillId="6" borderId="140" xfId="0" applyFont="1" applyFill="1" applyBorder="1" applyAlignment="1">
      <alignment horizontal="center" vertical="center"/>
    </xf>
    <xf numFmtId="0" fontId="34" fillId="6" borderId="141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0" fontId="72" fillId="13" borderId="0" xfId="0" applyFont="1" applyFill="1" applyAlignment="1">
      <alignment horizontal="center" vertical="center" wrapText="1"/>
    </xf>
    <xf numFmtId="0" fontId="29" fillId="13" borderId="0" xfId="0" applyFont="1" applyFill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4" fillId="6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>
      <alignment horizontal="center" vertical="center"/>
    </xf>
    <xf numFmtId="49" fontId="74" fillId="13" borderId="0" xfId="0" applyNumberFormat="1" applyFont="1" applyFill="1" applyAlignment="1">
      <alignment horizontal="left" vertical="center" wrapText="1"/>
    </xf>
    <xf numFmtId="0" fontId="22" fillId="13" borderId="22" xfId="0" applyFont="1" applyFill="1" applyBorder="1" applyAlignment="1">
      <alignment horizontal="right" vertical="center"/>
    </xf>
    <xf numFmtId="0" fontId="22" fillId="13" borderId="0" xfId="0" applyFont="1" applyFill="1" applyAlignment="1">
      <alignment horizontal="right" vertical="center"/>
    </xf>
    <xf numFmtId="49" fontId="23" fillId="13" borderId="0" xfId="0" applyNumberFormat="1" applyFont="1" applyFill="1" applyAlignment="1">
      <alignment horizontal="left" vertical="center"/>
    </xf>
    <xf numFmtId="49" fontId="23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9" fillId="13" borderId="208" xfId="0" applyNumberFormat="1" applyFont="1" applyFill="1" applyBorder="1" applyAlignment="1">
      <alignment horizontal="center" vertical="center"/>
    </xf>
    <xf numFmtId="49" fontId="59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7" fillId="13" borderId="174" xfId="0" applyFont="1" applyFill="1" applyBorder="1" applyAlignment="1">
      <alignment horizontal="center" vertical="center"/>
    </xf>
    <xf numFmtId="0" fontId="27" fillId="13" borderId="0" xfId="0" applyFont="1" applyFill="1" applyAlignment="1">
      <alignment horizontal="center" vertical="center"/>
    </xf>
    <xf numFmtId="0" fontId="27" fillId="13" borderId="187" xfId="0" applyFont="1" applyFill="1" applyBorder="1" applyAlignment="1">
      <alignment horizontal="center" vertical="center"/>
    </xf>
    <xf numFmtId="0" fontId="20" fillId="3" borderId="189" xfId="0" applyFont="1" applyFill="1" applyBorder="1" applyAlignment="1">
      <alignment horizontal="center" vertical="center"/>
    </xf>
    <xf numFmtId="0" fontId="20" fillId="3" borderId="176" xfId="0" applyFont="1" applyFill="1" applyBorder="1" applyAlignment="1">
      <alignment horizontal="center" vertical="center"/>
    </xf>
    <xf numFmtId="0" fontId="20" fillId="3" borderId="190" xfId="0" applyFont="1" applyFill="1" applyBorder="1" applyAlignment="1">
      <alignment horizontal="left" vertical="center" wrapText="1"/>
    </xf>
    <xf numFmtId="0" fontId="20" fillId="3" borderId="191" xfId="0" applyFont="1" applyFill="1" applyBorder="1" applyAlignment="1">
      <alignment horizontal="left" vertical="center" wrapText="1"/>
    </xf>
    <xf numFmtId="0" fontId="28" fillId="3" borderId="174" xfId="0" applyFont="1" applyFill="1" applyBorder="1" applyAlignment="1">
      <alignment horizontal="center" vertical="center" wrapText="1"/>
    </xf>
    <xf numFmtId="0" fontId="28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30" fillId="8" borderId="38" xfId="0" applyFont="1" applyFill="1" applyBorder="1" applyAlignment="1">
      <alignment horizontal="center" vertical="center" wrapText="1"/>
    </xf>
    <xf numFmtId="0" fontId="30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30" fillId="9" borderId="38" xfId="0" applyFont="1" applyFill="1" applyBorder="1" applyAlignment="1">
      <alignment horizontal="center" vertical="center" wrapText="1"/>
    </xf>
    <xf numFmtId="0" fontId="30" fillId="9" borderId="63" xfId="0" applyFont="1" applyFill="1" applyBorder="1" applyAlignment="1">
      <alignment horizontal="center" vertical="center" wrapText="1"/>
    </xf>
    <xf numFmtId="0" fontId="20" fillId="3" borderId="31" xfId="0" applyFont="1" applyFill="1" applyBorder="1" applyAlignment="1">
      <alignment horizontal="center" vertical="center"/>
    </xf>
    <xf numFmtId="0" fontId="20" fillId="3" borderId="21" xfId="0" applyFont="1" applyFill="1" applyBorder="1" applyAlignment="1">
      <alignment horizontal="center" vertical="center"/>
    </xf>
    <xf numFmtId="0" fontId="20" fillId="3" borderId="13" xfId="0" applyFont="1" applyFill="1" applyBorder="1" applyAlignment="1">
      <alignment horizontal="left" vertical="center" wrapText="1"/>
    </xf>
    <xf numFmtId="0" fontId="20" fillId="3" borderId="43" xfId="0" applyFont="1" applyFill="1" applyBorder="1" applyAlignment="1">
      <alignment horizontal="left" vertical="center" wrapText="1"/>
    </xf>
    <xf numFmtId="0" fontId="20" fillId="3" borderId="29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center" vertical="center"/>
    </xf>
    <xf numFmtId="0" fontId="20" fillId="3" borderId="2" xfId="0" applyFont="1" applyFill="1" applyBorder="1" applyAlignment="1">
      <alignment horizontal="left" vertical="center" wrapText="1"/>
    </xf>
    <xf numFmtId="0" fontId="20" fillId="3" borderId="30" xfId="0" applyFont="1" applyFill="1" applyBorder="1" applyAlignment="1">
      <alignment horizontal="left" vertical="center" wrapText="1"/>
    </xf>
    <xf numFmtId="0" fontId="31" fillId="2" borderId="15" xfId="0" applyFont="1" applyFill="1" applyBorder="1" applyAlignment="1">
      <alignment horizontal="center" vertical="center"/>
    </xf>
    <xf numFmtId="0" fontId="31" fillId="2" borderId="16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66" fillId="0" borderId="201" xfId="0" applyFont="1" applyBorder="1" applyAlignment="1">
      <alignment horizontal="left" vertical="top" wrapText="1"/>
    </xf>
    <xf numFmtId="0" fontId="66" fillId="0" borderId="140" xfId="0" applyFont="1" applyBorder="1" applyAlignment="1">
      <alignment horizontal="left" vertical="top" wrapText="1"/>
    </xf>
    <xf numFmtId="0" fontId="66" fillId="0" borderId="141" xfId="0" applyFont="1" applyBorder="1" applyAlignment="1">
      <alignment horizontal="left" vertical="top" wrapText="1"/>
    </xf>
    <xf numFmtId="0" fontId="24" fillId="0" borderId="74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14" fontId="65" fillId="0" borderId="114" xfId="0" applyNumberFormat="1" applyFont="1" applyBorder="1" applyAlignment="1">
      <alignment horizontal="center" vertical="center" wrapText="1"/>
    </xf>
    <xf numFmtId="0" fontId="65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9" fillId="13" borderId="19" xfId="0" applyFont="1" applyFill="1" applyBorder="1" applyAlignment="1">
      <alignment horizontal="center" vertical="center" wrapText="1"/>
    </xf>
    <xf numFmtId="0" fontId="89" fillId="13" borderId="206" xfId="0" applyFont="1" applyFill="1" applyBorder="1" applyAlignment="1">
      <alignment horizontal="center" vertical="center" wrapText="1"/>
    </xf>
    <xf numFmtId="14" fontId="65" fillId="0" borderId="12" xfId="0" applyNumberFormat="1" applyFont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65" fillId="0" borderId="4" xfId="0" applyFont="1" applyBorder="1" applyAlignment="1">
      <alignment horizontal="center" vertical="center"/>
    </xf>
    <xf numFmtId="0" fontId="66" fillId="0" borderId="46" xfId="0" applyFont="1" applyBorder="1" applyAlignment="1">
      <alignment horizontal="left" vertical="top" wrapText="1"/>
    </xf>
    <xf numFmtId="0" fontId="76" fillId="0" borderId="47" xfId="0" applyFont="1" applyBorder="1" applyAlignment="1">
      <alignment horizontal="left" vertical="center"/>
    </xf>
    <xf numFmtId="0" fontId="76" fillId="0" borderId="51" xfId="0" applyFont="1" applyBorder="1" applyAlignment="1">
      <alignment horizontal="left" vertical="center"/>
    </xf>
    <xf numFmtId="0" fontId="76" fillId="0" borderId="48" xfId="0" applyFont="1" applyBorder="1" applyAlignment="1">
      <alignment horizontal="left" vertical="center"/>
    </xf>
    <xf numFmtId="0" fontId="57" fillId="0" borderId="126" xfId="0" applyFont="1" applyBorder="1" applyAlignment="1">
      <alignment horizontal="center" vertical="center" wrapText="1"/>
    </xf>
    <xf numFmtId="0" fontId="57" fillId="0" borderId="127" xfId="0" applyFont="1" applyBorder="1" applyAlignment="1">
      <alignment horizontal="center" vertical="center" wrapText="1"/>
    </xf>
    <xf numFmtId="0" fontId="57" fillId="0" borderId="128" xfId="0" applyFont="1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/>
    </xf>
    <xf numFmtId="0" fontId="50" fillId="0" borderId="135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0" fontId="50" fillId="0" borderId="136" xfId="0" applyFont="1" applyBorder="1" applyAlignment="1">
      <alignment horizontal="center" vertical="center"/>
    </xf>
    <xf numFmtId="0" fontId="45" fillId="0" borderId="131" xfId="0" applyFont="1" applyBorder="1" applyAlignment="1">
      <alignment horizontal="center" vertical="center"/>
    </xf>
    <xf numFmtId="0" fontId="45" fillId="0" borderId="88" xfId="0" applyFont="1" applyBorder="1" applyAlignment="1">
      <alignment horizontal="center" vertical="center"/>
    </xf>
    <xf numFmtId="0" fontId="50" fillId="0" borderId="47" xfId="0" applyFont="1" applyBorder="1" applyAlignment="1">
      <alignment horizontal="center" vertical="center"/>
    </xf>
    <xf numFmtId="0" fontId="50" fillId="0" borderId="51" xfId="0" applyFont="1" applyBorder="1" applyAlignment="1">
      <alignment horizontal="center" vertical="center"/>
    </xf>
    <xf numFmtId="0" fontId="50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6" fillId="0" borderId="120" xfId="0" applyFont="1" applyBorder="1" applyAlignment="1">
      <alignment horizontal="left" vertical="center"/>
    </xf>
    <xf numFmtId="0" fontId="76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3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8" fillId="0" borderId="46" xfId="0" applyFont="1" applyBorder="1" applyAlignment="1">
      <alignment horizontal="center" vertical="top"/>
    </xf>
    <xf numFmtId="0" fontId="57" fillId="0" borderId="124" xfId="0" applyFont="1" applyBorder="1" applyAlignment="1">
      <alignment horizontal="center" vertical="top"/>
    </xf>
    <xf numFmtId="0" fontId="57" fillId="0" borderId="90" xfId="0" applyFont="1" applyBorder="1" applyAlignment="1">
      <alignment horizontal="center" vertical="top"/>
    </xf>
    <xf numFmtId="0" fontId="46" fillId="0" borderId="126" xfId="0" applyFont="1" applyBorder="1" applyAlignment="1">
      <alignment horizontal="center" vertical="center" wrapText="1"/>
    </xf>
    <xf numFmtId="0" fontId="46" fillId="0" borderId="127" xfId="0" applyFont="1" applyBorder="1" applyAlignment="1">
      <alignment horizontal="center" vertical="center" wrapText="1"/>
    </xf>
    <xf numFmtId="0" fontId="46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9" fillId="13" borderId="1" xfId="0" applyFont="1" applyFill="1" applyBorder="1" applyAlignment="1">
      <alignment horizontal="center" vertical="center" wrapText="1" readingOrder="1"/>
    </xf>
    <xf numFmtId="0" fontId="57" fillId="0" borderId="126" xfId="0" applyFont="1" applyBorder="1" applyAlignment="1">
      <alignment horizontal="center"/>
    </xf>
    <xf numFmtId="0" fontId="57" fillId="0" borderId="127" xfId="0" applyFont="1" applyBorder="1" applyAlignment="1">
      <alignment horizontal="center"/>
    </xf>
    <xf numFmtId="0" fontId="57" fillId="0" borderId="128" xfId="0" applyFont="1" applyBorder="1" applyAlignment="1">
      <alignment horizontal="center"/>
    </xf>
    <xf numFmtId="0" fontId="52" fillId="13" borderId="19" xfId="0" applyFont="1" applyFill="1" applyBorder="1" applyAlignment="1">
      <alignment horizontal="center" vertical="center" wrapText="1" readingOrder="1"/>
    </xf>
    <xf numFmtId="0" fontId="52" fillId="13" borderId="20" xfId="0" applyFont="1" applyFill="1" applyBorder="1" applyAlignment="1">
      <alignment horizontal="center" vertical="center" wrapText="1" readingOrder="1"/>
    </xf>
    <xf numFmtId="0" fontId="52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3" fillId="13" borderId="35" xfId="0" applyFont="1" applyFill="1" applyBorder="1" applyAlignment="1">
      <alignment horizontal="center" vertical="center"/>
    </xf>
    <xf numFmtId="0" fontId="53" fillId="13" borderId="36" xfId="0" applyFont="1" applyFill="1" applyBorder="1" applyAlignment="1">
      <alignment horizontal="center" vertical="center"/>
    </xf>
    <xf numFmtId="0" fontId="53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9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9" fillId="13" borderId="34" xfId="0" applyFont="1" applyFill="1" applyBorder="1" applyAlignment="1">
      <alignment horizontal="center" vertical="center" wrapText="1" readingOrder="1"/>
    </xf>
    <xf numFmtId="0" fontId="54" fillId="13" borderId="36" xfId="0" applyFont="1" applyFill="1" applyBorder="1" applyAlignment="1">
      <alignment horizontal="center" vertical="center"/>
    </xf>
    <xf numFmtId="0" fontId="54" fillId="13" borderId="37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17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54" fillId="13" borderId="114" xfId="0" applyFont="1" applyFill="1" applyBorder="1" applyAlignment="1">
      <alignment horizontal="center" vertical="center"/>
    </xf>
    <xf numFmtId="0" fontId="54" fillId="13" borderId="61" xfId="0" applyFont="1" applyFill="1" applyBorder="1" applyAlignment="1">
      <alignment horizontal="center" vertical="center"/>
    </xf>
    <xf numFmtId="0" fontId="54" fillId="13" borderId="115" xfId="0" applyFont="1" applyFill="1" applyBorder="1" applyAlignment="1">
      <alignment horizontal="center" vertical="center"/>
    </xf>
    <xf numFmtId="0" fontId="54" fillId="13" borderId="35" xfId="0" applyFont="1" applyFill="1" applyBorder="1" applyAlignment="1">
      <alignment horizontal="center" vertical="center"/>
    </xf>
    <xf numFmtId="0" fontId="58" fillId="0" borderId="108" xfId="0" applyFont="1" applyBorder="1" applyAlignment="1">
      <alignment horizontal="center"/>
    </xf>
    <xf numFmtId="0" fontId="58" fillId="0" borderId="107" xfId="0" applyFont="1" applyBorder="1" applyAlignment="1">
      <alignment horizontal="center"/>
    </xf>
    <xf numFmtId="0" fontId="48" fillId="0" borderId="47" xfId="0" applyFont="1" applyBorder="1" applyAlignment="1">
      <alignment horizontal="center" vertical="top"/>
    </xf>
    <xf numFmtId="0" fontId="48" fillId="0" borderId="71" xfId="0" applyFont="1" applyBorder="1" applyAlignment="1">
      <alignment horizontal="center" vertical="top"/>
    </xf>
    <xf numFmtId="0" fontId="48" fillId="0" borderId="51" xfId="0" applyFont="1" applyBorder="1" applyAlignment="1">
      <alignment horizontal="center" vertical="top"/>
    </xf>
    <xf numFmtId="0" fontId="56" fillId="0" borderId="108" xfId="0" applyFont="1" applyBorder="1" applyAlignment="1">
      <alignment horizontal="right"/>
    </xf>
    <xf numFmtId="0" fontId="56" fillId="0" borderId="117" xfId="0" applyFont="1" applyBorder="1" applyAlignment="1">
      <alignment horizontal="right"/>
    </xf>
    <xf numFmtId="0" fontId="56" fillId="0" borderId="107" xfId="0" applyFont="1" applyBorder="1" applyAlignment="1">
      <alignment horizontal="right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71" xfId="0" applyFont="1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5" fillId="13" borderId="152" xfId="0" applyFont="1" applyFill="1" applyBorder="1" applyAlignment="1">
      <alignment horizontal="center" vertical="top" wrapText="1"/>
    </xf>
    <xf numFmtId="0" fontId="25" fillId="13" borderId="153" xfId="0" applyFont="1" applyFill="1" applyBorder="1" applyAlignment="1">
      <alignment horizontal="center" vertical="top" wrapText="1"/>
    </xf>
    <xf numFmtId="0" fontId="25" fillId="13" borderId="154" xfId="0" applyFont="1" applyFill="1" applyBorder="1" applyAlignment="1">
      <alignment horizontal="center" vertical="top" wrapText="1"/>
    </xf>
    <xf numFmtId="49" fontId="26" fillId="13" borderId="160" xfId="0" applyNumberFormat="1" applyFont="1" applyFill="1" applyBorder="1" applyAlignment="1">
      <alignment horizontal="center" vertical="top" wrapText="1"/>
    </xf>
    <xf numFmtId="49" fontId="26" fillId="13" borderId="161" xfId="0" applyNumberFormat="1" applyFont="1" applyFill="1" applyBorder="1" applyAlignment="1">
      <alignment horizontal="center" vertical="top" wrapText="1"/>
    </xf>
    <xf numFmtId="49" fontId="26" fillId="13" borderId="162" xfId="0" applyNumberFormat="1" applyFont="1" applyFill="1" applyBorder="1" applyAlignment="1">
      <alignment horizontal="center" vertical="top" wrapText="1"/>
    </xf>
    <xf numFmtId="0" fontId="42" fillId="13" borderId="27" xfId="0" applyFont="1" applyFill="1" applyBorder="1" applyAlignment="1">
      <alignment horizontal="center" vertical="center"/>
    </xf>
    <xf numFmtId="0" fontId="42" fillId="13" borderId="32" xfId="0" applyFont="1" applyFill="1" applyBorder="1" applyAlignment="1">
      <alignment horizontal="center" vertical="center"/>
    </xf>
    <xf numFmtId="0" fontId="42" fillId="13" borderId="28" xfId="0" applyFont="1" applyFill="1" applyBorder="1" applyAlignment="1">
      <alignment horizontal="center" vertical="center"/>
    </xf>
    <xf numFmtId="0" fontId="42" fillId="13" borderId="144" xfId="0" applyFont="1" applyFill="1" applyBorder="1" applyAlignment="1">
      <alignment horizontal="center" vertical="center"/>
    </xf>
    <xf numFmtId="0" fontId="42" fillId="13" borderId="145" xfId="0" applyFont="1" applyFill="1" applyBorder="1" applyAlignment="1">
      <alignment horizontal="center" vertical="center"/>
    </xf>
    <xf numFmtId="0" fontId="42" fillId="13" borderId="146" xfId="0" applyFont="1" applyFill="1" applyBorder="1" applyAlignment="1">
      <alignment horizontal="center" vertical="center"/>
    </xf>
    <xf numFmtId="0" fontId="49" fillId="13" borderId="5" xfId="0" applyFont="1" applyFill="1" applyBorder="1" applyAlignment="1">
      <alignment horizontal="center" vertical="center" wrapText="1" readingOrder="1"/>
    </xf>
    <xf numFmtId="0" fontId="49" fillId="13" borderId="163" xfId="0" applyFont="1" applyFill="1" applyBorder="1" applyAlignment="1">
      <alignment horizontal="center" vertical="center" wrapText="1" readingOrder="1"/>
    </xf>
    <xf numFmtId="0" fontId="52" fillId="13" borderId="1" xfId="0" applyFont="1" applyFill="1" applyBorder="1" applyAlignment="1">
      <alignment horizontal="center" vertical="center" wrapText="1" readingOrder="1"/>
    </xf>
    <xf numFmtId="0" fontId="52" fillId="13" borderId="34" xfId="0" applyFont="1" applyFill="1" applyBorder="1" applyAlignment="1">
      <alignment horizontal="center" vertical="center" wrapText="1" readingOrder="1"/>
    </xf>
    <xf numFmtId="0" fontId="51" fillId="13" borderId="27" xfId="0" applyFont="1" applyFill="1" applyBorder="1" applyAlignment="1">
      <alignment horizontal="center" vertical="center" wrapText="1" readingOrder="1"/>
    </xf>
    <xf numFmtId="0" fontId="51" fillId="13" borderId="32" xfId="0" applyFont="1" applyFill="1" applyBorder="1" applyAlignment="1">
      <alignment horizontal="center" vertical="center" wrapText="1" readingOrder="1"/>
    </xf>
    <xf numFmtId="0" fontId="51" fillId="13" borderId="28" xfId="0" applyFont="1" applyFill="1" applyBorder="1" applyAlignment="1">
      <alignment horizontal="center" vertical="center" wrapText="1" readingOrder="1"/>
    </xf>
    <xf numFmtId="0" fontId="52" fillId="13" borderId="33" xfId="0" applyFont="1" applyFill="1" applyBorder="1" applyAlignment="1">
      <alignment horizontal="center" vertical="center" wrapText="1" readingOrder="1"/>
    </xf>
    <xf numFmtId="0" fontId="55" fillId="0" borderId="0" xfId="0" applyFont="1" applyAlignment="1">
      <alignment horizontal="center" vertical="center" textRotation="90"/>
    </xf>
    <xf numFmtId="0" fontId="33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6" fillId="0" borderId="47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6" fillId="0" borderId="179" xfId="0" applyFont="1" applyBorder="1" applyAlignment="1">
      <alignment horizontal="center" vertical="center" wrapText="1"/>
    </xf>
    <xf numFmtId="0" fontId="102" fillId="0" borderId="304" xfId="0" applyFont="1" applyBorder="1" applyAlignment="1">
      <alignment horizontal="left" vertical="center" wrapText="1"/>
    </xf>
    <xf numFmtId="0" fontId="102" fillId="0" borderId="8" xfId="0" applyFont="1" applyBorder="1" applyAlignment="1">
      <alignment horizontal="left" vertical="center" wrapText="1"/>
    </xf>
    <xf numFmtId="0" fontId="102" fillId="0" borderId="305" xfId="0" applyFont="1" applyBorder="1" applyAlignment="1">
      <alignment horizontal="left" vertical="center" wrapText="1"/>
    </xf>
    <xf numFmtId="0" fontId="101" fillId="0" borderId="179" xfId="0" applyFont="1" applyBorder="1" applyAlignment="1">
      <alignment horizontal="left" vertical="center" wrapText="1"/>
    </xf>
    <xf numFmtId="0" fontId="100" fillId="0" borderId="51" xfId="0" applyFont="1" applyBorder="1" applyAlignment="1">
      <alignment horizontal="left" vertical="center" wrapText="1"/>
    </xf>
    <xf numFmtId="0" fontId="100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100" fillId="0" borderId="336" xfId="0" applyFont="1" applyBorder="1" applyAlignment="1">
      <alignment horizontal="left" vertical="center"/>
    </xf>
    <xf numFmtId="0" fontId="100" fillId="0" borderId="127" xfId="0" applyFont="1" applyBorder="1" applyAlignment="1">
      <alignment horizontal="left" vertical="center"/>
    </xf>
    <xf numFmtId="0" fontId="100" fillId="0" borderId="337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 wrapText="1"/>
    </xf>
    <xf numFmtId="0" fontId="70" fillId="0" borderId="0" xfId="0" applyFont="1" applyAlignment="1">
      <alignment horizontal="right" vertical="center"/>
    </xf>
    <xf numFmtId="0" fontId="16" fillId="0" borderId="183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6" fillId="0" borderId="182" xfId="0" applyFont="1" applyBorder="1" applyAlignment="1">
      <alignment horizontal="center" vertical="center" wrapText="1"/>
    </xf>
    <xf numFmtId="0" fontId="54" fillId="13" borderId="58" xfId="0" applyFont="1" applyFill="1" applyBorder="1" applyAlignment="1">
      <alignment horizontal="right" vertical="center"/>
    </xf>
    <xf numFmtId="0" fontId="54" fillId="13" borderId="0" xfId="0" applyFont="1" applyFill="1" applyAlignment="1">
      <alignment horizontal="right" vertical="center"/>
    </xf>
    <xf numFmtId="49" fontId="81" fillId="13" borderId="0" xfId="0" applyNumberFormat="1" applyFont="1" applyFill="1" applyAlignment="1">
      <alignment horizontal="left" vertical="center"/>
    </xf>
    <xf numFmtId="49" fontId="81" fillId="13" borderId="60" xfId="0" applyNumberFormat="1" applyFont="1" applyFill="1" applyBorder="1" applyAlignment="1">
      <alignment horizontal="left" vertical="center"/>
    </xf>
    <xf numFmtId="0" fontId="91" fillId="0" borderId="54" xfId="0" applyFont="1" applyBorder="1" applyAlignment="1">
      <alignment horizontal="left" vertical="center"/>
    </xf>
    <xf numFmtId="0" fontId="91" fillId="0" borderId="49" xfId="0" applyFont="1" applyBorder="1" applyAlignment="1">
      <alignment horizontal="left" vertical="center"/>
    </xf>
    <xf numFmtId="0" fontId="91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101" fillId="0" borderId="178" xfId="0" applyFont="1" applyBorder="1" applyAlignment="1">
      <alignment horizontal="left" vertical="center" wrapText="1"/>
    </xf>
    <xf numFmtId="0" fontId="101" fillId="0" borderId="195" xfId="0" applyFont="1" applyBorder="1" applyAlignment="1">
      <alignment horizontal="left" vertical="center" wrapText="1"/>
    </xf>
    <xf numFmtId="0" fontId="101" fillId="0" borderId="177" xfId="0" applyFont="1" applyBorder="1" applyAlignment="1">
      <alignment horizontal="left" vertical="center" wrapText="1"/>
    </xf>
    <xf numFmtId="0" fontId="54" fillId="13" borderId="58" xfId="0" applyFont="1" applyFill="1" applyBorder="1" applyAlignment="1">
      <alignment horizontal="center" vertical="center"/>
    </xf>
    <xf numFmtId="0" fontId="54" fillId="13" borderId="0" xfId="0" applyFont="1" applyFill="1" applyAlignment="1">
      <alignment horizontal="center" vertical="center"/>
    </xf>
    <xf numFmtId="0" fontId="54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center" vertical="center" wrapText="1"/>
    </xf>
    <xf numFmtId="0" fontId="16" fillId="0" borderId="337" xfId="0" applyFont="1" applyBorder="1" applyAlignment="1">
      <alignment horizontal="center" vertical="center" wrapText="1"/>
    </xf>
    <xf numFmtId="0" fontId="63" fillId="19" borderId="5" xfId="0" applyFont="1" applyFill="1" applyBorder="1" applyAlignment="1">
      <alignment horizontal="center" vertical="center" wrapText="1"/>
    </xf>
    <xf numFmtId="0" fontId="63" fillId="19" borderId="156" xfId="0" applyFont="1" applyFill="1" applyBorder="1" applyAlignment="1">
      <alignment horizontal="center" vertical="center" wrapText="1"/>
    </xf>
    <xf numFmtId="0" fontId="38" fillId="0" borderId="59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7" fillId="13" borderId="311" xfId="0" applyFont="1" applyFill="1" applyBorder="1" applyAlignment="1">
      <alignment horizontal="center" vertical="center"/>
    </xf>
    <xf numFmtId="0" fontId="16" fillId="0" borderId="336" xfId="0" applyFont="1" applyBorder="1" applyAlignment="1">
      <alignment horizontal="center" vertical="center" wrapText="1"/>
    </xf>
    <xf numFmtId="0" fontId="95" fillId="0" borderId="50" xfId="0" applyFont="1" applyBorder="1" applyAlignment="1">
      <alignment horizontal="right" vertical="center"/>
    </xf>
    <xf numFmtId="0" fontId="95" fillId="0" borderId="46" xfId="0" applyFont="1" applyBorder="1" applyAlignment="1">
      <alignment horizontal="right" vertical="center"/>
    </xf>
    <xf numFmtId="0" fontId="111" fillId="13" borderId="140" xfId="0" applyFont="1" applyFill="1" applyBorder="1" applyAlignment="1">
      <alignment horizontal="center" vertical="center"/>
    </xf>
    <xf numFmtId="0" fontId="111" fillId="13" borderId="141" xfId="0" applyFont="1" applyFill="1" applyBorder="1" applyAlignment="1">
      <alignment horizontal="center" vertical="center"/>
    </xf>
    <xf numFmtId="0" fontId="82" fillId="0" borderId="140" xfId="0" applyFont="1" applyBorder="1" applyAlignment="1">
      <alignment horizontal="center"/>
    </xf>
    <xf numFmtId="0" fontId="82" fillId="0" borderId="141" xfId="0" applyFont="1" applyBorder="1" applyAlignment="1">
      <alignment horizontal="center"/>
    </xf>
    <xf numFmtId="0" fontId="110" fillId="13" borderId="153" xfId="0" applyFont="1" applyFill="1" applyBorder="1" applyAlignment="1">
      <alignment horizontal="center" vertical="center"/>
    </xf>
    <xf numFmtId="0" fontId="110" fillId="13" borderId="154" xfId="0" applyFont="1" applyFill="1" applyBorder="1" applyAlignment="1">
      <alignment horizontal="center" vertical="center"/>
    </xf>
    <xf numFmtId="0" fontId="112" fillId="13" borderId="190" xfId="0" applyFont="1" applyFill="1" applyBorder="1" applyAlignment="1">
      <alignment horizontal="center" vertical="center"/>
    </xf>
    <xf numFmtId="0" fontId="112" fillId="13" borderId="192" xfId="0" applyFont="1" applyFill="1" applyBorder="1" applyAlignment="1">
      <alignment horizontal="center" vertical="center"/>
    </xf>
    <xf numFmtId="0" fontId="91" fillId="0" borderId="65" xfId="0" applyFont="1" applyBorder="1" applyAlignment="1">
      <alignment horizontal="left" vertical="center"/>
    </xf>
    <xf numFmtId="0" fontId="105" fillId="13" borderId="315" xfId="0" applyFont="1" applyFill="1" applyBorder="1" applyAlignment="1">
      <alignment horizontal="center" vertical="center"/>
    </xf>
    <xf numFmtId="0" fontId="105" fillId="13" borderId="153" xfId="0" applyFont="1" applyFill="1" applyBorder="1" applyAlignment="1">
      <alignment horizontal="center" vertical="center"/>
    </xf>
    <xf numFmtId="0" fontId="105" fillId="13" borderId="24" xfId="0" applyFont="1" applyFill="1" applyBorder="1" applyAlignment="1">
      <alignment horizontal="center" vertical="center"/>
    </xf>
    <xf numFmtId="0" fontId="105" fillId="13" borderId="25" xfId="0" applyFont="1" applyFill="1" applyBorder="1" applyAlignment="1">
      <alignment horizontal="center" vertical="center"/>
    </xf>
    <xf numFmtId="0" fontId="105" fillId="13" borderId="316" xfId="0" applyFont="1" applyFill="1" applyBorder="1" applyAlignment="1">
      <alignment horizontal="center" vertical="center"/>
    </xf>
    <xf numFmtId="0" fontId="105" fillId="13" borderId="318" xfId="0" applyFont="1" applyFill="1" applyBorder="1" applyAlignment="1">
      <alignment horizontal="center" vertical="center"/>
    </xf>
    <xf numFmtId="0" fontId="105" fillId="13" borderId="62" xfId="0" applyFont="1" applyFill="1" applyBorder="1" applyAlignment="1">
      <alignment horizontal="center" vertical="center"/>
    </xf>
    <xf numFmtId="0" fontId="105" fillId="13" borderId="218" xfId="0" applyFont="1" applyFill="1" applyBorder="1" applyAlignment="1">
      <alignment horizontal="center" vertical="center"/>
    </xf>
    <xf numFmtId="0" fontId="105" fillId="13" borderId="6" xfId="0" applyFont="1" applyFill="1" applyBorder="1" applyAlignment="1">
      <alignment horizontal="center" vertical="center" wrapText="1"/>
    </xf>
    <xf numFmtId="0" fontId="105" fillId="13" borderId="5" xfId="0" applyFont="1" applyFill="1" applyBorder="1" applyAlignment="1">
      <alignment horizontal="center" vertical="center" wrapText="1"/>
    </xf>
    <xf numFmtId="0" fontId="105" fillId="13" borderId="22" xfId="0" applyFont="1" applyFill="1" applyBorder="1" applyAlignment="1">
      <alignment horizontal="center" vertical="center" wrapText="1"/>
    </xf>
    <xf numFmtId="0" fontId="24" fillId="0" borderId="172" xfId="0" applyFont="1" applyBorder="1" applyAlignment="1">
      <alignment horizontal="center" vertical="center"/>
    </xf>
    <xf numFmtId="0" fontId="103" fillId="0" borderId="46" xfId="0" applyFont="1" applyBorder="1" applyAlignment="1">
      <alignment horizontal="right" vertical="center"/>
    </xf>
    <xf numFmtId="0" fontId="107" fillId="0" borderId="229" xfId="0" applyFont="1" applyBorder="1" applyAlignment="1">
      <alignment horizontal="left" vertical="center"/>
    </xf>
    <xf numFmtId="0" fontId="107" fillId="0" borderId="230" xfId="0" applyFont="1" applyBorder="1" applyAlignment="1">
      <alignment horizontal="left" vertical="center"/>
    </xf>
    <xf numFmtId="0" fontId="107" fillId="0" borderId="231" xfId="0" applyFont="1" applyBorder="1" applyAlignment="1">
      <alignment horizontal="left" vertical="center"/>
    </xf>
    <xf numFmtId="0" fontId="54" fillId="13" borderId="321" xfId="0" applyFont="1" applyFill="1" applyBorder="1" applyAlignment="1">
      <alignment horizontal="center" vertical="center"/>
    </xf>
    <xf numFmtId="0" fontId="54" fillId="13" borderId="324" xfId="0" applyFont="1" applyFill="1" applyBorder="1" applyAlignment="1">
      <alignment horizontal="center" vertical="center"/>
    </xf>
    <xf numFmtId="0" fontId="54" fillId="13" borderId="283" xfId="0" applyFont="1" applyFill="1" applyBorder="1" applyAlignment="1">
      <alignment horizontal="center" vertical="center"/>
    </xf>
    <xf numFmtId="0" fontId="54" fillId="13" borderId="159" xfId="0" applyFont="1" applyFill="1" applyBorder="1" applyAlignment="1">
      <alignment horizontal="center" vertical="center"/>
    </xf>
    <xf numFmtId="0" fontId="54" fillId="13" borderId="152" xfId="0" applyFont="1" applyFill="1" applyBorder="1" applyAlignment="1">
      <alignment horizontal="center" vertical="center"/>
    </xf>
    <xf numFmtId="0" fontId="54" fillId="13" borderId="153" xfId="0" applyFont="1" applyFill="1" applyBorder="1" applyAlignment="1">
      <alignment horizontal="center" vertical="center"/>
    </xf>
    <xf numFmtId="0" fontId="54" fillId="13" borderId="154" xfId="0" applyFont="1" applyFill="1" applyBorder="1" applyAlignment="1">
      <alignment horizontal="center" vertical="center"/>
    </xf>
    <xf numFmtId="0" fontId="54" fillId="13" borderId="160" xfId="0" applyFont="1" applyFill="1" applyBorder="1" applyAlignment="1">
      <alignment horizontal="center" vertical="center"/>
    </xf>
    <xf numFmtId="0" fontId="54" fillId="13" borderId="162" xfId="0" applyFont="1" applyFill="1" applyBorder="1" applyAlignment="1">
      <alignment horizontal="center" vertical="center"/>
    </xf>
    <xf numFmtId="0" fontId="95" fillId="0" borderId="299" xfId="0" applyFont="1" applyBorder="1" applyAlignment="1">
      <alignment horizontal="right" vertical="center"/>
    </xf>
    <xf numFmtId="0" fontId="95" fillId="0" borderId="296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3" fillId="13" borderId="19" xfId="0" applyFont="1" applyFill="1" applyBorder="1" applyAlignment="1">
      <alignment horizontal="center" vertical="center"/>
    </xf>
    <xf numFmtId="0" fontId="83" fillId="13" borderId="20" xfId="0" applyFont="1" applyFill="1" applyBorder="1" applyAlignment="1">
      <alignment horizontal="center" vertical="center"/>
    </xf>
    <xf numFmtId="0" fontId="83" fillId="13" borderId="24" xfId="0" applyFont="1" applyFill="1" applyBorder="1" applyAlignment="1">
      <alignment horizontal="center" vertical="center"/>
    </xf>
    <xf numFmtId="0" fontId="83" fillId="13" borderId="25" xfId="0" applyFont="1" applyFill="1" applyBorder="1" applyAlignment="1">
      <alignment horizontal="center" vertical="center"/>
    </xf>
    <xf numFmtId="0" fontId="83" fillId="13" borderId="17" xfId="0" applyFont="1" applyFill="1" applyBorder="1" applyAlignment="1">
      <alignment horizontal="center" vertical="center"/>
    </xf>
    <xf numFmtId="0" fontId="83" fillId="13" borderId="22" xfId="0" applyFont="1" applyFill="1" applyBorder="1" applyAlignment="1">
      <alignment horizontal="center" vertical="center"/>
    </xf>
    <xf numFmtId="0" fontId="83" fillId="13" borderId="23" xfId="0" applyFont="1" applyFill="1" applyBorder="1" applyAlignment="1">
      <alignment horizontal="center" vertical="center"/>
    </xf>
    <xf numFmtId="0" fontId="67" fillId="0" borderId="33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3" fillId="13" borderId="27" xfId="0" applyFont="1" applyFill="1" applyBorder="1" applyAlignment="1">
      <alignment horizontal="center" vertical="center" wrapText="1"/>
    </xf>
    <xf numFmtId="0" fontId="83" fillId="13" borderId="32" xfId="0" applyFont="1" applyFill="1" applyBorder="1" applyAlignment="1">
      <alignment horizontal="center" vertical="center" wrapText="1"/>
    </xf>
    <xf numFmtId="0" fontId="83" fillId="13" borderId="217" xfId="0" applyFont="1" applyFill="1" applyBorder="1" applyAlignment="1">
      <alignment horizontal="center" vertical="center" wrapText="1"/>
    </xf>
    <xf numFmtId="0" fontId="83" fillId="13" borderId="33" xfId="0" applyFont="1" applyFill="1" applyBorder="1" applyAlignment="1">
      <alignment horizontal="center" vertical="center" wrapText="1"/>
    </xf>
    <xf numFmtId="0" fontId="83" fillId="13" borderId="1" xfId="0" applyFont="1" applyFill="1" applyBorder="1" applyAlignment="1">
      <alignment horizontal="center" vertical="center" wrapText="1"/>
    </xf>
    <xf numFmtId="0" fontId="83" fillId="13" borderId="3" xfId="0" applyFont="1" applyFill="1" applyBorder="1" applyAlignment="1">
      <alignment horizontal="center" vertical="center" wrapText="1"/>
    </xf>
    <xf numFmtId="0" fontId="83" fillId="13" borderId="218" xfId="0" applyFont="1" applyFill="1" applyBorder="1" applyAlignment="1">
      <alignment horizontal="center" vertical="center" wrapText="1"/>
    </xf>
    <xf numFmtId="0" fontId="83" fillId="13" borderId="5" xfId="0" applyFont="1" applyFill="1" applyBorder="1" applyAlignment="1">
      <alignment horizontal="center" vertical="center" wrapText="1"/>
    </xf>
    <xf numFmtId="0" fontId="83" fillId="13" borderId="7" xfId="0" applyFont="1" applyFill="1" applyBorder="1" applyAlignment="1">
      <alignment horizontal="center" vertical="center" wrapText="1"/>
    </xf>
    <xf numFmtId="0" fontId="94" fillId="13" borderId="62" xfId="0" applyFont="1" applyFill="1" applyBorder="1" applyAlignment="1">
      <alignment horizontal="center" vertical="center"/>
    </xf>
    <xf numFmtId="0" fontId="94" fillId="13" borderId="6" xfId="0" applyFont="1" applyFill="1" applyBorder="1" applyAlignment="1">
      <alignment horizontal="center" vertical="center"/>
    </xf>
    <xf numFmtId="0" fontId="94" fillId="13" borderId="218" xfId="0" applyFont="1" applyFill="1" applyBorder="1" applyAlignment="1">
      <alignment horizontal="center" vertical="center"/>
    </xf>
    <xf numFmtId="0" fontId="94" fillId="13" borderId="5" xfId="0" applyFont="1" applyFill="1" applyBorder="1" applyAlignment="1">
      <alignment horizontal="center" vertical="center"/>
    </xf>
    <xf numFmtId="0" fontId="94" fillId="13" borderId="6" xfId="0" applyFont="1" applyFill="1" applyBorder="1" applyAlignment="1">
      <alignment horizontal="center" vertical="center" wrapText="1"/>
    </xf>
    <xf numFmtId="0" fontId="94" fillId="13" borderId="45" xfId="0" applyFont="1" applyFill="1" applyBorder="1" applyAlignment="1">
      <alignment horizontal="center" vertical="center" wrapText="1"/>
    </xf>
    <xf numFmtId="0" fontId="94" fillId="13" borderId="5" xfId="0" applyFont="1" applyFill="1" applyBorder="1" applyAlignment="1">
      <alignment horizontal="center" vertical="center" wrapText="1"/>
    </xf>
    <xf numFmtId="0" fontId="94" fillId="13" borderId="163" xfId="0" applyFont="1" applyFill="1" applyBorder="1" applyAlignment="1">
      <alignment horizontal="center" vertical="center" wrapText="1"/>
    </xf>
    <xf numFmtId="0" fontId="94" fillId="13" borderId="22" xfId="0" applyFont="1" applyFill="1" applyBorder="1" applyAlignment="1">
      <alignment horizontal="center" vertical="center" wrapText="1"/>
    </xf>
    <xf numFmtId="0" fontId="94" fillId="13" borderId="0" xfId="0" applyFont="1" applyFill="1" applyAlignment="1">
      <alignment horizontal="center" vertical="center" wrapText="1"/>
    </xf>
    <xf numFmtId="0" fontId="82" fillId="13" borderId="139" xfId="0" applyFont="1" applyFill="1" applyBorder="1" applyAlignment="1">
      <alignment horizontal="center"/>
    </xf>
    <xf numFmtId="0" fontId="82" fillId="13" borderId="140" xfId="0" applyFont="1" applyFill="1" applyBorder="1" applyAlignment="1">
      <alignment horizontal="center"/>
    </xf>
    <xf numFmtId="0" fontId="82" fillId="13" borderId="141" xfId="0" applyFont="1" applyFill="1" applyBorder="1" applyAlignment="1">
      <alignment horizontal="center"/>
    </xf>
    <xf numFmtId="0" fontId="88" fillId="0" borderId="229" xfId="0" applyFont="1" applyBorder="1" applyAlignment="1">
      <alignment horizontal="left" vertical="center"/>
    </xf>
    <xf numFmtId="0" fontId="88" fillId="0" borderId="230" xfId="0" applyFont="1" applyBorder="1" applyAlignment="1">
      <alignment horizontal="left" vertical="center"/>
    </xf>
    <xf numFmtId="0" fontId="88" fillId="0" borderId="231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7" xfId="0" applyFont="1" applyBorder="1" applyAlignment="1">
      <alignment horizontal="center" vertical="center" wrapText="1"/>
    </xf>
    <xf numFmtId="0" fontId="15" fillId="0" borderId="190" xfId="0" applyFont="1" applyBorder="1" applyAlignment="1">
      <alignment horizontal="center" vertical="center" wrapText="1"/>
    </xf>
    <xf numFmtId="0" fontId="15" fillId="0" borderId="192" xfId="0" applyFont="1" applyBorder="1" applyAlignment="1">
      <alignment horizontal="center" vertical="center" wrapText="1"/>
    </xf>
    <xf numFmtId="0" fontId="85" fillId="0" borderId="211" xfId="0" applyFont="1" applyBorder="1" applyAlignment="1">
      <alignment horizontal="left" vertical="center"/>
    </xf>
    <xf numFmtId="0" fontId="85" fillId="0" borderId="153" xfId="0" applyFont="1" applyBorder="1" applyAlignment="1">
      <alignment horizontal="left" vertical="center"/>
    </xf>
    <xf numFmtId="0" fontId="85" fillId="0" borderId="154" xfId="0" applyFont="1" applyBorder="1" applyAlignment="1">
      <alignment horizontal="left" vertical="center"/>
    </xf>
    <xf numFmtId="0" fontId="85" fillId="0" borderId="5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85" fillId="0" borderId="136" xfId="0" applyFont="1" applyBorder="1" applyAlignment="1">
      <alignment horizontal="left" vertical="center"/>
    </xf>
    <xf numFmtId="0" fontId="82" fillId="0" borderId="139" xfId="0" applyFont="1" applyBorder="1" applyAlignment="1">
      <alignment horizontal="center"/>
    </xf>
    <xf numFmtId="0" fontId="91" fillId="0" borderId="211" xfId="0" applyFont="1" applyBorder="1" applyAlignment="1">
      <alignment horizontal="center" vertical="center"/>
    </xf>
    <xf numFmtId="0" fontId="91" fillId="0" borderId="153" xfId="0" applyFont="1" applyBorder="1" applyAlignment="1">
      <alignment horizontal="center" vertical="center"/>
    </xf>
    <xf numFmtId="0" fontId="91" fillId="0" borderId="154" xfId="0" applyFont="1" applyBorder="1" applyAlignment="1">
      <alignment horizontal="center" vertical="center"/>
    </xf>
    <xf numFmtId="0" fontId="91" fillId="0" borderId="54" xfId="0" applyFont="1" applyBorder="1" applyAlignment="1">
      <alignment horizontal="center" vertical="center"/>
    </xf>
    <xf numFmtId="0" fontId="91" fillId="0" borderId="49" xfId="0" applyFont="1" applyBorder="1" applyAlignment="1">
      <alignment horizontal="center" vertical="center"/>
    </xf>
    <xf numFmtId="0" fontId="91" fillId="0" borderId="136" xfId="0" applyFont="1" applyBorder="1" applyAlignment="1">
      <alignment horizontal="center" vertical="center"/>
    </xf>
    <xf numFmtId="0" fontId="48" fillId="0" borderId="59" xfId="0" applyFont="1" applyBorder="1" applyAlignment="1">
      <alignment horizontal="center" vertical="center"/>
    </xf>
    <xf numFmtId="0" fontId="48" fillId="0" borderId="52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212" xfId="0" applyFont="1" applyBorder="1" applyAlignment="1">
      <alignment horizontal="center" vertical="center"/>
    </xf>
    <xf numFmtId="0" fontId="48" fillId="0" borderId="190" xfId="0" applyFont="1" applyBorder="1" applyAlignment="1">
      <alignment horizontal="center" vertical="center"/>
    </xf>
    <xf numFmtId="0" fontId="48" fillId="0" borderId="192" xfId="0" applyFont="1" applyBorder="1" applyAlignment="1">
      <alignment horizontal="center" vertical="center"/>
    </xf>
    <xf numFmtId="0" fontId="84" fillId="13" borderId="207" xfId="0" applyFont="1" applyFill="1" applyBorder="1" applyAlignment="1">
      <alignment horizontal="center" vertical="center"/>
    </xf>
    <xf numFmtId="0" fontId="84" fillId="13" borderId="190" xfId="0" applyFont="1" applyFill="1" applyBorder="1" applyAlignment="1">
      <alignment horizontal="center" vertical="center"/>
    </xf>
    <xf numFmtId="0" fontId="84" fillId="13" borderId="192" xfId="0" applyFont="1" applyFill="1" applyBorder="1" applyAlignment="1">
      <alignment horizontal="center" vertical="center"/>
    </xf>
    <xf numFmtId="0" fontId="83" fillId="13" borderId="152" xfId="0" applyFont="1" applyFill="1" applyBorder="1" applyAlignment="1">
      <alignment horizontal="center"/>
    </xf>
    <xf numFmtId="0" fontId="83" fillId="13" borderId="153" xfId="0" applyFont="1" applyFill="1" applyBorder="1" applyAlignment="1">
      <alignment horizontal="center"/>
    </xf>
    <xf numFmtId="0" fontId="83" fillId="13" borderId="154" xfId="0" applyFont="1" applyFill="1" applyBorder="1" applyAlignment="1">
      <alignment horizontal="center"/>
    </xf>
    <xf numFmtId="0" fontId="91" fillId="0" borderId="58" xfId="0" applyFont="1" applyBorder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91" fillId="0" borderId="187" xfId="0" applyFont="1" applyBorder="1" applyAlignment="1">
      <alignment horizontal="center" vertical="center"/>
    </xf>
    <xf numFmtId="0" fontId="91" fillId="0" borderId="211" xfId="0" applyFont="1" applyBorder="1" applyAlignment="1">
      <alignment horizontal="left" vertical="center"/>
    </xf>
    <xf numFmtId="0" fontId="91" fillId="0" borderId="154" xfId="0" applyFont="1" applyBorder="1" applyAlignment="1">
      <alignment horizontal="left" vertical="center"/>
    </xf>
    <xf numFmtId="0" fontId="91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7" fillId="0" borderId="79" xfId="0" applyFont="1" applyBorder="1" applyAlignment="1">
      <alignment horizontal="center" vertical="center" wrapText="1"/>
    </xf>
    <xf numFmtId="0" fontId="87" fillId="0" borderId="20" xfId="0" applyFont="1" applyBorder="1" applyAlignment="1">
      <alignment horizontal="center" vertical="center" wrapText="1"/>
    </xf>
    <xf numFmtId="0" fontId="87" fillId="0" borderId="17" xfId="0" applyFont="1" applyBorder="1" applyAlignment="1">
      <alignment horizontal="center" vertical="center" wrapText="1"/>
    </xf>
    <xf numFmtId="0" fontId="87" fillId="0" borderId="54" xfId="0" applyFont="1" applyBorder="1" applyAlignment="1">
      <alignment horizontal="center" vertical="center" wrapText="1"/>
    </xf>
    <xf numFmtId="0" fontId="87" fillId="0" borderId="49" xfId="0" applyFont="1" applyBorder="1" applyAlignment="1">
      <alignment horizontal="center" vertical="center" wrapText="1"/>
    </xf>
    <xf numFmtId="0" fontId="87" fillId="0" borderId="70" xfId="0" applyFont="1" applyBorder="1" applyAlignment="1">
      <alignment horizontal="center" vertical="center" wrapText="1"/>
    </xf>
    <xf numFmtId="0" fontId="48" fillId="0" borderId="68" xfId="0" applyFont="1" applyBorder="1" applyAlignment="1">
      <alignment horizontal="center" vertical="center"/>
    </xf>
    <xf numFmtId="0" fontId="48" fillId="0" borderId="219" xfId="0" applyFont="1" applyBorder="1" applyAlignment="1">
      <alignment horizontal="center" vertical="center"/>
    </xf>
    <xf numFmtId="0" fontId="48" fillId="0" borderId="25" xfId="0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0" fontId="48" fillId="0" borderId="59" xfId="0" applyFont="1" applyBorder="1" applyAlignment="1">
      <alignment horizontal="left" vertical="center"/>
    </xf>
    <xf numFmtId="0" fontId="48" fillId="0" borderId="135" xfId="0" applyFont="1" applyBorder="1" applyAlignment="1">
      <alignment horizontal="left" vertical="center"/>
    </xf>
    <xf numFmtId="0" fontId="48" fillId="0" borderId="212" xfId="0" applyFont="1" applyBorder="1" applyAlignment="1">
      <alignment horizontal="left" vertical="center"/>
    </xf>
    <xf numFmtId="0" fontId="48" fillId="0" borderId="192" xfId="0" applyFont="1" applyBorder="1" applyAlignment="1">
      <alignment horizontal="left" vertical="center"/>
    </xf>
    <xf numFmtId="0" fontId="67" fillId="0" borderId="35" xfId="0" applyFont="1" applyBorder="1" applyAlignment="1">
      <alignment horizontal="center" vertical="center"/>
    </xf>
    <xf numFmtId="0" fontId="67" fillId="0" borderId="36" xfId="0" applyFon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0" borderId="232" xfId="0" applyNumberFormat="1" applyBorder="1" applyAlignment="1">
      <alignment horizontal="center" vertical="center"/>
    </xf>
    <xf numFmtId="9" fontId="0" fillId="0" borderId="266" xfId="0" applyNumberFormat="1" applyBorder="1" applyAlignment="1">
      <alignment horizontal="center" vertical="center"/>
    </xf>
    <xf numFmtId="0" fontId="0" fillId="0" borderId="265" xfId="0" applyBorder="1" applyAlignment="1">
      <alignment horizontal="right"/>
    </xf>
    <xf numFmtId="0" fontId="0" fillId="0" borderId="232" xfId="0" applyBorder="1" applyAlignment="1">
      <alignment horizontal="right"/>
    </xf>
    <xf numFmtId="0" fontId="0" fillId="0" borderId="234" xfId="0" applyBorder="1" applyAlignment="1">
      <alignment horizontal="right"/>
    </xf>
    <xf numFmtId="0" fontId="0" fillId="0" borderId="265" xfId="0" applyBorder="1" applyAlignment="1">
      <alignment horizontal="right" vertical="center"/>
    </xf>
    <xf numFmtId="0" fontId="0" fillId="0" borderId="232" xfId="0" applyBorder="1" applyAlignment="1">
      <alignment horizontal="right" vertical="center"/>
    </xf>
    <xf numFmtId="0" fontId="0" fillId="0" borderId="234" xfId="0" applyBorder="1" applyAlignment="1">
      <alignment horizontal="right" vertical="center"/>
    </xf>
    <xf numFmtId="0" fontId="0" fillId="18" borderId="265" xfId="0" applyFill="1" applyBorder="1" applyAlignment="1">
      <alignment horizontal="left" vertical="center"/>
    </xf>
    <xf numFmtId="0" fontId="0" fillId="18" borderId="232" xfId="0" applyFill="1" applyBorder="1" applyAlignment="1">
      <alignment horizontal="left" vertical="center"/>
    </xf>
    <xf numFmtId="0" fontId="0" fillId="18" borderId="234" xfId="0" applyFill="1" applyBorder="1" applyAlignment="1">
      <alignment horizontal="left" vertical="center"/>
    </xf>
    <xf numFmtId="9" fontId="86" fillId="0" borderId="233" xfId="0" applyNumberFormat="1" applyFont="1" applyBorder="1" applyAlignment="1">
      <alignment horizontal="center" vertical="center"/>
    </xf>
    <xf numFmtId="9" fontId="86" fillId="0" borderId="232" xfId="0" applyNumberFormat="1" applyFont="1" applyBorder="1" applyAlignment="1">
      <alignment horizontal="center" vertical="center"/>
    </xf>
    <xf numFmtId="9" fontId="86" fillId="0" borderId="234" xfId="0" applyNumberFormat="1" applyFon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0" borderId="236" xfId="0" applyNumberFormat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0" fillId="18" borderId="236" xfId="0" applyNumberFormat="1" applyFill="1" applyBorder="1" applyAlignment="1">
      <alignment horizontal="center" vertical="center"/>
    </xf>
    <xf numFmtId="9" fontId="86" fillId="18" borderId="233" xfId="0" applyNumberFormat="1" applyFont="1" applyFill="1" applyBorder="1" applyAlignment="1">
      <alignment horizontal="center" vertical="center"/>
    </xf>
    <xf numFmtId="9" fontId="86" fillId="18" borderId="232" xfId="0" applyNumberFormat="1" applyFont="1" applyFill="1" applyBorder="1" applyAlignment="1">
      <alignment horizontal="center" vertical="center"/>
    </xf>
    <xf numFmtId="9" fontId="86" fillId="18" borderId="234" xfId="0" applyNumberFormat="1" applyFon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57" xfId="0" applyNumberFormat="1" applyFill="1" applyBorder="1" applyAlignment="1">
      <alignment horizontal="center" vertical="center"/>
    </xf>
    <xf numFmtId="9" fontId="0" fillId="18" borderId="26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32" xfId="0" applyNumberFormat="1" applyFill="1" applyBorder="1" applyAlignment="1">
      <alignment horizontal="center" vertical="center"/>
    </xf>
    <xf numFmtId="9" fontId="0" fillId="18" borderId="266" xfId="0" applyNumberFormat="1" applyFill="1" applyBorder="1" applyAlignment="1">
      <alignment horizontal="center" vertical="center"/>
    </xf>
    <xf numFmtId="9" fontId="0" fillId="0" borderId="240" xfId="0" applyNumberFormat="1" applyBorder="1" applyAlignment="1">
      <alignment horizontal="center" vertical="center"/>
    </xf>
    <xf numFmtId="0" fontId="15" fillId="0" borderId="278" xfId="0" applyFont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40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0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9" fontId="0" fillId="18" borderId="276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6" xfId="0" applyFont="1" applyFill="1" applyBorder="1" applyAlignment="1">
      <alignment horizontal="center" vertical="center"/>
    </xf>
    <xf numFmtId="0" fontId="7" fillId="13" borderId="216" xfId="0" applyFont="1" applyFill="1" applyBorder="1" applyAlignment="1">
      <alignment horizontal="center" vertical="center"/>
    </xf>
    <xf numFmtId="0" fontId="61" fillId="13" borderId="160" xfId="0" applyFont="1" applyFill="1" applyBorder="1" applyAlignment="1">
      <alignment horizontal="center" vertical="center"/>
    </xf>
    <xf numFmtId="0" fontId="61" fillId="13" borderId="161" xfId="0" applyFont="1" applyFill="1" applyBorder="1" applyAlignment="1">
      <alignment horizontal="center" vertical="center"/>
    </xf>
    <xf numFmtId="0" fontId="61" fillId="13" borderId="162" xfId="0" applyFont="1" applyFill="1" applyBorder="1" applyAlignment="1">
      <alignment horizontal="center" vertical="center"/>
    </xf>
    <xf numFmtId="0" fontId="61" fillId="13" borderId="160" xfId="0" applyFont="1" applyFill="1" applyBorder="1" applyAlignment="1">
      <alignment horizontal="center" vertical="center" wrapText="1"/>
    </xf>
    <xf numFmtId="0" fontId="61" fillId="13" borderId="162" xfId="0" applyFont="1" applyFill="1" applyBorder="1" applyAlignment="1">
      <alignment horizontal="center" vertical="center" wrapText="1"/>
    </xf>
    <xf numFmtId="9" fontId="0" fillId="18" borderId="254" xfId="0" applyNumberFormat="1" applyFill="1" applyBorder="1" applyAlignment="1">
      <alignment horizontal="center" vertical="center"/>
    </xf>
    <xf numFmtId="9" fontId="0" fillId="18" borderId="250" xfId="0" applyNumberFormat="1" applyFill="1" applyBorder="1" applyAlignment="1">
      <alignment horizontal="center" vertical="center"/>
    </xf>
    <xf numFmtId="9" fontId="0" fillId="18" borderId="268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5" xfId="0" applyNumberFormat="1" applyBorder="1" applyAlignment="1">
      <alignment horizontal="center" vertical="center"/>
    </xf>
    <xf numFmtId="9" fontId="0" fillId="18" borderId="255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0" fontId="67" fillId="0" borderId="172" xfId="0" applyFont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86" fillId="18" borderId="272" xfId="0" applyNumberFormat="1" applyFont="1" applyFill="1" applyBorder="1" applyAlignment="1">
      <alignment horizontal="center" vertical="center"/>
    </xf>
    <xf numFmtId="9" fontId="86" fillId="18" borderId="270" xfId="0" applyNumberFormat="1" applyFont="1" applyFill="1" applyBorder="1" applyAlignment="1">
      <alignment horizontal="center" vertical="center"/>
    </xf>
    <xf numFmtId="9" fontId="86" fillId="18" borderId="271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190" xfId="0" applyNumberFormat="1" applyFill="1" applyBorder="1" applyAlignment="1">
      <alignment horizontal="center" vertical="center"/>
    </xf>
    <xf numFmtId="9" fontId="86" fillId="0" borderId="97" xfId="0" applyNumberFormat="1" applyFont="1" applyBorder="1" applyAlignment="1">
      <alignment horizontal="center" vertical="center"/>
    </xf>
    <xf numFmtId="9" fontId="86" fillId="18" borderId="249" xfId="0" applyNumberFormat="1" applyFont="1" applyFill="1" applyBorder="1" applyAlignment="1">
      <alignment horizontal="center" vertical="center"/>
    </xf>
    <xf numFmtId="9" fontId="86" fillId="18" borderId="250" xfId="0" applyNumberFormat="1" applyFont="1" applyFill="1" applyBorder="1" applyAlignment="1">
      <alignment horizontal="center" vertical="center"/>
    </xf>
    <xf numFmtId="9" fontId="86" fillId="18" borderId="251" xfId="0" applyNumberFormat="1" applyFont="1" applyFill="1" applyBorder="1" applyAlignment="1">
      <alignment horizontal="center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58" xfId="0" applyFill="1" applyBorder="1" applyAlignment="1">
      <alignment horizontal="left" vertical="center"/>
    </xf>
    <xf numFmtId="9" fontId="86" fillId="18" borderId="259" xfId="0" applyNumberFormat="1" applyFont="1" applyFill="1" applyBorder="1" applyAlignment="1">
      <alignment horizontal="center" vertical="center"/>
    </xf>
    <xf numFmtId="9" fontId="86" fillId="18" borderId="257" xfId="0" applyNumberFormat="1" applyFont="1" applyFill="1" applyBorder="1" applyAlignment="1">
      <alignment horizontal="center" vertical="center"/>
    </xf>
    <xf numFmtId="9" fontId="86" fillId="18" borderId="258" xfId="0" applyNumberFormat="1" applyFont="1" applyFill="1" applyBorder="1" applyAlignment="1">
      <alignment horizontal="center" vertic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71" xfId="0" applyFill="1" applyBorder="1" applyAlignment="1">
      <alignment horizontal="center"/>
    </xf>
    <xf numFmtId="0" fontId="0" fillId="18" borderId="267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18" borderId="251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61" fillId="13" borderId="160" xfId="0" applyFont="1" applyFill="1" applyBorder="1" applyAlignment="1">
      <alignment horizontal="center" vertical="top" wrapText="1"/>
    </xf>
    <xf numFmtId="0" fontId="61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5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data_panel!$C$4:$C$6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data_panel!$D$4:$D$6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data_panel!$B$4:$B$6</c:f>
              <c:strCache>
                <c:ptCount val="3"/>
                <c:pt idx="0">
                  <c:v>DAG</c:v>
                </c:pt>
                <c:pt idx="1">
                  <c:v>DIPLAP</c:v>
                </c:pt>
                <c:pt idx="2">
                  <c:v>Gab Subse</c:v>
                </c:pt>
              </c:strCache>
            </c:strRef>
          </c:cat>
          <c:val>
            <c:numRef>
              <c:f>data_panel!$E$4:$E$6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910540130755E-2"/>
          <c:y val="4.35432955180617E-2"/>
          <c:w val="0.9592582725636658"/>
          <c:h val="0.82541157245617158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data_panel!$B$12:$B$19</c:f>
              <c:strCache>
                <c:ptCount val="8"/>
                <c:pt idx="0">
                  <c:v>CPEIP</c:v>
                </c:pt>
                <c:pt idx="1">
                  <c:v>CPEIP</c:v>
                </c:pt>
                <c:pt idx="2">
                  <c:v>DAG</c:v>
                </c:pt>
                <c:pt idx="3">
                  <c:v>DEG</c:v>
                </c:pt>
                <c:pt idx="4">
                  <c:v>Jurídica</c:v>
                </c:pt>
                <c:pt idx="5">
                  <c:v>DIPLAP</c:v>
                </c:pt>
                <c:pt idx="6">
                  <c:v>Gab Ministro</c:v>
                </c:pt>
                <c:pt idx="7">
                  <c:v>Gab Subse</c:v>
                </c:pt>
              </c:strCache>
            </c:strRef>
          </c:cat>
          <c:val>
            <c:numRef>
              <c:f>data_panel!$C$12:$C$19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data_panel!$B$12:$B$19</c:f>
              <c:strCache>
                <c:ptCount val="8"/>
                <c:pt idx="0">
                  <c:v>CPEIP</c:v>
                </c:pt>
                <c:pt idx="1">
                  <c:v>CPEIP</c:v>
                </c:pt>
                <c:pt idx="2">
                  <c:v>DAG</c:v>
                </c:pt>
                <c:pt idx="3">
                  <c:v>DEG</c:v>
                </c:pt>
                <c:pt idx="4">
                  <c:v>Jurídica</c:v>
                </c:pt>
                <c:pt idx="5">
                  <c:v>DIPLAP</c:v>
                </c:pt>
                <c:pt idx="6">
                  <c:v>Gab Ministro</c:v>
                </c:pt>
                <c:pt idx="7">
                  <c:v>Gab Subse</c:v>
                </c:pt>
              </c:strCache>
            </c:strRef>
          </c:cat>
          <c:val>
            <c:numRef>
              <c:f>data_panel!$D$12:$D$19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data_panel!$B$12:$B$19</c:f>
              <c:strCache>
                <c:ptCount val="8"/>
                <c:pt idx="0">
                  <c:v>CPEIP</c:v>
                </c:pt>
                <c:pt idx="1">
                  <c:v>CPEIP</c:v>
                </c:pt>
                <c:pt idx="2">
                  <c:v>DAG</c:v>
                </c:pt>
                <c:pt idx="3">
                  <c:v>DEG</c:v>
                </c:pt>
                <c:pt idx="4">
                  <c:v>Jurídica</c:v>
                </c:pt>
                <c:pt idx="5">
                  <c:v>DIPLAP</c:v>
                </c:pt>
                <c:pt idx="6">
                  <c:v>Gab Ministro</c:v>
                </c:pt>
                <c:pt idx="7">
                  <c:v>Gab Subse</c:v>
                </c:pt>
              </c:strCache>
            </c:strRef>
          </c:cat>
          <c:val>
            <c:numRef>
              <c:f>data_panel!$E$12:$E$19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468349135437729E-2"/>
          <c:y val="3.6517022639653139E-2"/>
          <c:w val="0.91306356354814944"/>
          <c:h val="0.7801505946786775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data_panel!$B$8:$B$10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data_panel!$C$8:$C$10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data_panel!$B$8:$B$10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data_panel!$D$8:$D$10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data_panel!$B$8:$B$10</c:f>
              <c:strCache>
                <c:ptCount val="3"/>
                <c:pt idx="0">
                  <c:v>CPEIP</c:v>
                </c:pt>
                <c:pt idx="1">
                  <c:v>DEG</c:v>
                </c:pt>
                <c:pt idx="2">
                  <c:v>UCE</c:v>
                </c:pt>
              </c:strCache>
            </c:strRef>
          </c:cat>
          <c:val>
            <c:numRef>
              <c:f>data_panel!$E$8:$E$10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829246015669142E-2"/>
          <c:y val="5.4060796811934472E-2"/>
          <c:w val="0.92232948183348162"/>
          <c:h val="0.51699254510085502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data_panel!$B$24:$B$39</c:f>
              <c:strCache>
                <c:ptCount val="16"/>
                <c:pt idx="0">
                  <c:v>Antofagasta</c:v>
                </c:pt>
                <c:pt idx="1">
                  <c:v>Antofagasta</c:v>
                </c:pt>
                <c:pt idx="2">
                  <c:v>Arica y Parinacota</c:v>
                </c:pt>
                <c:pt idx="3">
                  <c:v>Atacama</c:v>
                </c:pt>
                <c:pt idx="4">
                  <c:v>Aysén</c:v>
                </c:pt>
                <c:pt idx="5">
                  <c:v>Biobío</c:v>
                </c:pt>
                <c:pt idx="6">
                  <c:v>Coquimbo</c:v>
                </c:pt>
                <c:pt idx="7">
                  <c:v>La Araucanía</c:v>
                </c:pt>
                <c:pt idx="8">
                  <c:v>Los Lagos</c:v>
                </c:pt>
                <c:pt idx="9">
                  <c:v>Los Ríos</c:v>
                </c:pt>
                <c:pt idx="10">
                  <c:v>Magallanes</c:v>
                </c:pt>
                <c:pt idx="11">
                  <c:v>Maule</c:v>
                </c:pt>
                <c:pt idx="12">
                  <c:v>Metropolitana</c:v>
                </c:pt>
                <c:pt idx="13">
                  <c:v>O'Higgins</c:v>
                </c:pt>
                <c:pt idx="14">
                  <c:v>Tarapacá</c:v>
                </c:pt>
                <c:pt idx="15">
                  <c:v>Valparaíso</c:v>
                </c:pt>
              </c:strCache>
            </c:strRef>
          </c:cat>
          <c:val>
            <c:numRef>
              <c:f>data_panel!$C$24:$C$39</c:f>
              <c:numCache>
                <c:formatCode>General</c:formatCode>
                <c:ptCount val="16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data_panel!$B$24:$B$39</c:f>
              <c:strCache>
                <c:ptCount val="16"/>
                <c:pt idx="0">
                  <c:v>Antofagasta</c:v>
                </c:pt>
                <c:pt idx="1">
                  <c:v>Antofagasta</c:v>
                </c:pt>
                <c:pt idx="2">
                  <c:v>Arica y Parinacota</c:v>
                </c:pt>
                <c:pt idx="3">
                  <c:v>Atacama</c:v>
                </c:pt>
                <c:pt idx="4">
                  <c:v>Aysén</c:v>
                </c:pt>
                <c:pt idx="5">
                  <c:v>Biobío</c:v>
                </c:pt>
                <c:pt idx="6">
                  <c:v>Coquimbo</c:v>
                </c:pt>
                <c:pt idx="7">
                  <c:v>La Araucanía</c:v>
                </c:pt>
                <c:pt idx="8">
                  <c:v>Los Lagos</c:v>
                </c:pt>
                <c:pt idx="9">
                  <c:v>Los Ríos</c:v>
                </c:pt>
                <c:pt idx="10">
                  <c:v>Magallanes</c:v>
                </c:pt>
                <c:pt idx="11">
                  <c:v>Maule</c:v>
                </c:pt>
                <c:pt idx="12">
                  <c:v>Metropolitana</c:v>
                </c:pt>
                <c:pt idx="13">
                  <c:v>O'Higgins</c:v>
                </c:pt>
                <c:pt idx="14">
                  <c:v>Tarapacá</c:v>
                </c:pt>
                <c:pt idx="15">
                  <c:v>Valparaíso</c:v>
                </c:pt>
              </c:strCache>
            </c:strRef>
          </c:cat>
          <c:val>
            <c:numRef>
              <c:f>data_panel!$D$24:$D$39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data_panel!$B$24:$B$39</c:f>
              <c:strCache>
                <c:ptCount val="16"/>
                <c:pt idx="0">
                  <c:v>Antofagasta</c:v>
                </c:pt>
                <c:pt idx="1">
                  <c:v>Antofagasta</c:v>
                </c:pt>
                <c:pt idx="2">
                  <c:v>Arica y Parinacota</c:v>
                </c:pt>
                <c:pt idx="3">
                  <c:v>Atacama</c:v>
                </c:pt>
                <c:pt idx="4">
                  <c:v>Aysén</c:v>
                </c:pt>
                <c:pt idx="5">
                  <c:v>Biobío</c:v>
                </c:pt>
                <c:pt idx="6">
                  <c:v>Coquimbo</c:v>
                </c:pt>
                <c:pt idx="7">
                  <c:v>La Araucanía</c:v>
                </c:pt>
                <c:pt idx="8">
                  <c:v>Los Lagos</c:v>
                </c:pt>
                <c:pt idx="9">
                  <c:v>Los Ríos</c:v>
                </c:pt>
                <c:pt idx="10">
                  <c:v>Magallanes</c:v>
                </c:pt>
                <c:pt idx="11">
                  <c:v>Maule</c:v>
                </c:pt>
                <c:pt idx="12">
                  <c:v>Metropolitana</c:v>
                </c:pt>
                <c:pt idx="13">
                  <c:v>O'Higgins</c:v>
                </c:pt>
                <c:pt idx="14">
                  <c:v>Tarapacá</c:v>
                </c:pt>
                <c:pt idx="15">
                  <c:v>Valparaíso</c:v>
                </c:pt>
              </c:strCache>
            </c:strRef>
          </c:cat>
          <c:val>
            <c:numRef>
              <c:f>data_panel!$E$24:$E$39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5199429457585954E-2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95334EFB-CEAA-4446-9017-39C050B2ACB9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29F97C9-7BF1-406F-B69E-35412680F5D2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D20B1A9-373D-439F-8B3B-26DD527786BC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B4CFEE-771E-4E58-B99F-31EA89DC117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A7B874F-DB8B-4CD6-AFD0-39A05FB4C786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E951066-F611-4AC5-8CCF-976A2E30E9F7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5DFCCF2-40B8-4EE1-AA3B-1C902D9C2CBF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5BFD300-2616-4E72-A461-C375491F4560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B6D2300-3FEF-427D-A3F6-E8C7CBBE8DA6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BC9037A-4A6F-432C-AA87-C7CD40DD53C5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0B63580-E2EC-451B-A60A-B0B3980BE740}" type="CELLRANGE">
                      <a:rPr lang="es-CL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  <c:multiLvlStrCache>
                <c:ptCount val="13"/>
                <c:lvl>
                  <c:pt idx="0">
                    <c:v>Inicio Monitoreo 2024
ejecución año t-1</c:v>
                  </c:pt>
                  <c:pt idx="1">
                    <c:v>Envío de orientaciones
a contrapartes internas</c:v>
                  </c:pt>
                  <c:pt idx="2">
                    <c:v>Reporte en
plataforma</c:v>
                  </c:pt>
                  <c:pt idx="3">
                    <c:v>Evaluación
MDSyF</c:v>
                  </c:pt>
                  <c:pt idx="4">
                    <c:v>Inicio Ex ante</c:v>
                  </c:pt>
                  <c:pt idx="5">
                    <c:v>Envío de
lineamientos
internos</c:v>
                  </c:pt>
                  <c:pt idx="6">
                    <c:v>Ingreso máximo ex ante</c:v>
                  </c:pt>
                  <c:pt idx="7">
                    <c:v>Publicación
de informes
de monitoreo</c:v>
                  </c:pt>
                  <c:pt idx="8">
                    <c:v>Iteración 1</c:v>
                  </c:pt>
                  <c:pt idx="9">
                    <c:v>Iteración 2</c:v>
                  </c:pt>
                  <c:pt idx="10">
                    <c:v>Iteración 3</c:v>
                  </c:pt>
                  <c:pt idx="11">
                    <c:v>Iteración 4</c:v>
                  </c:pt>
                  <c:pt idx="12">
                    <c:v>Cierre
ex ante</c:v>
                  </c:pt>
                </c:lvl>
                <c:lvl>
                  <c:pt idx="0">
                    <c:v>20-dic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06-may</c:v>
                  </c:pt>
                  <c:pt idx="5">
                    <c:v>14-may</c:v>
                  </c:pt>
                  <c:pt idx="6">
                    <c:v>30-may</c:v>
                  </c:pt>
                  <c:pt idx="7">
                    <c:v>01-jun</c:v>
                  </c:pt>
                  <c:pt idx="8">
                    <c:v>06-jun</c:v>
                  </c:pt>
                  <c:pt idx="9">
                    <c:v>13-jun</c:v>
                  </c:pt>
                  <c:pt idx="10">
                    <c:v>20-jun</c:v>
                  </c:pt>
                  <c:pt idx="11">
                    <c:v>27-jun</c:v>
                  </c:pt>
                  <c:pt idx="12">
                    <c:v>02-jul</c:v>
                  </c:pt>
                </c:lvl>
              </c:multiLvlStrCache>
            </c:multiLvlStrRef>
          </c:cat>
          <c:val>
            <c:numRef>
              <c:f>datos_graficos!$C$3:$C$15</c:f>
              <c:numCache>
                <c:formatCode>General</c:formatCode>
                <c:ptCount val="13"/>
                <c:pt idx="0">
                  <c:v>2</c:v>
                </c:pt>
                <c:pt idx="1">
                  <c:v>-1</c:v>
                </c:pt>
                <c:pt idx="2">
                  <c:v>1.5</c:v>
                </c:pt>
                <c:pt idx="3">
                  <c:v>-1</c:v>
                </c:pt>
                <c:pt idx="4">
                  <c:v>2</c:v>
                </c:pt>
                <c:pt idx="5">
                  <c:v>-1</c:v>
                </c:pt>
                <c:pt idx="6">
                  <c:v>2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1</c:v>
                </c:pt>
                <c:pt idx="11">
                  <c:v>-1</c:v>
                </c:pt>
                <c:pt idx="12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  <c:pt idx="0">
                    <c:v>Inicio Monitoreo 2024
ejecución año t-1</c:v>
                  </c:pt>
                  <c:pt idx="1">
                    <c:v>Envío de orientaciones
a contrapartes internas</c:v>
                  </c:pt>
                  <c:pt idx="2">
                    <c:v>Reporte en
plataforma</c:v>
                  </c:pt>
                  <c:pt idx="3">
                    <c:v>Evaluación
MDSyF</c:v>
                  </c:pt>
                  <c:pt idx="4">
                    <c:v>Inicio Ex ante</c:v>
                  </c:pt>
                  <c:pt idx="5">
                    <c:v>Envío de
lineamientos
internos</c:v>
                  </c:pt>
                  <c:pt idx="6">
                    <c:v>Ingreso máximo ex ante</c:v>
                  </c:pt>
                  <c:pt idx="7">
                    <c:v>Publicación
de informes
de monitoreo</c:v>
                  </c:pt>
                  <c:pt idx="8">
                    <c:v>Iteración 1</c:v>
                  </c:pt>
                  <c:pt idx="9">
                    <c:v>Iteración 2</c:v>
                  </c:pt>
                  <c:pt idx="10">
                    <c:v>Iteración 3</c:v>
                  </c:pt>
                  <c:pt idx="11">
                    <c:v>Iteración 4</c:v>
                  </c:pt>
                  <c:pt idx="12">
                    <c:v>Cierre
ex ante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6A4E6BC-2F0F-4D82-BD0E-3E2336462143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4E529EE-C1F4-4EAE-8CEF-C4A28C6263E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514E0D3-3104-4002-9AF1-788170E00594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39B4C12-3124-4513-973E-938AB214CEA0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F8D4859-4910-4F4B-B3C4-A9DF4094E92B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C7FF277-9F55-452F-BACE-539C4F2B779F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3A698FC-060C-4AEB-B2EE-755409A31DF1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0E7130C-5A30-4A74-B464-C24917A6AEEE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98ED050-8DD3-42C9-90BD-C4DDF46F7DB3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EF89443-7E9A-479D-84C4-786C95903359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F6494A4-F069-4B15-B8F9-DE871DF7935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DB3E86A-F02F-42A5-9154-90ED5113CB57}" type="CELLRANGE">
                      <a:rPr lang="es-CL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  <c:multiLvlStrCache>
                <c:ptCount val="13"/>
                <c:lvl>
                  <c:pt idx="0">
                    <c:v>Inicio Monitoreo 2024
ejecución año t-1</c:v>
                  </c:pt>
                  <c:pt idx="1">
                    <c:v>Envío de orientaciones
a contrapartes internas</c:v>
                  </c:pt>
                  <c:pt idx="2">
                    <c:v>Reporte en
plataforma</c:v>
                  </c:pt>
                  <c:pt idx="3">
                    <c:v>Evaluación
MDSyF</c:v>
                  </c:pt>
                  <c:pt idx="4">
                    <c:v>Inicio Ex ante</c:v>
                  </c:pt>
                  <c:pt idx="5">
                    <c:v>Envío de
lineamientos
internos</c:v>
                  </c:pt>
                  <c:pt idx="6">
                    <c:v>Ingreso máximo ex ante</c:v>
                  </c:pt>
                  <c:pt idx="7">
                    <c:v>Publicación
de informes
de monitoreo</c:v>
                  </c:pt>
                  <c:pt idx="8">
                    <c:v>Iteración 1</c:v>
                  </c:pt>
                  <c:pt idx="9">
                    <c:v>Iteración 2</c:v>
                  </c:pt>
                  <c:pt idx="10">
                    <c:v>Iteración 3</c:v>
                  </c:pt>
                  <c:pt idx="11">
                    <c:v>Iteración 4</c:v>
                  </c:pt>
                  <c:pt idx="12">
                    <c:v>Cierre
ex ante</c:v>
                  </c:pt>
                </c:lvl>
                <c:lvl>
                  <c:pt idx="0">
                    <c:v>20-dic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06-may</c:v>
                  </c:pt>
                  <c:pt idx="5">
                    <c:v>14-may</c:v>
                  </c:pt>
                  <c:pt idx="6">
                    <c:v>30-may</c:v>
                  </c:pt>
                  <c:pt idx="7">
                    <c:v>01-jun</c:v>
                  </c:pt>
                  <c:pt idx="8">
                    <c:v>06-jun</c:v>
                  </c:pt>
                  <c:pt idx="9">
                    <c:v>13-jun</c:v>
                  </c:pt>
                  <c:pt idx="10">
                    <c:v>20-jun</c:v>
                  </c:pt>
                  <c:pt idx="11">
                    <c:v>27-jun</c:v>
                  </c:pt>
                  <c:pt idx="12">
                    <c:v>02-jul</c:v>
                  </c:pt>
                </c:lvl>
              </c:multiLvlStrCache>
            </c:multiLvlStrRef>
          </c:cat>
          <c:val>
            <c:numRef>
              <c:f>datos_graficos!$D$3:$D$15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  <c:pt idx="0">
                    <c:v>20-dic</c:v>
                  </c:pt>
                  <c:pt idx="1">
                    <c:v>03-ene</c:v>
                  </c:pt>
                  <c:pt idx="2">
                    <c:v>26-ene</c:v>
                  </c:pt>
                  <c:pt idx="3">
                    <c:v>20-ene</c:v>
                  </c:pt>
                  <c:pt idx="4">
                    <c:v>06-may</c:v>
                  </c:pt>
                  <c:pt idx="5">
                    <c:v>14-may</c:v>
                  </c:pt>
                  <c:pt idx="6">
                    <c:v>30-may</c:v>
                  </c:pt>
                  <c:pt idx="7">
                    <c:v>01-jun</c:v>
                  </c:pt>
                  <c:pt idx="8">
                    <c:v>06-jun</c:v>
                  </c:pt>
                  <c:pt idx="9">
                    <c:v>13-jun</c:v>
                  </c:pt>
                  <c:pt idx="10">
                    <c:v>20-jun</c:v>
                  </c:pt>
                  <c:pt idx="11">
                    <c:v>27-jun</c:v>
                  </c:pt>
                  <c:pt idx="12">
                    <c:v>02-jul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'programas sociales'!$B$16:$B$21</c:f>
              <c:strCache>
                <c:ptCount val="6"/>
                <c:pt idx="0">
                  <c:v>Dirección de Educación Pública</c:v>
                </c:pt>
                <c:pt idx="1">
                  <c:v>Junta Nacional de Auxilio Escolar y Becas</c:v>
                </c:pt>
                <c:pt idx="2">
                  <c:v>Junta Nacional de Jardines Infantiles</c:v>
                </c:pt>
                <c:pt idx="3">
                  <c:v>Subsecretaria de Educación</c:v>
                </c:pt>
                <c:pt idx="4">
                  <c:v>Subsecretaría Educación Parvularia</c:v>
                </c:pt>
                <c:pt idx="5">
                  <c:v>Subsecretaría Educación Superior</c:v>
                </c:pt>
              </c:strCache>
            </c:strRef>
          </c:cat>
          <c:val>
            <c:numRef>
              <c:f>'programas sociales'!$C$16:$C$21</c:f>
              <c:numCache>
                <c:formatCode>General</c:formatCode>
                <c:ptCount val="6"/>
                <c:pt idx="0">
                  <c:v>2</c:v>
                </c:pt>
                <c:pt idx="1">
                  <c:v>26</c:v>
                </c:pt>
                <c:pt idx="2">
                  <c:v>5</c:v>
                </c:pt>
                <c:pt idx="3">
                  <c:v>31</c:v>
                </c:pt>
                <c:pt idx="4">
                  <c:v>6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5147282276688601"/>
          <c:y val="8.0609819150578618E-2"/>
          <c:w val="0.80941059388411396"/>
          <c:h val="0.8386260594412489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Cumplidos Parcialmente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  <c:pt idx="0">
                  <c:v>14</c:v>
                </c:pt>
                <c:pt idx="1">
                  <c:v>10</c:v>
                </c:pt>
                <c:pt idx="2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3.9325898433353275E-2"/>
          <c:y val="0.18751876155501379"/>
          <c:w val="0.88193693075470325"/>
          <c:h val="0.6689644603545547"/>
        </c:manualLayout>
      </c:layout>
      <c:barChart>
        <c:barDir val="col"/>
        <c:grouping val="clustered"/>
        <c:varyColors val="0"/>
        <c:ser>
          <c:idx val="0"/>
          <c:order val="0"/>
          <c:tx>
            <c:v>Cumplidos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cumplidos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874008010325916"/>
          <c:y val="0.89975239836663623"/>
          <c:w val="0.65376187188042256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0125577630341101E-2"/>
          <c:y val="0.14953606984241369"/>
          <c:w val="0.91300096501850747"/>
          <c:h val="0.648042630665961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2</c:v>
                </c:pt>
                <c:pt idx="1">
                  <c:v>62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4" Type="http://schemas.openxmlformats.org/officeDocument/2006/relationships/image" Target="../media/image6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microsoft.com/office/2007/relationships/hdphoto" Target="../media/hdphoto1.wdp"/><Relationship Id="rId1" Type="http://schemas.openxmlformats.org/officeDocument/2006/relationships/image" Target="../media/image20.png"/><Relationship Id="rId6" Type="http://schemas.openxmlformats.org/officeDocument/2006/relationships/image" Target="../media/image24.png"/><Relationship Id="rId11" Type="http://schemas.openxmlformats.org/officeDocument/2006/relationships/chart" Target="../charts/chart5.xml"/><Relationship Id="rId5" Type="http://schemas.openxmlformats.org/officeDocument/2006/relationships/image" Target="../media/image23.png"/><Relationship Id="rId10" Type="http://schemas.openxmlformats.org/officeDocument/2006/relationships/image" Target="../media/image2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0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image" Target="../media/image25.png"/><Relationship Id="rId7" Type="http://schemas.openxmlformats.org/officeDocument/2006/relationships/chart" Target="../charts/chart11.xml"/><Relationship Id="rId2" Type="http://schemas.openxmlformats.org/officeDocument/2006/relationships/image" Target="../media/image26.png"/><Relationship Id="rId1" Type="http://schemas.openxmlformats.org/officeDocument/2006/relationships/image" Target="../media/image24.png"/><Relationship Id="rId6" Type="http://schemas.openxmlformats.org/officeDocument/2006/relationships/chart" Target="../charts/chart10.xml"/><Relationship Id="rId5" Type="http://schemas.openxmlformats.org/officeDocument/2006/relationships/image" Target="../media/image28.png"/><Relationship Id="rId4" Type="http://schemas.openxmlformats.org/officeDocument/2006/relationships/image" Target="../media/image27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26.png"/><Relationship Id="rId7" Type="http://schemas.openxmlformats.org/officeDocument/2006/relationships/chart" Target="../charts/chart14.xml"/><Relationship Id="rId2" Type="http://schemas.openxmlformats.org/officeDocument/2006/relationships/image" Target="../media/image25.png"/><Relationship Id="rId1" Type="http://schemas.openxmlformats.org/officeDocument/2006/relationships/image" Target="../media/image24.png"/><Relationship Id="rId6" Type="http://schemas.openxmlformats.org/officeDocument/2006/relationships/chart" Target="../charts/chart13.xml"/><Relationship Id="rId5" Type="http://schemas.openxmlformats.org/officeDocument/2006/relationships/image" Target="../media/image28.png"/><Relationship Id="rId4" Type="http://schemas.openxmlformats.org/officeDocument/2006/relationships/image" Target="../media/image27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8.emf"/><Relationship Id="rId3" Type="http://schemas.openxmlformats.org/officeDocument/2006/relationships/image" Target="../media/image13.emf"/><Relationship Id="rId7" Type="http://schemas.openxmlformats.org/officeDocument/2006/relationships/image" Target="../media/image17.emf"/><Relationship Id="rId2" Type="http://schemas.openxmlformats.org/officeDocument/2006/relationships/image" Target="../media/image12.emf"/><Relationship Id="rId1" Type="http://schemas.openxmlformats.org/officeDocument/2006/relationships/image" Target="../media/image11.emf"/><Relationship Id="rId6" Type="http://schemas.openxmlformats.org/officeDocument/2006/relationships/image" Target="../media/image16.emf"/><Relationship Id="rId5" Type="http://schemas.openxmlformats.org/officeDocument/2006/relationships/image" Target="../media/image15.emf"/><Relationship Id="rId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353788</xdr:colOff>
      <xdr:row>14</xdr:row>
      <xdr:rowOff>363930</xdr:rowOff>
    </xdr:from>
    <xdr:to>
      <xdr:col>12</xdr:col>
      <xdr:colOff>367394</xdr:colOff>
      <xdr:row>15</xdr:row>
      <xdr:rowOff>316120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657606" y="5628657"/>
          <a:ext cx="6248152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587581</xdr:colOff>
      <xdr:row>14</xdr:row>
      <xdr:rowOff>353244</xdr:rowOff>
    </xdr:from>
    <xdr:to>
      <xdr:col>18</xdr:col>
      <xdr:colOff>1</xdr:colOff>
      <xdr:row>15</xdr:row>
      <xdr:rowOff>288222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25945" y="5617971"/>
          <a:ext cx="9664783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332757</xdr:colOff>
      <xdr:row>32</xdr:row>
      <xdr:rowOff>126176</xdr:rowOff>
    </xdr:from>
    <xdr:to>
      <xdr:col>12</xdr:col>
      <xdr:colOff>421821</xdr:colOff>
      <xdr:row>34</xdr:row>
      <xdr:rowOff>126175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636575" y="10569040"/>
          <a:ext cx="6323610" cy="3809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588818</xdr:colOff>
      <xdr:row>32</xdr:row>
      <xdr:rowOff>121228</xdr:rowOff>
    </xdr:from>
    <xdr:to>
      <xdr:col>18</xdr:col>
      <xdr:colOff>40822</xdr:colOff>
      <xdr:row>34</xdr:row>
      <xdr:rowOff>103910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27182" y="10564092"/>
          <a:ext cx="9704367" cy="363682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345129</xdr:colOff>
      <xdr:row>16</xdr:row>
      <xdr:rowOff>105517</xdr:rowOff>
    </xdr:from>
    <xdr:to>
      <xdr:col>12</xdr:col>
      <xdr:colOff>354899</xdr:colOff>
      <xdr:row>30</xdr:row>
      <xdr:rowOff>144977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173181</xdr:rowOff>
    </xdr:from>
    <xdr:to>
      <xdr:col>12</xdr:col>
      <xdr:colOff>415637</xdr:colOff>
      <xdr:row>47</xdr:row>
      <xdr:rowOff>294408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16</xdr:row>
      <xdr:rowOff>121227</xdr:rowOff>
    </xdr:from>
    <xdr:to>
      <xdr:col>17</xdr:col>
      <xdr:colOff>5645726</xdr:colOff>
      <xdr:row>30</xdr:row>
      <xdr:rowOff>160687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658091</xdr:colOff>
      <xdr:row>35</xdr:row>
      <xdr:rowOff>69273</xdr:rowOff>
    </xdr:from>
    <xdr:to>
      <xdr:col>17</xdr:col>
      <xdr:colOff>5663044</xdr:colOff>
      <xdr:row>47</xdr:row>
      <xdr:rowOff>207818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974912</xdr:colOff>
      <xdr:row>7</xdr:row>
      <xdr:rowOff>119291</xdr:rowOff>
    </xdr:from>
    <xdr:to>
      <xdr:col>7</xdr:col>
      <xdr:colOff>112059</xdr:colOff>
      <xdr:row>14</xdr:row>
      <xdr:rowOff>89646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16206" y="1508820"/>
          <a:ext cx="3877235" cy="13822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112059</xdr:colOff>
      <xdr:row>10</xdr:row>
      <xdr:rowOff>190500</xdr:rowOff>
    </xdr:from>
    <xdr:to>
      <xdr:col>13</xdr:col>
      <xdr:colOff>302559</xdr:colOff>
      <xdr:row>11</xdr:row>
      <xdr:rowOff>3616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 flipV="1">
          <a:off x="5793441" y="2185147"/>
          <a:ext cx="4773706" cy="148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1079447</xdr:colOff>
          <xdr:row>10</xdr:row>
          <xdr:rowOff>2721</xdr:rowOff>
        </xdr:from>
        <xdr:to>
          <xdr:col>7</xdr:col>
          <xdr:colOff>38100</xdr:colOff>
          <xdr:row>13</xdr:row>
          <xdr:rowOff>97972</xdr:rowOff>
        </xdr:to>
        <xdr:pic>
          <xdr:nvPicPr>
            <xdr:cNvPr id="22" name="Imagen 21">
              <a:extLst>
                <a:ext uri="{FF2B5EF4-FFF2-40B4-BE49-F238E27FC236}">
                  <a16:creationId xmlns:a16="http://schemas.microsoft.com/office/drawing/2014/main" id="{391F0781-EFDA-4B00-B4A9-911BFB4F1B0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:D5" spid="_x0000_s312329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9262"/>
            <a:stretch>
              <a:fillRect/>
            </a:stretch>
          </xdr:blipFill>
          <xdr:spPr bwMode="auto">
            <a:xfrm>
              <a:off x="2012897" y="1974396"/>
              <a:ext cx="3702103" cy="695326"/>
            </a:xfrm>
            <a:prstGeom prst="rect">
              <a:avLst/>
            </a:prstGeom>
            <a:noFill/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361067</xdr:colOff>
          <xdr:row>36</xdr:row>
          <xdr:rowOff>109537</xdr:rowOff>
        </xdr:from>
        <xdr:to>
          <xdr:col>5</xdr:col>
          <xdr:colOff>166687</xdr:colOff>
          <xdr:row>41</xdr:row>
          <xdr:rowOff>147637</xdr:rowOff>
        </xdr:to>
        <xdr:pic>
          <xdr:nvPicPr>
            <xdr:cNvPr id="23" name="Imagen 22">
              <a:extLst>
                <a:ext uri="{FF2B5EF4-FFF2-40B4-BE49-F238E27FC236}">
                  <a16:creationId xmlns:a16="http://schemas.microsoft.com/office/drawing/2014/main" id="{220077D2-3DEF-42C9-90EA-62AED3F314D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8:D21" spid="_x0000_s312330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8684"/>
            <a:stretch>
              <a:fillRect/>
            </a:stretch>
          </xdr:blipFill>
          <xdr:spPr bwMode="auto">
            <a:xfrm>
              <a:off x="361067" y="6967537"/>
              <a:ext cx="3948995" cy="990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652084</xdr:colOff>
          <xdr:row>18</xdr:row>
          <xdr:rowOff>117223</xdr:rowOff>
        </xdr:from>
        <xdr:to>
          <xdr:col>25</xdr:col>
          <xdr:colOff>484909</xdr:colOff>
          <xdr:row>28</xdr:row>
          <xdr:rowOff>176892</xdr:rowOff>
        </xdr:to>
        <xdr:pic>
          <xdr:nvPicPr>
            <xdr:cNvPr id="24" name="Imagen 23">
              <a:extLst>
                <a:ext uri="{FF2B5EF4-FFF2-40B4-BE49-F238E27FC236}">
                  <a16:creationId xmlns:a16="http://schemas.microsoft.com/office/drawing/2014/main" id="{0C358C81-E735-4AF4-B9CE-05A0EACB4BC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7:D11" spid="_x0000_s312331"/>
                </a:ext>
              </a:extLst>
            </xdr:cNvPicPr>
          </xdr:nvPicPr>
          <xdr:blipFill rotWithShape="1">
            <a:blip xmlns:r="http://schemas.openxmlformats.org/officeDocument/2006/relationships" r:embed="rId3"/>
            <a:srcRect r="9677"/>
            <a:stretch>
              <a:fillRect/>
            </a:stretch>
          </xdr:blipFill>
          <xdr:spPr bwMode="auto">
            <a:xfrm>
              <a:off x="14735477" y="3750330"/>
              <a:ext cx="5316503" cy="2100741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13:D16" spid="_x0000_s312332"/>
                </a:ext>
              </a:extLst>
            </xdr:cNvPicPr>
          </xdr:nvPicPr>
          <xdr:blipFill rotWithShape="1">
            <a:blip xmlns:r="http://schemas.openxmlformats.org/officeDocument/2006/relationships" r:embed="rId4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23:D30" spid="_x0000_s312333"/>
                </a:ext>
              </a:extLst>
            </xdr:cNvPicPr>
          </xdr:nvPicPr>
          <xdr:blipFill rotWithShape="1">
            <a:blip xmlns:r="http://schemas.openxmlformats.org/officeDocument/2006/relationships" r:embed="rId5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45659</xdr:colOff>
          <xdr:row>36</xdr:row>
          <xdr:rowOff>68036</xdr:rowOff>
        </xdr:from>
        <xdr:to>
          <xdr:col>23</xdr:col>
          <xdr:colOff>571500</xdr:colOff>
          <xdr:row>43</xdr:row>
          <xdr:rowOff>122465</xdr:rowOff>
        </xdr:to>
        <xdr:pic>
          <xdr:nvPicPr>
            <xdr:cNvPr id="27" name="Imagen 26">
              <a:extLst>
                <a:ext uri="{FF2B5EF4-FFF2-40B4-BE49-F238E27FC236}">
                  <a16:creationId xmlns:a16="http://schemas.microsoft.com/office/drawing/2014/main" id="{5D721D99-C231-40FC-A4AE-89DCF8CA7A4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2:D37" spid="_x0000_s312334"/>
                </a:ext>
              </a:extLst>
            </xdr:cNvPicPr>
          </xdr:nvPicPr>
          <xdr:blipFill rotWithShape="1">
            <a:blip xmlns:r="http://schemas.openxmlformats.org/officeDocument/2006/relationships" r:embed="rId6"/>
            <a:srcRect r="9481"/>
            <a:stretch>
              <a:fillRect/>
            </a:stretch>
          </xdr:blipFill>
          <xdr:spPr bwMode="auto">
            <a:xfrm>
              <a:off x="13367052" y="7375072"/>
              <a:ext cx="5247519" cy="148317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610719</xdr:colOff>
          <xdr:row>53</xdr:row>
          <xdr:rowOff>33985</xdr:rowOff>
        </xdr:from>
        <xdr:to>
          <xdr:col>18</xdr:col>
          <xdr:colOff>456755</xdr:colOff>
          <xdr:row>60</xdr:row>
          <xdr:rowOff>476251</xdr:rowOff>
        </xdr:to>
        <xdr:pic>
          <xdr:nvPicPr>
            <xdr:cNvPr id="28" name="Imagen 27">
              <a:extLst>
                <a:ext uri="{FF2B5EF4-FFF2-40B4-BE49-F238E27FC236}">
                  <a16:creationId xmlns:a16="http://schemas.microsoft.com/office/drawing/2014/main" id="{9473013A-66B9-4250-A5FA-3BFE778915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39:D45" spid="_x0000_s312335"/>
                </a:ext>
              </a:extLst>
            </xdr:cNvPicPr>
          </xdr:nvPicPr>
          <xdr:blipFill rotWithShape="1">
            <a:blip xmlns:r="http://schemas.openxmlformats.org/officeDocument/2006/relationships" r:embed="rId7"/>
            <a:srcRect r="9731"/>
            <a:stretch>
              <a:fillRect/>
            </a:stretch>
          </xdr:blipFill>
          <xdr:spPr bwMode="auto">
            <a:xfrm>
              <a:off x="9346505" y="10810842"/>
              <a:ext cx="5193643" cy="187101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550478</xdr:colOff>
          <xdr:row>53</xdr:row>
          <xdr:rowOff>47760</xdr:rowOff>
        </xdr:from>
        <xdr:to>
          <xdr:col>26</xdr:col>
          <xdr:colOff>1578427</xdr:colOff>
          <xdr:row>60</xdr:row>
          <xdr:rowOff>625929</xdr:rowOff>
        </xdr:to>
        <xdr:pic>
          <xdr:nvPicPr>
            <xdr:cNvPr id="29" name="Imagen 28">
              <a:extLst>
                <a:ext uri="{FF2B5EF4-FFF2-40B4-BE49-F238E27FC236}">
                  <a16:creationId xmlns:a16="http://schemas.microsoft.com/office/drawing/2014/main" id="{0BD8BBAE-A411-4EDA-8B37-99E18333D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C47:D53" spid="_x0000_s312336"/>
                </a:ext>
              </a:extLst>
            </xdr:cNvPicPr>
          </xdr:nvPicPr>
          <xdr:blipFill rotWithShape="1">
            <a:blip xmlns:r="http://schemas.openxmlformats.org/officeDocument/2006/relationships" r:embed="rId8"/>
            <a:srcRect r="8242"/>
            <a:stretch>
              <a:fillRect/>
            </a:stretch>
          </xdr:blipFill>
          <xdr:spPr bwMode="auto">
            <a:xfrm>
              <a:off x="16157871" y="10824617"/>
              <a:ext cx="5599949" cy="200691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224743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5</xdr:row>
      <xdr:rowOff>78440</xdr:rowOff>
    </xdr:from>
    <xdr:to>
      <xdr:col>17</xdr:col>
      <xdr:colOff>840442</xdr:colOff>
      <xdr:row>7</xdr:row>
      <xdr:rowOff>133274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057530" y="1367116"/>
          <a:ext cx="750794" cy="7608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128293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136071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231320</xdr:colOff>
      <xdr:row>40</xdr:row>
      <xdr:rowOff>71038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354831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217715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204108</xdr:colOff>
      <xdr:row>3</xdr:row>
      <xdr:rowOff>2</xdr:rowOff>
    </xdr:from>
    <xdr:to>
      <xdr:col>7</xdr:col>
      <xdr:colOff>2598966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99331</xdr:colOff>
      <xdr:row>5</xdr:row>
      <xdr:rowOff>74839</xdr:rowOff>
    </xdr:from>
    <xdr:to>
      <xdr:col>7</xdr:col>
      <xdr:colOff>30058</xdr:colOff>
      <xdr:row>6</xdr:row>
      <xdr:rowOff>371959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67031" y="1398814"/>
          <a:ext cx="959427" cy="954345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5</xdr:row>
      <xdr:rowOff>81643</xdr:rowOff>
    </xdr:from>
    <xdr:to>
      <xdr:col>9</xdr:col>
      <xdr:colOff>1209960</xdr:colOff>
      <xdr:row>6</xdr:row>
      <xdr:rowOff>294980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035643" y="1183822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54429</xdr:rowOff>
    </xdr:from>
    <xdr:to>
      <xdr:col>13</xdr:col>
      <xdr:colOff>41086</xdr:colOff>
      <xdr:row>6</xdr:row>
      <xdr:rowOff>333342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00071" y="1156608"/>
          <a:ext cx="1240618" cy="932055"/>
        </a:xfrm>
        <a:prstGeom prst="rect">
          <a:avLst/>
        </a:prstGeom>
      </xdr:spPr>
    </xdr:pic>
    <xdr:clientData/>
  </xdr:twoCellAnchor>
  <xdr:twoCellAnchor>
    <xdr:from>
      <xdr:col>5</xdr:col>
      <xdr:colOff>752101</xdr:colOff>
      <xdr:row>7</xdr:row>
      <xdr:rowOff>267225</xdr:rowOff>
    </xdr:from>
    <xdr:to>
      <xdr:col>13</xdr:col>
      <xdr:colOff>1327684</xdr:colOff>
      <xdr:row>15</xdr:row>
      <xdr:rowOff>1283291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231322</xdr:colOff>
      <xdr:row>25</xdr:row>
      <xdr:rowOff>125186</xdr:rowOff>
    </xdr:from>
    <xdr:to>
      <xdr:col>6</xdr:col>
      <xdr:colOff>27214</xdr:colOff>
      <xdr:row>36</xdr:row>
      <xdr:rowOff>231321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89646</xdr:colOff>
      <xdr:row>15</xdr:row>
      <xdr:rowOff>179295</xdr:rowOff>
    </xdr:from>
    <xdr:to>
      <xdr:col>5</xdr:col>
      <xdr:colOff>168088</xdr:colOff>
      <xdr:row>21</xdr:row>
      <xdr:rowOff>280148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5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</row>
    <row r="2" spans="1:24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</row>
    <row r="3" spans="1:24">
      <c r="A3" s="85"/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</row>
    <row r="4" spans="1:24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</row>
    <row r="5" spans="1:24">
      <c r="A5" s="85"/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</row>
    <row r="6" spans="1:24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</row>
    <row r="7" spans="1:24">
      <c r="A7" s="85"/>
      <c r="B7" s="82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</row>
    <row r="8" spans="1:24">
      <c r="A8" s="85"/>
      <c r="B8" s="82"/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3"/>
      <c r="Q8" s="85"/>
      <c r="R8" s="85"/>
      <c r="S8" s="85"/>
      <c r="T8" s="85"/>
      <c r="U8" s="85"/>
      <c r="V8" s="85"/>
      <c r="W8" s="85"/>
      <c r="X8" s="85"/>
    </row>
    <row r="9" spans="1:24">
      <c r="A9" s="85"/>
      <c r="B9" s="82"/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3"/>
      <c r="Q9" s="85"/>
      <c r="R9" s="85"/>
      <c r="S9" s="85"/>
      <c r="T9" s="85"/>
      <c r="U9" s="85"/>
      <c r="V9" s="85"/>
      <c r="W9" s="85"/>
      <c r="X9" s="85"/>
    </row>
    <row r="10" spans="1:24">
      <c r="A10" s="85"/>
      <c r="B10" s="82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3"/>
      <c r="Q10" s="85"/>
      <c r="R10" s="85"/>
      <c r="S10" s="85"/>
      <c r="T10" s="85"/>
      <c r="U10" s="85"/>
      <c r="V10" s="85"/>
      <c r="W10" s="85"/>
      <c r="X10" s="85"/>
    </row>
    <row r="11" spans="1:24" ht="39.75" customHeight="1">
      <c r="A11" s="85"/>
      <c r="B11" s="82"/>
      <c r="C11" s="221"/>
      <c r="D11" s="221"/>
      <c r="E11" s="226"/>
      <c r="F11" s="227" t="s">
        <v>170</v>
      </c>
      <c r="G11" s="609">
        <v>2025</v>
      </c>
      <c r="H11" s="609"/>
      <c r="I11" s="85"/>
      <c r="J11" s="85"/>
      <c r="K11" s="85"/>
      <c r="L11" s="85"/>
      <c r="M11" s="85"/>
      <c r="N11" s="85"/>
      <c r="O11" s="85"/>
      <c r="P11" s="83"/>
      <c r="Q11" s="85"/>
      <c r="R11" s="85"/>
      <c r="S11" s="85"/>
      <c r="T11" s="85"/>
      <c r="U11" s="85"/>
      <c r="V11" s="85"/>
      <c r="W11" s="85"/>
      <c r="X11" s="85"/>
    </row>
    <row r="12" spans="1:24" ht="26.25" customHeight="1">
      <c r="A12" s="85"/>
      <c r="B12" s="82"/>
      <c r="C12" s="85"/>
      <c r="D12" s="85"/>
      <c r="E12" s="228"/>
      <c r="F12" s="610" t="s">
        <v>338</v>
      </c>
      <c r="G12" s="611"/>
      <c r="H12" s="85"/>
      <c r="I12" s="85"/>
      <c r="J12" s="85"/>
      <c r="K12" s="85"/>
      <c r="L12" s="85"/>
      <c r="M12" s="85"/>
      <c r="N12" s="85"/>
      <c r="O12" s="85"/>
      <c r="P12" s="83"/>
      <c r="Q12" s="85"/>
      <c r="R12" s="85"/>
      <c r="S12" s="85"/>
      <c r="T12" s="85"/>
      <c r="U12" s="85"/>
      <c r="V12" s="85"/>
      <c r="W12" s="85"/>
      <c r="X12" s="85"/>
    </row>
    <row r="13" spans="1:24" ht="53.25" customHeight="1">
      <c r="A13" s="85"/>
      <c r="B13" s="82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3"/>
      <c r="Q13" s="85"/>
      <c r="R13" s="85"/>
      <c r="S13" s="85"/>
      <c r="T13" s="85"/>
      <c r="U13" s="85"/>
      <c r="V13" s="85"/>
      <c r="W13" s="85"/>
      <c r="X13" s="85"/>
    </row>
    <row r="14" spans="1:24">
      <c r="A14" s="85"/>
      <c r="B14" s="82"/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3"/>
      <c r="Q14" s="85"/>
      <c r="R14" s="85"/>
      <c r="S14" s="85"/>
      <c r="T14" s="85"/>
      <c r="U14" s="85"/>
      <c r="V14" s="85"/>
      <c r="W14" s="85"/>
      <c r="X14" s="85"/>
    </row>
    <row r="15" spans="1:24" ht="18.75">
      <c r="A15" s="85"/>
      <c r="B15" s="82"/>
      <c r="C15" s="85"/>
      <c r="D15" s="85"/>
      <c r="E15" s="225"/>
      <c r="F15" s="607" t="s">
        <v>171</v>
      </c>
      <c r="G15" s="607"/>
      <c r="H15" s="85"/>
      <c r="I15" s="85"/>
      <c r="J15" s="85"/>
      <c r="K15" s="85"/>
      <c r="L15" s="85"/>
      <c r="M15" s="85"/>
      <c r="N15" s="85"/>
      <c r="O15" s="85"/>
      <c r="P15" s="83"/>
      <c r="Q15" s="85"/>
      <c r="R15" s="85"/>
      <c r="S15" s="85"/>
      <c r="T15" s="85"/>
      <c r="U15" s="85"/>
      <c r="V15" s="85"/>
      <c r="W15" s="85"/>
      <c r="X15" s="85"/>
    </row>
    <row r="16" spans="1:24" ht="18.75">
      <c r="A16" s="85"/>
      <c r="B16" s="82"/>
      <c r="C16" s="85"/>
      <c r="D16" s="85"/>
      <c r="E16" s="225"/>
      <c r="F16" s="607" t="s">
        <v>172</v>
      </c>
      <c r="G16" s="607"/>
      <c r="H16" s="85"/>
      <c r="I16" s="85"/>
      <c r="J16" s="85"/>
      <c r="K16" s="85"/>
      <c r="L16" s="85"/>
      <c r="M16" s="85"/>
      <c r="N16" s="85"/>
      <c r="O16" s="85"/>
      <c r="P16" s="83"/>
      <c r="Q16" s="85"/>
      <c r="R16" s="85"/>
      <c r="S16" s="85"/>
      <c r="T16" s="85"/>
      <c r="U16" s="85"/>
      <c r="V16" s="85"/>
      <c r="W16" s="85"/>
      <c r="X16" s="85"/>
    </row>
    <row r="17" spans="1:24" ht="21" customHeight="1">
      <c r="A17" s="85"/>
      <c r="B17" s="82"/>
      <c r="C17" s="85"/>
      <c r="D17" s="85"/>
      <c r="E17" s="222"/>
      <c r="F17" s="223"/>
      <c r="G17" s="223"/>
      <c r="H17" s="85"/>
      <c r="I17" s="85"/>
      <c r="J17" s="85"/>
      <c r="K17" s="85"/>
      <c r="L17" s="85"/>
      <c r="M17" s="85"/>
      <c r="N17" s="85"/>
      <c r="O17" s="85"/>
      <c r="P17" s="83"/>
      <c r="Q17" s="85"/>
      <c r="R17" s="85"/>
      <c r="S17" s="85"/>
      <c r="T17" s="85"/>
      <c r="U17" s="85"/>
      <c r="V17" s="85"/>
      <c r="W17" s="85"/>
      <c r="X17" s="85"/>
    </row>
    <row r="18" spans="1:24" ht="18.75">
      <c r="A18" s="85"/>
      <c r="B18" s="82"/>
      <c r="C18" s="85"/>
      <c r="D18" s="85"/>
      <c r="E18" s="224"/>
      <c r="F18" s="608" t="s">
        <v>173</v>
      </c>
      <c r="G18" s="608"/>
      <c r="H18" s="85"/>
      <c r="I18" s="85"/>
      <c r="J18" s="85"/>
      <c r="K18" s="85"/>
      <c r="L18" s="85"/>
      <c r="M18" s="85"/>
      <c r="N18" s="85"/>
      <c r="O18" s="85"/>
      <c r="P18" s="83"/>
      <c r="Q18" s="85"/>
      <c r="R18" s="85"/>
      <c r="S18" s="85"/>
      <c r="T18" s="85"/>
      <c r="U18" s="85"/>
      <c r="V18" s="85"/>
      <c r="W18" s="85"/>
      <c r="X18" s="85"/>
    </row>
    <row r="19" spans="1:24">
      <c r="A19" s="85"/>
      <c r="B19" s="82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3"/>
      <c r="Q19" s="85"/>
      <c r="R19" s="85"/>
      <c r="S19" s="85"/>
      <c r="T19" s="85"/>
      <c r="U19" s="85"/>
      <c r="V19" s="85"/>
      <c r="W19" s="85"/>
      <c r="X19" s="85"/>
    </row>
    <row r="20" spans="1:24">
      <c r="A20" s="85"/>
      <c r="B20" s="82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3"/>
      <c r="Q20" s="85"/>
      <c r="R20" s="85"/>
      <c r="S20" s="85"/>
      <c r="T20" s="85"/>
      <c r="U20" s="85"/>
      <c r="V20" s="85"/>
      <c r="W20" s="85"/>
      <c r="X20" s="85"/>
    </row>
    <row r="21" spans="1:24">
      <c r="A21" s="85"/>
      <c r="B21" s="82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3"/>
      <c r="Q21" s="85"/>
      <c r="R21" s="85"/>
      <c r="S21" s="85"/>
      <c r="T21" s="85"/>
      <c r="U21" s="85"/>
      <c r="V21" s="85"/>
      <c r="W21" s="85"/>
      <c r="X21" s="85"/>
    </row>
    <row r="22" spans="1:24">
      <c r="A22" s="85"/>
      <c r="B22" s="82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3"/>
      <c r="Q22" s="85"/>
      <c r="R22" s="85"/>
      <c r="S22" s="85"/>
      <c r="T22" s="85"/>
      <c r="U22" s="85"/>
      <c r="V22" s="85"/>
      <c r="W22" s="85"/>
      <c r="X22" s="85"/>
    </row>
    <row r="23" spans="1:24">
      <c r="A23" s="85"/>
      <c r="B23" s="82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3"/>
      <c r="Q23" s="85"/>
      <c r="R23" s="85"/>
      <c r="S23" s="85"/>
      <c r="T23" s="85"/>
      <c r="U23" s="85"/>
      <c r="V23" s="85"/>
      <c r="W23" s="85"/>
      <c r="X23" s="85"/>
    </row>
    <row r="24" spans="1:24">
      <c r="A24" s="85"/>
      <c r="B24" s="82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3"/>
      <c r="Q24" s="85"/>
      <c r="R24" s="85"/>
      <c r="S24" s="85"/>
      <c r="T24" s="85"/>
      <c r="U24" s="85"/>
      <c r="V24" s="85"/>
      <c r="W24" s="85"/>
      <c r="X24" s="85"/>
    </row>
    <row r="25" spans="1:24">
      <c r="A25" s="85"/>
      <c r="B25" s="82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3"/>
      <c r="Q25" s="85"/>
      <c r="R25" s="85"/>
      <c r="S25" s="85"/>
      <c r="T25" s="85"/>
      <c r="U25" s="85"/>
      <c r="V25" s="85"/>
      <c r="W25" s="85"/>
      <c r="X25" s="85"/>
    </row>
    <row r="26" spans="1:24">
      <c r="A26" s="85"/>
      <c r="B26" s="82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3"/>
      <c r="Q26" s="85"/>
      <c r="R26" s="85"/>
      <c r="S26" s="85"/>
      <c r="T26" s="85"/>
      <c r="U26" s="85"/>
      <c r="V26" s="85"/>
      <c r="W26" s="85"/>
      <c r="X26" s="85"/>
    </row>
    <row r="27" spans="1:24">
      <c r="A27" s="85"/>
      <c r="B27" s="82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3"/>
      <c r="Q27" s="85"/>
      <c r="R27" s="85"/>
      <c r="S27" s="85"/>
      <c r="T27" s="85"/>
      <c r="U27" s="85"/>
      <c r="V27" s="85"/>
      <c r="W27" s="85"/>
      <c r="X27" s="85"/>
    </row>
    <row r="28" spans="1:24">
      <c r="A28" s="85"/>
      <c r="B28" s="82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3"/>
      <c r="Q28" s="85"/>
      <c r="R28" s="85"/>
      <c r="S28" s="85"/>
      <c r="T28" s="85"/>
      <c r="U28" s="85"/>
      <c r="V28" s="85"/>
      <c r="W28" s="85"/>
      <c r="X28" s="85"/>
    </row>
    <row r="29" spans="1:24">
      <c r="A29" s="85"/>
      <c r="B29" s="82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3"/>
      <c r="Q29" s="85"/>
      <c r="R29" s="85"/>
      <c r="S29" s="85"/>
      <c r="T29" s="85"/>
      <c r="U29" s="85"/>
      <c r="V29" s="85"/>
      <c r="W29" s="85"/>
      <c r="X29" s="85"/>
    </row>
    <row r="30" spans="1:24">
      <c r="A30" s="85"/>
      <c r="B30" s="82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3"/>
      <c r="Q30" s="85"/>
      <c r="R30" s="85"/>
      <c r="S30" s="85"/>
      <c r="T30" s="85"/>
      <c r="U30" s="85"/>
      <c r="V30" s="85"/>
      <c r="W30" s="85"/>
      <c r="X30" s="85"/>
    </row>
    <row r="31" spans="1:24">
      <c r="A31" s="85"/>
      <c r="B31" s="82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3"/>
      <c r="Q31" s="85"/>
      <c r="R31" s="85"/>
      <c r="S31" s="85"/>
      <c r="T31" s="85"/>
      <c r="U31" s="85"/>
      <c r="V31" s="85"/>
      <c r="W31" s="85"/>
      <c r="X31" s="85"/>
    </row>
    <row r="32" spans="1:24">
      <c r="A32" s="85"/>
      <c r="B32" s="82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3"/>
      <c r="Q32" s="85"/>
      <c r="R32" s="85"/>
      <c r="S32" s="85"/>
      <c r="T32" s="85"/>
      <c r="U32" s="85"/>
      <c r="V32" s="85"/>
      <c r="W32" s="85"/>
      <c r="X32" s="85"/>
    </row>
    <row r="33" spans="1:24" ht="23.25" customHeight="1">
      <c r="A33" s="85"/>
      <c r="B33" s="82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3"/>
      <c r="Q33" s="85"/>
      <c r="R33" s="85"/>
      <c r="S33" s="85"/>
      <c r="T33" s="85"/>
      <c r="U33" s="85"/>
      <c r="V33" s="85"/>
      <c r="W33" s="85"/>
      <c r="X33" s="85"/>
    </row>
    <row r="34" spans="1:24">
      <c r="A34" s="85"/>
      <c r="B34" s="82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3"/>
      <c r="Q34" s="85"/>
      <c r="R34" s="85"/>
      <c r="S34" s="85"/>
      <c r="T34" s="85"/>
      <c r="U34" s="85"/>
      <c r="V34" s="85"/>
      <c r="W34" s="85"/>
      <c r="X34" s="85"/>
    </row>
    <row r="35" spans="1:24">
      <c r="A35" s="85"/>
      <c r="B35" s="82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3"/>
      <c r="Q35" s="85"/>
      <c r="R35" s="85"/>
      <c r="S35" s="85"/>
      <c r="T35" s="85"/>
      <c r="U35" s="85"/>
      <c r="V35" s="85"/>
      <c r="W35" s="85"/>
      <c r="X35" s="85"/>
    </row>
    <row r="36" spans="1:24">
      <c r="A36" s="85"/>
      <c r="B36" s="82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3"/>
      <c r="Q36" s="85"/>
      <c r="R36" s="85"/>
      <c r="S36" s="85"/>
      <c r="T36" s="85"/>
      <c r="U36" s="85"/>
      <c r="V36" s="85"/>
      <c r="W36" s="85"/>
      <c r="X36" s="85"/>
    </row>
    <row r="37" spans="1:24">
      <c r="A37" s="85"/>
      <c r="B37" s="82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3"/>
      <c r="Q37" s="85"/>
      <c r="R37" s="85"/>
      <c r="S37" s="85"/>
      <c r="T37" s="85"/>
      <c r="U37" s="85"/>
      <c r="V37" s="85"/>
      <c r="W37" s="85"/>
      <c r="X37" s="85"/>
    </row>
    <row r="38" spans="1:24">
      <c r="A38" s="85"/>
      <c r="B38" s="82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3"/>
      <c r="Q38" s="85"/>
      <c r="R38" s="85"/>
      <c r="S38" s="85"/>
      <c r="T38" s="85"/>
      <c r="U38" s="85"/>
      <c r="V38" s="85"/>
      <c r="W38" s="85"/>
      <c r="X38" s="85"/>
    </row>
    <row r="39" spans="1:24">
      <c r="A39" s="85"/>
      <c r="B39" s="82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3"/>
      <c r="Q39" s="85"/>
      <c r="R39" s="85"/>
      <c r="S39" s="85"/>
      <c r="T39" s="85"/>
      <c r="U39" s="85"/>
      <c r="V39" s="85"/>
      <c r="W39" s="85"/>
      <c r="X39" s="85"/>
    </row>
    <row r="40" spans="1:24"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</row>
    <row r="41" spans="1:24">
      <c r="I41" s="107"/>
      <c r="J41" s="107"/>
      <c r="K41" s="107"/>
      <c r="L41" s="107"/>
      <c r="M41" s="107"/>
      <c r="N41" s="107"/>
      <c r="O41" s="85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14" zoomScale="40" zoomScaleNormal="70" zoomScaleSheetLayoutView="40" zoomScalePageLayoutView="25" workbookViewId="0">
      <selection activeCell="T39" sqref="T39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8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2"/>
    </row>
    <row r="2" spans="1:19" ht="37.35" customHeight="1">
      <c r="A2" s="24"/>
      <c r="B2" s="385"/>
      <c r="C2" s="385"/>
      <c r="D2" s="385"/>
      <c r="E2" s="385"/>
      <c r="F2" s="385"/>
      <c r="G2" s="385"/>
      <c r="H2" s="385"/>
      <c r="I2" s="385"/>
      <c r="J2" s="623" t="s">
        <v>177</v>
      </c>
      <c r="K2" s="623"/>
      <c r="L2" s="623"/>
      <c r="M2" s="623"/>
      <c r="N2" s="623"/>
      <c r="O2" s="623"/>
      <c r="P2" s="385"/>
      <c r="Q2" s="385"/>
      <c r="R2" s="385"/>
      <c r="S2" s="23"/>
    </row>
    <row r="3" spans="1:19" ht="7.35" customHeight="1">
      <c r="A3" s="24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23"/>
    </row>
    <row r="4" spans="1:19" ht="33" customHeight="1">
      <c r="A4" s="24"/>
      <c r="B4" s="386" t="s">
        <v>174</v>
      </c>
      <c r="C4" s="386"/>
      <c r="D4" s="386"/>
      <c r="E4" s="386"/>
      <c r="F4" s="386"/>
      <c r="G4" s="386"/>
      <c r="H4" s="386"/>
      <c r="I4" s="386" t="s">
        <v>175</v>
      </c>
      <c r="J4" s="622" t="s">
        <v>176</v>
      </c>
      <c r="K4" s="622"/>
      <c r="L4" s="622"/>
      <c r="M4" s="622"/>
      <c r="N4" s="622"/>
      <c r="O4" s="622"/>
      <c r="P4" s="387"/>
      <c r="Q4" s="387"/>
      <c r="R4" s="388"/>
      <c r="S4" s="23"/>
    </row>
    <row r="5" spans="1:19" ht="29.25" customHeight="1">
      <c r="A5" s="24"/>
      <c r="B5" s="389"/>
      <c r="C5" s="389"/>
      <c r="D5" s="389"/>
      <c r="E5" s="389"/>
      <c r="F5" s="389"/>
      <c r="G5" s="389"/>
      <c r="H5" s="389"/>
      <c r="I5" s="390"/>
      <c r="J5" s="615" t="s">
        <v>158</v>
      </c>
      <c r="K5" s="615"/>
      <c r="L5" s="615"/>
      <c r="M5" s="615"/>
      <c r="N5" s="627" t="s">
        <v>338</v>
      </c>
      <c r="O5" s="627"/>
      <c r="P5" s="627"/>
      <c r="Q5" s="391"/>
      <c r="R5" s="391"/>
      <c r="S5" s="23"/>
    </row>
    <row r="6" spans="1:19" ht="23.25" customHeight="1" thickBot="1">
      <c r="A6" s="24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23"/>
    </row>
    <row r="7" spans="1:19" ht="12.75" hidden="1" customHeight="1">
      <c r="A7" s="24"/>
    </row>
    <row r="8" spans="1:19" ht="45.75" customHeight="1" thickBot="1">
      <c r="A8" s="24"/>
      <c r="C8" s="618" t="str">
        <f>_xlfn.CONCAT("PERIODO ", N5)</f>
        <v>PERIODO MAYO - 2025</v>
      </c>
      <c r="D8" s="619"/>
      <c r="E8" s="620"/>
      <c r="G8" s="59" t="s">
        <v>1</v>
      </c>
      <c r="H8" s="43"/>
      <c r="I8" s="43"/>
      <c r="J8" s="43"/>
      <c r="K8" s="44" t="s">
        <v>2</v>
      </c>
      <c r="L8" s="43"/>
      <c r="M8" s="44" t="s">
        <v>3</v>
      </c>
      <c r="N8" s="43"/>
      <c r="O8" s="44" t="s">
        <v>4</v>
      </c>
      <c r="P8" s="43"/>
      <c r="Q8" s="43"/>
      <c r="R8" s="58" t="s">
        <v>5</v>
      </c>
      <c r="S8" s="23"/>
    </row>
    <row r="9" spans="1:19" ht="23.25" customHeight="1">
      <c r="A9" s="24"/>
      <c r="G9" s="45"/>
      <c r="H9" s="46"/>
      <c r="I9" s="46"/>
      <c r="J9" s="46"/>
      <c r="K9" s="266"/>
      <c r="L9" s="46"/>
      <c r="M9" s="46"/>
      <c r="N9" s="46"/>
      <c r="O9" s="46"/>
      <c r="P9" s="46"/>
      <c r="Q9" s="46"/>
      <c r="R9" s="47"/>
      <c r="S9" s="23"/>
    </row>
    <row r="10" spans="1:19" ht="42" customHeight="1">
      <c r="A10" s="24"/>
      <c r="C10" s="621" t="s">
        <v>5</v>
      </c>
      <c r="D10" s="621"/>
      <c r="E10" s="621"/>
      <c r="G10" s="79" t="s">
        <v>8</v>
      </c>
      <c r="H10" s="48"/>
      <c r="I10" s="48"/>
      <c r="J10" s="39"/>
      <c r="K10" s="49">
        <v>34</v>
      </c>
      <c r="L10" s="48"/>
      <c r="M10" s="39">
        <v>0</v>
      </c>
      <c r="N10" s="48"/>
      <c r="O10" s="39">
        <v>0</v>
      </c>
      <c r="P10" s="48"/>
      <c r="Q10" s="48"/>
      <c r="R10" s="50">
        <f>SUM($K10:$O10)</f>
        <v>34</v>
      </c>
      <c r="S10" s="23"/>
    </row>
    <row r="11" spans="1:19" ht="36" customHeight="1">
      <c r="A11" s="24"/>
      <c r="C11" s="72" t="s">
        <v>6</v>
      </c>
      <c r="D11" s="614">
        <f>R13</f>
        <v>6</v>
      </c>
      <c r="E11" s="614"/>
      <c r="G11" s="51" t="s">
        <v>9</v>
      </c>
      <c r="H11" s="48"/>
      <c r="I11" s="48"/>
      <c r="J11" s="39"/>
      <c r="K11" s="49">
        <v>78</v>
      </c>
      <c r="L11" s="48"/>
      <c r="M11" s="39">
        <v>0</v>
      </c>
      <c r="N11" s="48"/>
      <c r="O11" s="39">
        <v>0</v>
      </c>
      <c r="P11" s="48"/>
      <c r="Q11" s="48"/>
      <c r="R11" s="50">
        <f t="shared" ref="R11:R13" si="0">SUM($K11:$O11)</f>
        <v>78</v>
      </c>
      <c r="S11" s="23"/>
    </row>
    <row r="12" spans="1:19" ht="43.5" customHeight="1">
      <c r="A12" s="24"/>
      <c r="C12" s="64" t="s">
        <v>7</v>
      </c>
      <c r="D12" s="614">
        <f>R12</f>
        <v>4</v>
      </c>
      <c r="E12" s="614"/>
      <c r="G12" s="51" t="s">
        <v>7</v>
      </c>
      <c r="H12" s="48"/>
      <c r="I12" s="48"/>
      <c r="J12" s="39"/>
      <c r="K12" s="49">
        <v>4</v>
      </c>
      <c r="L12" s="48"/>
      <c r="M12" s="39">
        <v>0</v>
      </c>
      <c r="N12" s="48"/>
      <c r="O12" s="39">
        <v>0</v>
      </c>
      <c r="P12" s="48"/>
      <c r="Q12" s="48"/>
      <c r="R12" s="50">
        <f t="shared" si="0"/>
        <v>4</v>
      </c>
      <c r="S12" s="23"/>
    </row>
    <row r="13" spans="1:19" ht="36.75" customHeight="1">
      <c r="A13" s="24"/>
      <c r="C13" s="64" t="s">
        <v>8</v>
      </c>
      <c r="D13" s="614">
        <f>R10</f>
        <v>34</v>
      </c>
      <c r="E13" s="614"/>
      <c r="G13" s="80" t="s">
        <v>6</v>
      </c>
      <c r="H13" s="52"/>
      <c r="I13" s="48"/>
      <c r="J13" s="39"/>
      <c r="K13" s="49">
        <v>6</v>
      </c>
      <c r="L13" s="48"/>
      <c r="M13" s="39">
        <v>0</v>
      </c>
      <c r="N13" s="48"/>
      <c r="O13" s="39">
        <v>0</v>
      </c>
      <c r="P13" s="48"/>
      <c r="Q13" s="48"/>
      <c r="R13" s="50">
        <f t="shared" si="0"/>
        <v>6</v>
      </c>
      <c r="S13" s="23"/>
    </row>
    <row r="14" spans="1:19" ht="53.25" customHeight="1">
      <c r="A14" s="24"/>
      <c r="C14" s="64" t="s">
        <v>9</v>
      </c>
      <c r="D14" s="614">
        <f>R11</f>
        <v>78</v>
      </c>
      <c r="E14" s="614"/>
      <c r="G14" s="57" t="s">
        <v>10</v>
      </c>
      <c r="H14" s="53"/>
      <c r="I14" s="54"/>
      <c r="J14" s="55"/>
      <c r="K14" s="55">
        <f>SUM(K10:K13)</f>
        <v>122</v>
      </c>
      <c r="L14" s="54"/>
      <c r="M14" s="55">
        <f>SUM(M10:M13)</f>
        <v>0</v>
      </c>
      <c r="N14" s="54"/>
      <c r="O14" s="55">
        <f>SUM(O10:O13)</f>
        <v>0</v>
      </c>
      <c r="P14" s="54"/>
      <c r="Q14" s="54"/>
      <c r="R14" s="56">
        <f>SUM(R10:R13)</f>
        <v>122</v>
      </c>
      <c r="S14" s="23"/>
    </row>
    <row r="15" spans="1:19" ht="38.25" customHeight="1">
      <c r="A15" s="24"/>
      <c r="C15" s="40" t="s">
        <v>11</v>
      </c>
      <c r="D15" s="613">
        <f>R14</f>
        <v>122</v>
      </c>
      <c r="E15" s="613"/>
      <c r="H15" s="38"/>
      <c r="M15" s="38"/>
      <c r="N15" s="38"/>
      <c r="O15" s="38"/>
      <c r="S15" s="23"/>
    </row>
    <row r="16" spans="1:19" ht="27" customHeight="1">
      <c r="A16" s="24"/>
      <c r="H16" s="39"/>
      <c r="O16" s="39"/>
      <c r="S16" s="23"/>
    </row>
    <row r="17" spans="1:19" ht="17.25" customHeight="1">
      <c r="A17" s="24"/>
      <c r="S17" s="23"/>
    </row>
    <row r="18" spans="1:19" ht="28.5" customHeight="1">
      <c r="A18" s="24"/>
      <c r="S18" s="23"/>
    </row>
    <row r="19" spans="1:19" ht="12" customHeight="1">
      <c r="A19" s="24"/>
      <c r="S19" s="23"/>
    </row>
    <row r="20" spans="1:19" ht="15" customHeight="1">
      <c r="A20" s="24"/>
      <c r="S20" s="23"/>
    </row>
    <row r="21" spans="1:19" ht="9.75" customHeight="1">
      <c r="A21" s="24"/>
      <c r="S21" s="23"/>
    </row>
    <row r="22" spans="1:19" ht="5.25" customHeight="1">
      <c r="A22" s="24"/>
      <c r="S22" s="23"/>
    </row>
    <row r="23" spans="1:19" ht="9.75" customHeight="1">
      <c r="A23" s="24"/>
      <c r="S23" s="23"/>
    </row>
    <row r="24" spans="1:19" ht="50.25" customHeight="1">
      <c r="A24" s="24"/>
      <c r="C24" s="624" t="s">
        <v>12</v>
      </c>
      <c r="D24" s="625"/>
      <c r="E24" s="626"/>
      <c r="S24" s="23"/>
    </row>
    <row r="25" spans="1:19" ht="32.25" customHeight="1">
      <c r="A25" s="24"/>
      <c r="C25" s="41" t="s">
        <v>6</v>
      </c>
      <c r="D25" s="616">
        <f>SUM(M13:O13)</f>
        <v>0</v>
      </c>
      <c r="E25" s="617"/>
      <c r="S25" s="23"/>
    </row>
    <row r="26" spans="1:19" ht="33.75" customHeight="1">
      <c r="A26" s="24"/>
      <c r="C26" s="42" t="s">
        <v>7</v>
      </c>
      <c r="D26" s="616">
        <f>SUM(M12:O12)</f>
        <v>0</v>
      </c>
      <c r="E26" s="617"/>
      <c r="S26" s="23"/>
    </row>
    <row r="27" spans="1:19" ht="38.25" customHeight="1">
      <c r="A27" s="24"/>
      <c r="C27" s="42" t="s">
        <v>8</v>
      </c>
      <c r="D27" s="614">
        <f>SUM(M10:O10)</f>
        <v>0</v>
      </c>
      <c r="E27" s="614"/>
      <c r="S27" s="23"/>
    </row>
    <row r="28" spans="1:19" ht="25.5" customHeight="1">
      <c r="A28" s="24"/>
      <c r="C28" s="42" t="s">
        <v>9</v>
      </c>
      <c r="D28" s="614">
        <f>SUM(M11:O11)</f>
        <v>0</v>
      </c>
      <c r="E28" s="614"/>
      <c r="S28" s="23"/>
    </row>
    <row r="29" spans="1:19" ht="33" customHeight="1">
      <c r="A29" s="24"/>
      <c r="C29" s="40" t="s">
        <v>11</v>
      </c>
      <c r="D29" s="612">
        <f>SUM(M14:O14)</f>
        <v>0</v>
      </c>
      <c r="E29" s="612"/>
      <c r="S29" s="23"/>
    </row>
    <row r="30" spans="1:19">
      <c r="A30" s="24"/>
      <c r="S30" s="23"/>
    </row>
    <row r="31" spans="1:19">
      <c r="A31" s="24"/>
      <c r="S31" s="23"/>
    </row>
    <row r="32" spans="1:19" hidden="1">
      <c r="A32" s="24"/>
      <c r="S32" s="23"/>
    </row>
    <row r="33" spans="1:19" ht="15" customHeight="1">
      <c r="A33" s="24"/>
      <c r="S33" s="23"/>
    </row>
    <row r="34" spans="1:19">
      <c r="A34" s="24"/>
      <c r="S34" s="23"/>
    </row>
    <row r="35" spans="1:19">
      <c r="A35" s="24"/>
      <c r="S35" s="23"/>
    </row>
    <row r="36" spans="1:19">
      <c r="A36" s="24"/>
      <c r="S36" s="23"/>
    </row>
    <row r="37" spans="1:19">
      <c r="A37" s="24"/>
      <c r="S37" s="23"/>
    </row>
    <row r="38" spans="1:19">
      <c r="A38" s="24"/>
      <c r="S38" s="23"/>
    </row>
    <row r="39" spans="1:19">
      <c r="A39" s="24"/>
      <c r="S39" s="23"/>
    </row>
    <row r="40" spans="1:19">
      <c r="A40" s="24"/>
      <c r="S40" s="23"/>
    </row>
    <row r="41" spans="1:19">
      <c r="A41" s="24"/>
      <c r="S41" s="23"/>
    </row>
    <row r="42" spans="1:19">
      <c r="A42" s="24"/>
      <c r="S42" s="23"/>
    </row>
    <row r="43" spans="1:19">
      <c r="A43" s="24"/>
      <c r="S43" s="23"/>
    </row>
    <row r="44" spans="1:19">
      <c r="A44" s="24"/>
      <c r="S44" s="23"/>
    </row>
    <row r="45" spans="1:19">
      <c r="A45" s="24"/>
      <c r="S45" s="23"/>
    </row>
    <row r="46" spans="1:19" ht="72" customHeight="1">
      <c r="A46" s="24"/>
      <c r="S46" s="23"/>
    </row>
    <row r="47" spans="1:19" ht="51.75" customHeight="1">
      <c r="A47" s="24"/>
      <c r="S47" s="23"/>
    </row>
    <row r="48" spans="1:19" ht="26.25" customHeight="1">
      <c r="A48" s="24"/>
    </row>
    <row r="49" spans="1:19" ht="33.75" hidden="1" customHeight="1">
      <c r="A49" s="24"/>
      <c r="S49" s="23"/>
    </row>
    <row r="50" spans="1:19" ht="8.25" hidden="1" customHeight="1">
      <c r="A50" s="24"/>
      <c r="S50" s="23"/>
    </row>
    <row r="51" spans="1:19" ht="18.75" customHeight="1" thickBot="1">
      <c r="A51" s="25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7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topLeftCell="A18" zoomScale="85" zoomScaleNormal="85" workbookViewId="0">
      <selection activeCell="G5" sqref="G5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 t="s">
        <v>16</v>
      </c>
      <c r="C4" s="7">
        <v>2</v>
      </c>
      <c r="D4" s="7">
        <v>0</v>
      </c>
      <c r="E4" s="7">
        <v>0</v>
      </c>
    </row>
    <row r="5" spans="2:5">
      <c r="B5" s="7" t="s">
        <v>17</v>
      </c>
      <c r="C5" s="7">
        <v>2</v>
      </c>
      <c r="D5" s="7">
        <v>0</v>
      </c>
      <c r="E5" s="7">
        <v>0</v>
      </c>
    </row>
    <row r="6" spans="2:5">
      <c r="B6" s="7" t="s">
        <v>213</v>
      </c>
      <c r="C6" s="7">
        <v>2</v>
      </c>
      <c r="D6" s="7">
        <v>0</v>
      </c>
      <c r="E6" s="7">
        <v>0</v>
      </c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 t="s">
        <v>18</v>
      </c>
      <c r="C8" s="7">
        <v>1</v>
      </c>
      <c r="D8" s="7">
        <v>0</v>
      </c>
      <c r="E8" s="7">
        <v>0</v>
      </c>
    </row>
    <row r="9" spans="2:5">
      <c r="B9" s="7" t="s">
        <v>19</v>
      </c>
      <c r="C9" s="2">
        <v>1</v>
      </c>
      <c r="D9" s="7">
        <v>0</v>
      </c>
      <c r="E9" s="7">
        <v>0</v>
      </c>
    </row>
    <row r="10" spans="2:5">
      <c r="B10" s="7" t="s">
        <v>20</v>
      </c>
      <c r="C10" s="7">
        <v>2</v>
      </c>
      <c r="D10" s="7">
        <v>0</v>
      </c>
      <c r="E10" s="7">
        <v>0</v>
      </c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 t="s">
        <v>18</v>
      </c>
      <c r="C12" s="7">
        <v>3</v>
      </c>
      <c r="D12" s="7">
        <v>0</v>
      </c>
      <c r="E12" s="7">
        <v>0</v>
      </c>
    </row>
    <row r="13" spans="2:5">
      <c r="B13" s="7" t="s">
        <v>18</v>
      </c>
      <c r="C13" s="7">
        <v>3</v>
      </c>
      <c r="D13" s="7">
        <v>0</v>
      </c>
      <c r="E13" s="7">
        <v>0</v>
      </c>
    </row>
    <row r="14" spans="2:5">
      <c r="B14" s="7" t="s">
        <v>16</v>
      </c>
      <c r="C14" s="7">
        <v>4</v>
      </c>
      <c r="D14" s="7">
        <v>0</v>
      </c>
      <c r="E14" s="7">
        <v>0</v>
      </c>
    </row>
    <row r="15" spans="2:5">
      <c r="B15" s="7" t="s">
        <v>19</v>
      </c>
      <c r="C15" s="7">
        <v>3</v>
      </c>
      <c r="D15" s="7">
        <v>0</v>
      </c>
      <c r="E15" s="7">
        <v>0</v>
      </c>
    </row>
    <row r="16" spans="2:5">
      <c r="B16" s="7" t="s">
        <v>22</v>
      </c>
      <c r="C16" s="7">
        <v>7</v>
      </c>
      <c r="D16" s="7">
        <v>0</v>
      </c>
      <c r="E16" s="7">
        <v>0</v>
      </c>
    </row>
    <row r="17" spans="2:5">
      <c r="B17" s="7" t="s">
        <v>17</v>
      </c>
      <c r="C17" s="7">
        <v>6</v>
      </c>
      <c r="D17" s="7">
        <v>0</v>
      </c>
      <c r="E17" s="7">
        <v>0</v>
      </c>
    </row>
    <row r="18" spans="2:5">
      <c r="B18" s="7" t="s">
        <v>214</v>
      </c>
      <c r="C18" s="7">
        <v>3</v>
      </c>
      <c r="D18" s="7">
        <v>0</v>
      </c>
      <c r="E18" s="7">
        <v>0</v>
      </c>
    </row>
    <row r="19" spans="2:5">
      <c r="B19" s="7" t="s">
        <v>213</v>
      </c>
      <c r="C19" s="7">
        <v>3</v>
      </c>
      <c r="D19" s="7">
        <v>0</v>
      </c>
      <c r="E19" s="7">
        <v>0</v>
      </c>
    </row>
    <row r="20" spans="2:5">
      <c r="B20" t="s">
        <v>20</v>
      </c>
      <c r="C20">
        <v>5</v>
      </c>
      <c r="D20">
        <v>0</v>
      </c>
      <c r="E20">
        <v>0</v>
      </c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3" t="s">
        <v>24</v>
      </c>
      <c r="C24" s="7">
        <v>5</v>
      </c>
      <c r="D24" s="7">
        <v>0</v>
      </c>
      <c r="E24" s="7">
        <v>0</v>
      </c>
    </row>
    <row r="25" spans="2:5">
      <c r="B25" s="73" t="s">
        <v>24</v>
      </c>
      <c r="C25" s="7">
        <v>5</v>
      </c>
      <c r="D25" s="7">
        <v>0</v>
      </c>
      <c r="E25" s="7">
        <v>0</v>
      </c>
    </row>
    <row r="26" spans="2:5">
      <c r="B26" s="73" t="s">
        <v>37</v>
      </c>
      <c r="C26" s="7">
        <v>5</v>
      </c>
      <c r="D26" s="7">
        <v>0</v>
      </c>
      <c r="E26" s="7">
        <v>0</v>
      </c>
    </row>
    <row r="27" spans="2:5">
      <c r="B27" s="73" t="s">
        <v>25</v>
      </c>
      <c r="C27" s="7">
        <v>5</v>
      </c>
      <c r="D27" s="7">
        <v>0</v>
      </c>
      <c r="E27" s="7">
        <v>0</v>
      </c>
    </row>
    <row r="28" spans="2:5">
      <c r="B28" s="73" t="s">
        <v>33</v>
      </c>
      <c r="C28" s="7">
        <v>5</v>
      </c>
      <c r="D28" s="7">
        <v>0</v>
      </c>
      <c r="E28" s="7">
        <v>0</v>
      </c>
    </row>
    <row r="29" spans="2:5">
      <c r="B29" s="73" t="s">
        <v>30</v>
      </c>
      <c r="C29" s="7">
        <v>5</v>
      </c>
      <c r="D29" s="7">
        <v>0</v>
      </c>
      <c r="E29" s="7">
        <v>0</v>
      </c>
    </row>
    <row r="30" spans="2:5">
      <c r="B30" s="73" t="s">
        <v>26</v>
      </c>
      <c r="C30" s="7">
        <v>5</v>
      </c>
      <c r="D30" s="7">
        <v>0</v>
      </c>
      <c r="E30" s="7">
        <v>0</v>
      </c>
    </row>
    <row r="31" spans="2:5">
      <c r="B31" s="73" t="s">
        <v>215</v>
      </c>
      <c r="C31" s="7">
        <v>5</v>
      </c>
      <c r="D31" s="7">
        <v>0</v>
      </c>
      <c r="E31" s="7">
        <v>0</v>
      </c>
    </row>
    <row r="32" spans="2:5">
      <c r="B32" s="73" t="s">
        <v>32</v>
      </c>
      <c r="C32" s="7">
        <v>5</v>
      </c>
      <c r="D32" s="7">
        <v>0</v>
      </c>
      <c r="E32" s="7">
        <v>0</v>
      </c>
    </row>
    <row r="33" spans="2:5">
      <c r="B33" s="73" t="s">
        <v>36</v>
      </c>
      <c r="C33" s="7">
        <v>5</v>
      </c>
      <c r="D33" s="7">
        <v>0</v>
      </c>
      <c r="E33" s="7">
        <v>0</v>
      </c>
    </row>
    <row r="34" spans="2:5">
      <c r="B34" s="73" t="s">
        <v>34</v>
      </c>
      <c r="C34" s="7">
        <v>5</v>
      </c>
      <c r="D34" s="7">
        <v>0</v>
      </c>
      <c r="E34" s="7">
        <v>0</v>
      </c>
    </row>
    <row r="35" spans="2:5">
      <c r="B35" s="73" t="s">
        <v>29</v>
      </c>
      <c r="C35" s="7">
        <v>5</v>
      </c>
      <c r="D35" s="7">
        <v>0</v>
      </c>
      <c r="E35" s="7">
        <v>0</v>
      </c>
    </row>
    <row r="36" spans="2:5">
      <c r="B36" s="73" t="s">
        <v>35</v>
      </c>
      <c r="C36" s="7">
        <v>4</v>
      </c>
      <c r="D36" s="7">
        <v>0</v>
      </c>
      <c r="E36" s="7">
        <v>0</v>
      </c>
    </row>
    <row r="37" spans="2:5">
      <c r="B37" s="73" t="s">
        <v>28</v>
      </c>
      <c r="C37" s="7">
        <v>5</v>
      </c>
      <c r="D37" s="7">
        <v>0</v>
      </c>
      <c r="E37" s="7">
        <v>0</v>
      </c>
    </row>
    <row r="38" spans="2:5">
      <c r="B38" s="73" t="s">
        <v>23</v>
      </c>
      <c r="C38" s="7">
        <v>5</v>
      </c>
      <c r="D38" s="7">
        <v>0</v>
      </c>
      <c r="E38" s="7">
        <v>0</v>
      </c>
    </row>
    <row r="39" spans="2:5">
      <c r="B39" s="73" t="s">
        <v>27</v>
      </c>
      <c r="C39" s="7">
        <v>5</v>
      </c>
      <c r="D39" s="7">
        <v>0</v>
      </c>
      <c r="E39" s="7">
        <v>0</v>
      </c>
    </row>
    <row r="40" spans="2:5">
      <c r="B40" t="s">
        <v>38</v>
      </c>
      <c r="C40">
        <v>4</v>
      </c>
      <c r="D40">
        <v>0</v>
      </c>
      <c r="E40">
        <v>0</v>
      </c>
    </row>
    <row r="57" spans="8:8">
      <c r="H57" s="11"/>
    </row>
    <row r="58" spans="8:8" ht="41.25" customHeight="1">
      <c r="H58" s="11"/>
    </row>
    <row r="59" spans="8:8" ht="41.25" customHeight="1">
      <c r="H59" s="11"/>
    </row>
    <row r="60" spans="8:8" ht="41.25" customHeight="1">
      <c r="H60" s="11"/>
    </row>
    <row r="61" spans="8:8" ht="41.25" customHeight="1">
      <c r="H61" s="11"/>
    </row>
    <row r="62" spans="8:8" ht="41.25" customHeight="1">
      <c r="H62" s="11"/>
    </row>
    <row r="63" spans="8:8" ht="41.25" customHeight="1">
      <c r="H63" s="11"/>
    </row>
    <row r="64" spans="8:8">
      <c r="H64" s="11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8" zoomScale="55" zoomScaleNormal="40" zoomScaleSheetLayoutView="55" workbookViewId="0">
      <selection activeCell="AA42" sqref="AA42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3"/>
      <c r="B1" s="14"/>
      <c r="C1" s="14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4"/>
      <c r="W1" s="14"/>
      <c r="X1" s="14"/>
      <c r="Y1" s="14"/>
      <c r="Z1" s="14"/>
      <c r="AA1" s="16"/>
    </row>
    <row r="2" spans="1:27" ht="37.15" customHeight="1">
      <c r="A2" s="628" t="s">
        <v>157</v>
      </c>
      <c r="B2" s="629"/>
      <c r="C2" s="629"/>
      <c r="D2" s="629"/>
      <c r="E2" s="629"/>
      <c r="F2" s="629"/>
      <c r="G2" s="629"/>
      <c r="H2" s="629"/>
      <c r="I2" s="629"/>
      <c r="J2" s="629"/>
      <c r="K2" s="629"/>
      <c r="L2" s="629"/>
      <c r="M2" s="629"/>
      <c r="N2" s="629"/>
      <c r="O2" s="629"/>
      <c r="P2" s="629"/>
      <c r="Q2" s="629"/>
      <c r="R2" s="629"/>
      <c r="S2" s="629"/>
      <c r="T2" s="630" t="s">
        <v>338</v>
      </c>
      <c r="U2" s="630"/>
      <c r="V2" s="630"/>
      <c r="W2" s="630"/>
      <c r="X2" s="630"/>
      <c r="Y2" s="630"/>
      <c r="Z2" s="630"/>
      <c r="AA2" s="631"/>
    </row>
    <row r="3" spans="1:27" ht="2.4500000000000002" customHeight="1">
      <c r="A3" s="17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8"/>
    </row>
    <row r="4" spans="1:27" ht="15.75">
      <c r="A4" s="17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8"/>
    </row>
    <row r="5" spans="1:27" ht="15.75">
      <c r="A5" s="17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8"/>
    </row>
    <row r="6" spans="1:27" ht="15.75">
      <c r="A6" s="17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8"/>
    </row>
    <row r="7" spans="1:27" ht="15.75">
      <c r="A7" s="17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8"/>
    </row>
    <row r="8" spans="1:27" ht="15.75">
      <c r="A8" s="17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8"/>
    </row>
    <row r="9" spans="1:27" ht="15.75">
      <c r="A9" s="17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8"/>
    </row>
    <row r="10" spans="1:27" ht="15.75">
      <c r="A10" s="17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8"/>
    </row>
    <row r="11" spans="1:27" ht="15.75">
      <c r="A11" s="17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8"/>
    </row>
    <row r="12" spans="1:27" ht="15.75">
      <c r="A12" s="17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8"/>
    </row>
    <row r="13" spans="1:27" ht="15.75">
      <c r="A13" s="17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8"/>
    </row>
    <row r="14" spans="1:27" ht="15.75">
      <c r="A14" s="17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8"/>
    </row>
    <row r="15" spans="1:27" ht="15.75">
      <c r="A15" s="17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8"/>
    </row>
    <row r="16" spans="1:27" ht="15.75">
      <c r="A16" s="17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8"/>
    </row>
    <row r="17" spans="1:27" ht="15.75">
      <c r="A17" s="17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8"/>
    </row>
    <row r="18" spans="1:27" ht="15.75">
      <c r="A18" s="17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8"/>
    </row>
    <row r="19" spans="1:27" ht="15.75">
      <c r="A19" s="17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8"/>
    </row>
    <row r="20" spans="1:27" ht="15.75">
      <c r="A20" s="17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8"/>
    </row>
    <row r="21" spans="1:27" ht="15.75">
      <c r="A21" s="17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8"/>
    </row>
    <row r="22" spans="1:27" ht="15.75">
      <c r="A22" s="17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8"/>
    </row>
    <row r="23" spans="1:27" ht="15.75">
      <c r="A23" s="17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8"/>
    </row>
    <row r="24" spans="1:27" ht="15.75">
      <c r="A24" s="17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8"/>
    </row>
    <row r="25" spans="1:27" ht="15.75">
      <c r="A25" s="17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8"/>
    </row>
    <row r="26" spans="1:27" ht="15.75">
      <c r="A26" s="17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8"/>
    </row>
    <row r="27" spans="1:27" ht="15.75">
      <c r="A27" s="17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8"/>
    </row>
    <row r="28" spans="1:27" ht="15.75">
      <c r="A28" s="17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8"/>
    </row>
    <row r="29" spans="1:27" ht="15.75">
      <c r="A29" s="17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8"/>
    </row>
    <row r="30" spans="1:27" ht="15.75">
      <c r="A30" s="17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8"/>
    </row>
    <row r="31" spans="1:27" ht="15.75">
      <c r="A31" s="17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8"/>
    </row>
    <row r="32" spans="1:27" ht="15.75">
      <c r="A32" s="17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8"/>
    </row>
    <row r="33" spans="1:27" ht="15.75">
      <c r="A33" s="17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8"/>
    </row>
    <row r="34" spans="1:27" ht="15.75">
      <c r="A34" s="17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8"/>
    </row>
    <row r="35" spans="1:27" ht="15.75">
      <c r="A35" s="17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8"/>
    </row>
    <row r="36" spans="1:27" ht="15.75">
      <c r="A36" s="17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8"/>
    </row>
    <row r="37" spans="1:27" ht="15.75">
      <c r="A37" s="17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8"/>
    </row>
    <row r="38" spans="1:27" ht="15.75">
      <c r="A38" s="17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8"/>
    </row>
    <row r="39" spans="1:27" ht="15.75">
      <c r="A39" s="17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8"/>
    </row>
    <row r="40" spans="1:27" ht="15.75">
      <c r="A40" s="17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3"/>
      <c r="AA40" s="18"/>
    </row>
    <row r="41" spans="1:27" ht="15.75">
      <c r="A41" s="17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8"/>
    </row>
    <row r="42" spans="1:27" ht="15.75">
      <c r="A42" s="17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8"/>
    </row>
    <row r="43" spans="1:27" ht="15.75">
      <c r="A43" s="17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8"/>
    </row>
    <row r="44" spans="1:27" ht="15.75">
      <c r="A44" s="17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8"/>
    </row>
    <row r="45" spans="1:27" ht="15.75">
      <c r="A45" s="17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8"/>
    </row>
    <row r="46" spans="1:27" ht="15.75">
      <c r="A46" s="17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8"/>
    </row>
    <row r="47" spans="1:27" ht="15.75">
      <c r="A47" s="17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8"/>
    </row>
    <row r="48" spans="1:27" ht="15.75">
      <c r="A48" s="17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8"/>
    </row>
    <row r="49" spans="1:27" ht="15.75">
      <c r="A49" s="17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8"/>
    </row>
    <row r="50" spans="1:27" ht="15.75">
      <c r="A50" s="17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8"/>
    </row>
    <row r="51" spans="1:27" ht="15.75">
      <c r="A51" s="17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8"/>
    </row>
    <row r="52" spans="1:27" ht="15.75">
      <c r="A52" s="17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8"/>
    </row>
    <row r="53" spans="1:27" s="3" customFormat="1" ht="15.75">
      <c r="A53" s="17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8"/>
    </row>
    <row r="54" spans="1:27" ht="15.75">
      <c r="A54" s="17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8"/>
    </row>
    <row r="55" spans="1:27" ht="15.75">
      <c r="A55" s="17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8"/>
    </row>
    <row r="56" spans="1:27" ht="15.75">
      <c r="A56" s="17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8"/>
    </row>
    <row r="57" spans="1:27" ht="15.75">
      <c r="A57" s="17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8"/>
    </row>
    <row r="58" spans="1:27" ht="15.75">
      <c r="A58" s="17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8"/>
    </row>
    <row r="59" spans="1:27" ht="15.75">
      <c r="A59" s="17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8"/>
    </row>
    <row r="60" spans="1:27" ht="15.75">
      <c r="A60" s="17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8"/>
    </row>
    <row r="61" spans="1:27" ht="153" customHeight="1" thickBot="1">
      <c r="A61" s="19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1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6" zoomScale="115" zoomScaleNormal="84" zoomScaleSheetLayoutView="115" workbookViewId="0">
      <selection activeCell="C29" sqref="C29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32" t="s">
        <v>80</v>
      </c>
      <c r="B1" s="633"/>
      <c r="C1" s="633"/>
      <c r="D1" s="633"/>
      <c r="E1" s="633"/>
      <c r="F1" s="633"/>
      <c r="G1" s="633"/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</row>
    <row r="2" spans="1:21" ht="19.5" thickBot="1">
      <c r="A2" s="634" t="s">
        <v>338</v>
      </c>
      <c r="B2" s="635"/>
      <c r="C2" s="635"/>
      <c r="D2" s="635"/>
      <c r="E2" s="635"/>
      <c r="F2" s="635"/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21">
      <c r="A3" s="318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8"/>
      <c r="B4" s="319"/>
      <c r="C4" s="31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8"/>
      <c r="B5" s="336" t="s">
        <v>81</v>
      </c>
      <c r="C5" s="636" t="s">
        <v>82</v>
      </c>
      <c r="D5" s="636"/>
      <c r="E5" s="636"/>
      <c r="F5" s="636" t="s">
        <v>83</v>
      </c>
      <c r="G5" s="636"/>
      <c r="H5" s="636"/>
      <c r="I5" s="636" t="s">
        <v>188</v>
      </c>
      <c r="J5" s="636"/>
      <c r="K5" s="636"/>
      <c r="L5" s="636" t="s">
        <v>84</v>
      </c>
      <c r="M5" s="636"/>
      <c r="N5" s="636"/>
      <c r="O5" s="636" t="s">
        <v>189</v>
      </c>
      <c r="P5" s="636"/>
      <c r="Q5" s="637"/>
      <c r="R5" s="316"/>
      <c r="S5" s="315"/>
      <c r="T5" s="3"/>
      <c r="U5" s="3"/>
    </row>
    <row r="6" spans="1:21" ht="21">
      <c r="A6" s="318"/>
      <c r="B6" s="337" t="s">
        <v>23</v>
      </c>
      <c r="C6" s="322"/>
      <c r="D6" s="323">
        <f>IF(data_status_reg!$E4="bajo",0,IF(data_status_reg!$E4="medio",0.5,IF(data_status_reg!$E4="alto",1,"falta riesgo")))</f>
        <v>0</v>
      </c>
      <c r="E6" s="324"/>
      <c r="F6" s="324"/>
      <c r="G6" s="323">
        <f>IF(data_status_reg!$E20="bajo",0,IF(data_status_reg!$E20="medio",0.5,IF(data_status_reg!$E20="alto",1,"falta riesgo")))</f>
        <v>0</v>
      </c>
      <c r="H6" s="324"/>
      <c r="I6" s="324"/>
      <c r="J6" s="323">
        <f>IF(data_status_reg!$E36="bajo",0,IF(data_status_reg!$E36="medio",0.5,IF(data_status_reg!$E36="alto",1,"falta riesgo")))</f>
        <v>0</v>
      </c>
      <c r="K6" s="324"/>
      <c r="L6" s="324"/>
      <c r="M6" s="323">
        <f>IF(data_status_reg!$E52="bajo",0,IF(data_status_reg!$E52="medio",0.5,IF(data_status_reg!$E52="alto",1,"falta riesgo")))</f>
        <v>0</v>
      </c>
      <c r="N6" s="325"/>
      <c r="O6" s="339"/>
      <c r="P6" s="323">
        <f>IF(data_status_reg!$E68="bajo",0,IF(data_status_reg!$E68="medio",0.5,IF(data_status_reg!$E68="alto",1,"falta riesgo")))</f>
        <v>0</v>
      </c>
      <c r="Q6" s="326"/>
      <c r="R6" s="317"/>
    </row>
    <row r="7" spans="1:21" ht="21">
      <c r="A7" s="318"/>
      <c r="B7" s="337" t="s">
        <v>24</v>
      </c>
      <c r="C7" s="327"/>
      <c r="D7" s="312">
        <f>IF(data_status_reg!$E5="bajo",0,IF(data_status_reg!$E5="medio",0.5,IF(data_status_reg!$E5="alto",1,"falta riesgo")))</f>
        <v>0</v>
      </c>
      <c r="E7" s="313"/>
      <c r="F7" s="313"/>
      <c r="G7" s="312">
        <f>IF(data_status_reg!$E21="bajo",0,IF(data_status_reg!$E21="medio",0.5,IF(data_status_reg!$E21="alto",1,"falta riesgo")))</f>
        <v>0</v>
      </c>
      <c r="H7" s="313"/>
      <c r="I7" s="313"/>
      <c r="J7" s="312">
        <f>IF(data_status_reg!$E37="bajo",0,IF(data_status_reg!$E37="medio",0.5,IF(data_status_reg!$E37="alto",1,"falta riesgo")))</f>
        <v>0</v>
      </c>
      <c r="K7" s="313"/>
      <c r="L7" s="313"/>
      <c r="M7" s="312">
        <f>IF(data_status_reg!$E53="bajo",0,IF(data_status_reg!$E53="medio",0.5,IF(data_status_reg!$E53="alto",1,"falta riesgo")))</f>
        <v>0</v>
      </c>
      <c r="N7" s="310"/>
      <c r="O7" s="340"/>
      <c r="P7" s="312">
        <f>IF(data_status_reg!$E69="bajo",0,IF(data_status_reg!$E69="medio",0.5,IF(data_status_reg!$E69="alto",1,"falta riesgo")))</f>
        <v>0</v>
      </c>
      <c r="Q7" s="328"/>
      <c r="R7" s="3"/>
    </row>
    <row r="8" spans="1:21" ht="21">
      <c r="A8" s="318"/>
      <c r="B8" s="337" t="s">
        <v>25</v>
      </c>
      <c r="C8" s="327"/>
      <c r="D8" s="312">
        <f>IF(data_status_reg!$E6="bajo",0,IF(data_status_reg!$E6="medio",0.5,IF(data_status_reg!$E6="alto",1,"falta riesgo")))</f>
        <v>0</v>
      </c>
      <c r="E8" s="313"/>
      <c r="F8" s="313"/>
      <c r="G8" s="312">
        <f>IF(data_status_reg!$E22="bajo",0,IF(data_status_reg!$E22="medio",0.5,IF(data_status_reg!$E22="alto",1,"falta riesgo")))</f>
        <v>0</v>
      </c>
      <c r="H8" s="313"/>
      <c r="I8" s="313"/>
      <c r="J8" s="312">
        <f>IF(data_status_reg!$E38="bajo",0,IF(data_status_reg!$E38="medio",0.5,IF(data_status_reg!$E38="alto",1,"falta riesgo")))</f>
        <v>0</v>
      </c>
      <c r="K8" s="313"/>
      <c r="L8" s="313"/>
      <c r="M8" s="312">
        <f>IF(data_status_reg!$E54="bajo",0,IF(data_status_reg!$E54="medio",0.5,IF(data_status_reg!$E54="alto",1,"falta riesgo")))</f>
        <v>0</v>
      </c>
      <c r="N8" s="310"/>
      <c r="O8" s="340"/>
      <c r="P8" s="312">
        <f>IF(data_status_reg!$E70="bajo",0,IF(data_status_reg!$E70="medio",0.5,IF(data_status_reg!$E70="alto",1,"falta riesgo")))</f>
        <v>0</v>
      </c>
      <c r="Q8" s="328"/>
      <c r="R8" s="3"/>
    </row>
    <row r="9" spans="1:21" ht="21">
      <c r="A9" s="318"/>
      <c r="B9" s="337" t="s">
        <v>26</v>
      </c>
      <c r="C9" s="327"/>
      <c r="D9" s="312">
        <f>IF(data_status_reg!$E7="bajo",0,IF(data_status_reg!$E7="medio",0.5,IF(data_status_reg!$E7="alto",1,"falta riesgo")))</f>
        <v>0</v>
      </c>
      <c r="E9" s="313"/>
      <c r="F9" s="313"/>
      <c r="G9" s="312">
        <f>IF(data_status_reg!$E23="bajo",0,IF(data_status_reg!$E23="medio",0.5,IF(data_status_reg!$E23="alto",1,"falta riesgo")))</f>
        <v>0</v>
      </c>
      <c r="H9" s="313"/>
      <c r="I9" s="313"/>
      <c r="J9" s="312">
        <f>IF(data_status_reg!$E39="bajo",0,IF(data_status_reg!$E39="medio",0.5,IF(data_status_reg!$E39="alto",1,"falta riesgo")))</f>
        <v>0</v>
      </c>
      <c r="K9" s="313"/>
      <c r="L9" s="313"/>
      <c r="M9" s="312">
        <f>IF(data_status_reg!$E55="bajo",0,IF(data_status_reg!$E55="medio",0.5,IF(data_status_reg!$E55="alto",1,"falta riesgo")))</f>
        <v>0</v>
      </c>
      <c r="N9" s="310"/>
      <c r="O9" s="340"/>
      <c r="P9" s="312">
        <f>IF(data_status_reg!$E71="bajo",0,IF(data_status_reg!$E71="medio",0.5,IF(data_status_reg!$E71="alto",1,"falta riesgo")))</f>
        <v>0</v>
      </c>
      <c r="Q9" s="328"/>
      <c r="R9" s="3"/>
    </row>
    <row r="10" spans="1:21" ht="21">
      <c r="A10" s="318"/>
      <c r="B10" s="337" t="s">
        <v>27</v>
      </c>
      <c r="C10" s="327"/>
      <c r="D10" s="312">
        <f>IF(data_status_reg!$E8="bajo",0,IF(data_status_reg!$E8="medio",0.5,IF(data_status_reg!$E8="alto",1,"falta riesgo")))</f>
        <v>0</v>
      </c>
      <c r="E10" s="313"/>
      <c r="F10" s="313"/>
      <c r="G10" s="312">
        <f>IF(data_status_reg!$E24="bajo",0,IF(data_status_reg!$E24="medio",0.5,IF(data_status_reg!$E24="alto",1,"falta riesgo")))</f>
        <v>0</v>
      </c>
      <c r="H10" s="313"/>
      <c r="I10" s="313"/>
      <c r="J10" s="312">
        <f>IF(data_status_reg!$E40="bajo",0,IF(data_status_reg!$E40="medio",0.5,IF(data_status_reg!$E40="alto",1,"falta riesgo")))</f>
        <v>0</v>
      </c>
      <c r="K10" s="313"/>
      <c r="L10" s="313"/>
      <c r="M10" s="312">
        <f>IF(data_status_reg!$E56="bajo",0,IF(data_status_reg!$E56="medio",0.5,IF(data_status_reg!$E56="alto",1,"falta riesgo")))</f>
        <v>0</v>
      </c>
      <c r="N10" s="310"/>
      <c r="O10" s="340"/>
      <c r="P10" s="312">
        <f>IF(data_status_reg!$E72="bajo",0,IF(data_status_reg!$E72="medio",0.5,IF(data_status_reg!$E72="alto",1,"falta riesgo")))</f>
        <v>0</v>
      </c>
      <c r="Q10" s="328"/>
      <c r="R10" s="3"/>
    </row>
    <row r="11" spans="1:21" ht="21">
      <c r="A11" s="318"/>
      <c r="B11" s="337" t="s">
        <v>28</v>
      </c>
      <c r="C11" s="327"/>
      <c r="D11" s="312">
        <f>IF(data_status_reg!$E9="bajo",0,IF(data_status_reg!$E9="medio",0.5,IF(data_status_reg!$E9="alto",1,"falta riesgo")))</f>
        <v>0</v>
      </c>
      <c r="E11" s="313"/>
      <c r="F11" s="313"/>
      <c r="G11" s="312">
        <f>IF(data_status_reg!$E25="bajo",0,IF(data_status_reg!$E25="medio",0.5,IF(data_status_reg!$E25="alto",1,"falta riesgo")))</f>
        <v>0</v>
      </c>
      <c r="H11" s="313"/>
      <c r="I11" s="313"/>
      <c r="J11" s="312">
        <f>IF(data_status_reg!$E41="bajo",0,IF(data_status_reg!$E41="medio",0.5,IF(data_status_reg!$E41="alto",1,"falta riesgo")))</f>
        <v>0</v>
      </c>
      <c r="K11" s="313"/>
      <c r="L11" s="313"/>
      <c r="M11" s="312">
        <f>IF(data_status_reg!$E57="bajo",0,IF(data_status_reg!$E57="medio",0.5,IF(data_status_reg!$E57="alto",1,"falta riesgo")))</f>
        <v>0</v>
      </c>
      <c r="N11" s="310"/>
      <c r="O11" s="340"/>
      <c r="P11" s="312">
        <f>IF(data_status_reg!$E73="bajo",0,IF(data_status_reg!$E73="medio",0.5,IF(data_status_reg!$E73="alto",1,"falta riesgo")))</f>
        <v>0</v>
      </c>
      <c r="Q11" s="328"/>
      <c r="R11" s="3"/>
    </row>
    <row r="12" spans="1:21" ht="21">
      <c r="A12" s="318"/>
      <c r="B12" s="337" t="s">
        <v>29</v>
      </c>
      <c r="C12" s="327"/>
      <c r="D12" s="312">
        <f>IF(data_status_reg!$E10="bajo",0,IF(data_status_reg!$E10="medio",0.5,IF(data_status_reg!$E10="alto",1,"falta riesgo")))</f>
        <v>0</v>
      </c>
      <c r="E12" s="313"/>
      <c r="F12" s="313"/>
      <c r="G12" s="312">
        <f>IF(data_status_reg!$E26="bajo",0,IF(data_status_reg!$E26="medio",0.5,IF(data_status_reg!$E26="alto",1,"falta riesgo")))</f>
        <v>0</v>
      </c>
      <c r="H12" s="313"/>
      <c r="I12" s="314"/>
      <c r="J12" s="312">
        <f>IF(data_status_reg!$E42="bajo",0,IF(data_status_reg!$E42="medio",0.5,IF(data_status_reg!$E42="alto",1,"falta riesgo")))</f>
        <v>0</v>
      </c>
      <c r="K12" s="314"/>
      <c r="L12" s="314"/>
      <c r="M12" s="312">
        <f>IF(data_status_reg!$E58="bajo",0,IF(data_status_reg!$E58="medio",0.5,IF(data_status_reg!$E58="alto",1,"falta riesgo")))</f>
        <v>0</v>
      </c>
      <c r="N12" s="311"/>
      <c r="O12" s="341"/>
      <c r="P12" s="312">
        <f>IF(data_status_reg!$E74="bajo",0,IF(data_status_reg!$E74="medio",0.5,IF(data_status_reg!$E74="alto",1,"falta riesgo")))</f>
        <v>0</v>
      </c>
      <c r="Q12" s="328"/>
      <c r="R12" s="3"/>
    </row>
    <row r="13" spans="1:21" ht="21">
      <c r="A13" s="318"/>
      <c r="B13" s="337" t="s">
        <v>30</v>
      </c>
      <c r="C13" s="327"/>
      <c r="D13" s="312">
        <f>IF(data_status_reg!$E11="bajo",0,IF(data_status_reg!$E11="medio",0.5,IF(data_status_reg!$E11="alto",1,"falta riesgo")))</f>
        <v>0</v>
      </c>
      <c r="E13" s="313"/>
      <c r="F13" s="313"/>
      <c r="G13" s="312">
        <f>IF(data_status_reg!$E27="bajo",0,IF(data_status_reg!$E27="medio",0.5,IF(data_status_reg!$E27="alto",1,"falta riesgo")))</f>
        <v>0</v>
      </c>
      <c r="H13" s="313"/>
      <c r="I13" s="313"/>
      <c r="J13" s="312">
        <f>IF(data_status_reg!$E43="bajo",0,IF(data_status_reg!$E43="medio",0.5,IF(data_status_reg!$E43="alto",1,"falta riesgo")))</f>
        <v>0</v>
      </c>
      <c r="K13" s="313"/>
      <c r="L13" s="313"/>
      <c r="M13" s="312">
        <f>IF(data_status_reg!$E59="bajo",0,IF(data_status_reg!$E59="medio",0.5,IF(data_status_reg!$E59="alto",1,"falta riesgo")))</f>
        <v>0</v>
      </c>
      <c r="N13" s="310"/>
      <c r="O13" s="340"/>
      <c r="P13" s="312">
        <f>IF(data_status_reg!$E75="bajo",0,IF(data_status_reg!$E75="medio",0.5,IF(data_status_reg!$E75="alto",1,"falta riesgo")))</f>
        <v>0</v>
      </c>
      <c r="Q13" s="328"/>
      <c r="R13" s="3"/>
      <c r="U13" s="11"/>
    </row>
    <row r="14" spans="1:21" ht="21">
      <c r="A14" s="318"/>
      <c r="B14" s="337" t="s">
        <v>31</v>
      </c>
      <c r="C14" s="327"/>
      <c r="D14" s="312">
        <f>IF(data_status_reg!$E12="bajo",0,IF(data_status_reg!$E12="medio",0.5,IF(data_status_reg!$E12="alto",1,"falta riesgo")))</f>
        <v>0</v>
      </c>
      <c r="E14" s="313"/>
      <c r="F14" s="313"/>
      <c r="G14" s="312">
        <f>IF(data_status_reg!$E28="bajo",0,IF(data_status_reg!$E28="medio",0.5,IF(data_status_reg!$E28="alto",1,"falta riesgo")))</f>
        <v>0</v>
      </c>
      <c r="H14" s="313"/>
      <c r="I14" s="313"/>
      <c r="J14" s="312">
        <f>IF(data_status_reg!$E44="bajo",0,IF(data_status_reg!$E44="medio",0.5,IF(data_status_reg!$E44="alto",1,"falta riesgo")))</f>
        <v>0</v>
      </c>
      <c r="K14" s="313"/>
      <c r="L14" s="313"/>
      <c r="M14" s="312">
        <f>IF(data_status_reg!$E60="bajo",0,IF(data_status_reg!$E60="medio",0.5,IF(data_status_reg!$E60="alto",1,"falta riesgo")))</f>
        <v>0</v>
      </c>
      <c r="N14" s="310"/>
      <c r="O14" s="340"/>
      <c r="P14" s="312">
        <f>IF(data_status_reg!$E76="bajo",0,IF(data_status_reg!$E76="medio",0.5,IF(data_status_reg!$E76="alto",1,"falta riesgo")))</f>
        <v>0</v>
      </c>
      <c r="Q14" s="328"/>
      <c r="R14" s="3"/>
    </row>
    <row r="15" spans="1:21" ht="21">
      <c r="A15" s="318"/>
      <c r="B15" s="337" t="s">
        <v>32</v>
      </c>
      <c r="C15" s="327"/>
      <c r="D15" s="312">
        <f>IF(data_status_reg!$E13="bajo",0,IF(data_status_reg!$E13="medio",0.5,IF(data_status_reg!$E13="alto",1,"falta riesgo")))</f>
        <v>0</v>
      </c>
      <c r="E15" s="313"/>
      <c r="F15" s="313"/>
      <c r="G15" s="312">
        <f>IF(data_status_reg!$E29="bajo",0,IF(data_status_reg!$E29="medio",0.5,IF(data_status_reg!$E29="alto",1,"falta riesgo")))</f>
        <v>0</v>
      </c>
      <c r="H15" s="313"/>
      <c r="I15" s="314"/>
      <c r="J15" s="312">
        <f>IF(data_status_reg!$E45="bajo",0,IF(data_status_reg!$E45="medio",0.5,IF(data_status_reg!$E45="alto",1,"falta riesgo")))</f>
        <v>0</v>
      </c>
      <c r="K15" s="314"/>
      <c r="L15" s="314"/>
      <c r="M15" s="312">
        <f>IF(data_status_reg!$E61="bajo",0,IF(data_status_reg!$E61="medio",0.5,IF(data_status_reg!$E61="alto",1,"falta riesgo")))</f>
        <v>0</v>
      </c>
      <c r="N15" s="311"/>
      <c r="O15" s="341"/>
      <c r="P15" s="312">
        <f>IF(data_status_reg!$E77="bajo",0,IF(data_status_reg!$E77="medio",0.5,IF(data_status_reg!$E77="alto",1,"falta riesgo")))</f>
        <v>0</v>
      </c>
      <c r="Q15" s="328"/>
      <c r="R15" s="3"/>
    </row>
    <row r="16" spans="1:21" ht="21">
      <c r="A16" s="318"/>
      <c r="B16" s="337" t="s">
        <v>33</v>
      </c>
      <c r="C16" s="327"/>
      <c r="D16" s="312">
        <f>IF(data_status_reg!$E14="bajo",0,IF(data_status_reg!$E14="medio",0.5,IF(data_status_reg!$E14="alto",1,"falta riesgo")))</f>
        <v>0</v>
      </c>
      <c r="E16" s="313"/>
      <c r="F16" s="313"/>
      <c r="G16" s="312">
        <f>IF(data_status_reg!$E30="bajo",0,IF(data_status_reg!$E30="medio",0.5,IF(data_status_reg!$E30="alto",1,"falta riesgo")))</f>
        <v>0</v>
      </c>
      <c r="H16" s="313"/>
      <c r="I16" s="313"/>
      <c r="J16" s="312">
        <f>IF(data_status_reg!$E46="bajo",0,IF(data_status_reg!$E46="medio",0.5,IF(data_status_reg!$E46="alto",1,"falta riesgo")))</f>
        <v>0</v>
      </c>
      <c r="K16" s="313"/>
      <c r="L16" s="313"/>
      <c r="M16" s="312">
        <f>IF(data_status_reg!$E62="bajo",0,IF(data_status_reg!$E62="medio",0.5,IF(data_status_reg!$E62="alto",1,"falta riesgo")))</f>
        <v>0</v>
      </c>
      <c r="N16" s="310"/>
      <c r="O16" s="340"/>
      <c r="P16" s="312">
        <f>IF(data_status_reg!$E78="bajo",0,IF(data_status_reg!$E78="medio",0.5,IF(data_status_reg!$E78="alto",1,"falta riesgo")))</f>
        <v>0</v>
      </c>
      <c r="Q16" s="328"/>
      <c r="R16" s="3"/>
    </row>
    <row r="17" spans="1:18" ht="21">
      <c r="A17" s="318"/>
      <c r="B17" s="337" t="s">
        <v>34</v>
      </c>
      <c r="C17" s="327"/>
      <c r="D17" s="312">
        <f>IF(data_status_reg!$E15="bajo",0,IF(data_status_reg!$E15="medio",0.5,IF(data_status_reg!$E15="alto",1,"falta riesgo")))</f>
        <v>0</v>
      </c>
      <c r="E17" s="313"/>
      <c r="F17" s="313"/>
      <c r="G17" s="312">
        <f>IF(data_status_reg!$E31="bajo",0,IF(data_status_reg!$E31="medio",0.5,IF(data_status_reg!$E31="alto",1,"falta riesgo")))</f>
        <v>0</v>
      </c>
      <c r="H17" s="313"/>
      <c r="I17" s="313"/>
      <c r="J17" s="312">
        <f>IF(data_status_reg!$E47="bajo",0,IF(data_status_reg!$E47="medio",0.5,IF(data_status_reg!$E47="alto",1,"falta riesgo")))</f>
        <v>0</v>
      </c>
      <c r="K17" s="313"/>
      <c r="L17" s="313"/>
      <c r="M17" s="312">
        <f>IF(data_status_reg!$E63="bajo",0,IF(data_status_reg!$E63="medio",0.5,IF(data_status_reg!$E63="alto",1,"falta riesgo")))</f>
        <v>0</v>
      </c>
      <c r="N17" s="310"/>
      <c r="O17" s="340"/>
      <c r="P17" s="312">
        <f>IF(data_status_reg!$E79="bajo",0,IF(data_status_reg!$E79="medio",0.5,IF(data_status_reg!$E79="alto",1,"falta riesgo")))</f>
        <v>0</v>
      </c>
      <c r="Q17" s="328"/>
      <c r="R17" s="3"/>
    </row>
    <row r="18" spans="1:18" ht="21">
      <c r="A18" s="318"/>
      <c r="B18" s="337" t="s">
        <v>35</v>
      </c>
      <c r="C18" s="327"/>
      <c r="D18" s="312">
        <f>IF(data_status_reg!$E16="bajo",0,IF(data_status_reg!$E16="medio",0.5,IF(data_status_reg!$E16="alto",1,"falta riesgo")))</f>
        <v>0</v>
      </c>
      <c r="E18" s="313"/>
      <c r="F18" s="313"/>
      <c r="G18" s="343" t="s">
        <v>85</v>
      </c>
      <c r="H18" s="313"/>
      <c r="I18" s="313"/>
      <c r="J18" s="312">
        <f>IF(data_status_reg!$E48="bajo",0,IF(data_status_reg!$E48="medio",0.5,IF(data_status_reg!$E48="alto",1,"falta riesgo")))</f>
        <v>0</v>
      </c>
      <c r="K18" s="313"/>
      <c r="M18" s="312">
        <f>IF(data_status_reg!$E64="bajo",0,IF(data_status_reg!$E64="medio",0.5,IF(data_status_reg!$E64="alto",1,"falta riesgo")))</f>
        <v>0</v>
      </c>
      <c r="N18" s="311"/>
      <c r="O18" s="341"/>
      <c r="P18" s="312">
        <f>IF(data_status_reg!$E80="bajo",0,IF(data_status_reg!$E80="medio",0.5,IF(data_status_reg!$E80="alto",1,"falta riesgo")))</f>
        <v>0</v>
      </c>
      <c r="Q18" s="328"/>
      <c r="R18" s="3"/>
    </row>
    <row r="19" spans="1:18" ht="21">
      <c r="A19" s="318"/>
      <c r="B19" s="337" t="s">
        <v>36</v>
      </c>
      <c r="C19" s="327"/>
      <c r="D19" s="312">
        <f>IF(data_status_reg!$E17="bajo",0,IF(data_status_reg!$E17="medio",0.5,IF(data_status_reg!$E17="alto",1,"falta riesgo")))</f>
        <v>0</v>
      </c>
      <c r="E19" s="313"/>
      <c r="F19" s="313"/>
      <c r="G19" s="312">
        <f>IF(data_status_reg!$E33="bajo",0,IF(data_status_reg!$E33="medio",0.5,IF(data_status_reg!$E33="alto",1,"falta riesgo")))</f>
        <v>0</v>
      </c>
      <c r="H19" s="313"/>
      <c r="I19" s="313"/>
      <c r="J19" s="312">
        <f>IF(data_status_reg!$E49="bajo",0,IF(data_status_reg!$E49="medio",0.5,IF(data_status_reg!$E49="alto",1,"falta riesgo")))</f>
        <v>0</v>
      </c>
      <c r="K19" s="313"/>
      <c r="L19" s="313"/>
      <c r="M19" s="312">
        <f>IF(data_status_reg!$E65="bajo",0,IF(data_status_reg!$E65="medio",0.5,IF(data_status_reg!$E65="alto",1,"falta riesgo")))</f>
        <v>0</v>
      </c>
      <c r="N19" s="310"/>
      <c r="O19" s="340"/>
      <c r="P19" s="312">
        <f>IF(data_status_reg!$E81="bajo",0,IF(data_status_reg!$E81="medio",0.5,IF(data_status_reg!$E81="alto",1,"falta riesgo")))</f>
        <v>0</v>
      </c>
      <c r="Q19" s="328"/>
      <c r="R19" s="3"/>
    </row>
    <row r="20" spans="1:18" ht="21">
      <c r="A20" s="318"/>
      <c r="B20" s="337" t="s">
        <v>37</v>
      </c>
      <c r="C20" s="327"/>
      <c r="D20" s="312">
        <f>IF(data_status_reg!$E18="bajo",0,IF(data_status_reg!$E18="medio",0.5,IF(data_status_reg!$E18="alto",1,"falta riesgo")))</f>
        <v>0</v>
      </c>
      <c r="E20" s="313"/>
      <c r="F20" s="313"/>
      <c r="G20" s="312">
        <f>IF(data_status_reg!$E34="bajo",0,IF(data_status_reg!$E34="medio",0.5,IF(data_status_reg!$E34="alto",1,"falta riesgo")))</f>
        <v>0</v>
      </c>
      <c r="H20" s="313"/>
      <c r="I20" s="313"/>
      <c r="J20" s="312">
        <f>IF(data_status_reg!$E50="bajo",0,IF(data_status_reg!$E50="medio",0.5,IF(data_status_reg!$E50="alto",1,"falta riesgo")))</f>
        <v>0</v>
      </c>
      <c r="K20" s="313"/>
      <c r="L20" s="313"/>
      <c r="M20" s="312">
        <f>IF(data_status_reg!$E66="bajo",0,IF(data_status_reg!$E66="medio",0.5,IF(data_status_reg!$E66="alto",1,"falta riesgo")))</f>
        <v>0</v>
      </c>
      <c r="N20" s="310"/>
      <c r="O20" s="340"/>
      <c r="P20" s="312">
        <f>IF(data_status_reg!$E82="bajo",0,IF(data_status_reg!$E82="medio",0.5,IF(data_status_reg!$E82="alto",1,"falta riesgo")))</f>
        <v>0</v>
      </c>
      <c r="Q20" s="328"/>
      <c r="R20" s="3"/>
    </row>
    <row r="21" spans="1:18" ht="21.75" thickBot="1">
      <c r="A21" s="318"/>
      <c r="B21" s="338" t="s">
        <v>38</v>
      </c>
      <c r="C21" s="329"/>
      <c r="D21" s="330">
        <f>IF(data_status_reg!$E19="bajo",0,IF(data_status_reg!$E19="medio",0.5,IF(data_status_reg!$E19="alto",1,"falta riesgo")))</f>
        <v>0</v>
      </c>
      <c r="E21" s="331"/>
      <c r="F21" s="331"/>
      <c r="G21" s="344" t="s">
        <v>85</v>
      </c>
      <c r="H21" s="331"/>
      <c r="I21" s="331"/>
      <c r="J21" s="330">
        <f>IF(data_status_reg!$E51="bajo",0,IF(data_status_reg!$E51="medio",0.5,IF(data_status_reg!$E51="alto",1,"falta riesgo")))</f>
        <v>0</v>
      </c>
      <c r="K21" s="331"/>
      <c r="L21" s="332"/>
      <c r="M21" s="333">
        <f>IF(data_status_reg!$E67="bajo",0,IF(data_status_reg!$E67="medio",0.5,IF(data_status_reg!$E67="alto",1,"falta riesgo")))</f>
        <v>0</v>
      </c>
      <c r="N21" s="334"/>
      <c r="O21" s="342"/>
      <c r="P21" s="330">
        <f>IF(data_status_reg!$E83="bajo",0,IF(data_status_reg!$E83="medio",0.5,IF(data_status_reg!$E83="alto",1,"falta riesgo")))</f>
        <v>0</v>
      </c>
      <c r="Q21" s="335"/>
      <c r="R21" s="3"/>
    </row>
    <row r="22" spans="1:18">
      <c r="A22" s="318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20"/>
      <c r="B23" s="321"/>
      <c r="C23" s="321"/>
      <c r="D23" s="321"/>
      <c r="E23" s="321"/>
      <c r="F23" s="321"/>
      <c r="G23" s="321"/>
      <c r="H23" s="321"/>
      <c r="I23" s="321"/>
      <c r="J23" s="321"/>
      <c r="K23" s="321"/>
      <c r="L23" s="321"/>
      <c r="M23" s="321"/>
      <c r="N23" s="321"/>
      <c r="O23" s="321"/>
      <c r="P23" s="321"/>
      <c r="Q23" s="321"/>
      <c r="R23" s="321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1:J57"/>
  <sheetViews>
    <sheetView showGridLines="0" zoomScale="85" zoomScaleNormal="85" workbookViewId="0">
      <selection activeCell="F27" sqref="F27"/>
    </sheetView>
  </sheetViews>
  <sheetFormatPr baseColWidth="10" defaultColWidth="11.42578125" defaultRowHeight="18.75" outlineLevelCol="1"/>
  <cols>
    <col min="1" max="1" width="14.42578125" customWidth="1"/>
    <col min="2" max="2" width="17.85546875" customWidth="1"/>
    <col min="3" max="3" width="73.28515625" style="36" customWidth="1"/>
    <col min="4" max="4" width="11.5703125" style="587" bestFit="1" customWidth="1"/>
    <col min="5" max="5" width="22" style="4" bestFit="1" customWidth="1" outlineLevel="1"/>
  </cols>
  <sheetData>
    <row r="1" spans="1:10">
      <c r="E1" s="6" t="s">
        <v>40</v>
      </c>
    </row>
    <row r="2" spans="1:10" ht="18" customHeight="1">
      <c r="A2" s="10" t="s">
        <v>41</v>
      </c>
      <c r="B2" s="10"/>
    </row>
    <row r="3" spans="1:10" ht="18" customHeight="1">
      <c r="A3" s="10"/>
      <c r="B3" s="10"/>
      <c r="C3" s="37" t="s">
        <v>43</v>
      </c>
      <c r="D3" s="588">
        <f>IF($E3="bajo",0,IF($E3="medio",0.5,IF($E3="alto",1,"falta riesgo")))</f>
        <v>0</v>
      </c>
      <c r="E3" s="4" t="s">
        <v>333</v>
      </c>
      <c r="I3" t="s">
        <v>339</v>
      </c>
      <c r="J3" t="s">
        <v>13</v>
      </c>
    </row>
    <row r="4" spans="1:10" ht="18" customHeight="1">
      <c r="A4" s="10"/>
      <c r="B4" s="10"/>
      <c r="C4" s="37" t="s">
        <v>44</v>
      </c>
      <c r="D4" s="588">
        <f t="shared" ref="D4:D5" si="0">IF($E4="bajo",0,IF($E4="medio",0.5,IF($E4="alto",1,"falta riesgo")))</f>
        <v>0</v>
      </c>
      <c r="E4" s="4" t="s">
        <v>333</v>
      </c>
      <c r="I4" t="s">
        <v>340</v>
      </c>
      <c r="J4" t="s">
        <v>13</v>
      </c>
    </row>
    <row r="5" spans="1:10" ht="18" customHeight="1">
      <c r="A5" s="10"/>
      <c r="B5" s="10"/>
      <c r="C5" s="37" t="s">
        <v>42</v>
      </c>
      <c r="D5" s="588">
        <f t="shared" si="0"/>
        <v>0</v>
      </c>
      <c r="E5" s="4" t="s">
        <v>333</v>
      </c>
      <c r="I5" t="s">
        <v>341</v>
      </c>
      <c r="J5" t="s">
        <v>13</v>
      </c>
    </row>
    <row r="6" spans="1:10" ht="18" customHeight="1">
      <c r="A6" s="10"/>
      <c r="B6" s="10"/>
      <c r="C6" s="37"/>
      <c r="D6" s="588"/>
      <c r="I6" t="s">
        <v>339</v>
      </c>
      <c r="J6" t="s">
        <v>13</v>
      </c>
    </row>
    <row r="7" spans="1:10" ht="18" customHeight="1">
      <c r="A7" s="10" t="s">
        <v>45</v>
      </c>
      <c r="B7" s="10"/>
      <c r="C7" s="37" t="s">
        <v>46</v>
      </c>
      <c r="D7" s="588">
        <f>IF($E7="bajo",0,IF($E7="medio",0.5,IF($E7="alto",1,"falta riesgo")))</f>
        <v>0</v>
      </c>
      <c r="E7" s="4" t="s">
        <v>333</v>
      </c>
      <c r="I7" t="s">
        <v>340</v>
      </c>
      <c r="J7" t="s">
        <v>13</v>
      </c>
    </row>
    <row r="8" spans="1:10" ht="18" customHeight="1">
      <c r="A8" s="10"/>
      <c r="B8" s="10"/>
      <c r="C8" s="37" t="s">
        <v>47</v>
      </c>
      <c r="D8" s="588">
        <f t="shared" ref="D8:D11" si="1">IF($E8="bajo",0,IF($E8="medio",0.5,IF($E8="alto",1,"falta riesgo")))</f>
        <v>0</v>
      </c>
      <c r="E8" s="4" t="s">
        <v>333</v>
      </c>
      <c r="I8" t="s">
        <v>341</v>
      </c>
      <c r="J8" t="s">
        <v>13</v>
      </c>
    </row>
    <row r="9" spans="1:10" ht="18" customHeight="1">
      <c r="A9" s="10"/>
      <c r="B9" s="10"/>
      <c r="C9" s="37" t="s">
        <v>48</v>
      </c>
      <c r="D9" s="588">
        <f t="shared" si="1"/>
        <v>0</v>
      </c>
      <c r="E9" s="4" t="s">
        <v>333</v>
      </c>
      <c r="I9" t="s">
        <v>342</v>
      </c>
      <c r="J9" t="s">
        <v>13</v>
      </c>
    </row>
    <row r="10" spans="1:10" ht="18" customHeight="1">
      <c r="A10" s="10"/>
      <c r="B10" s="10"/>
      <c r="C10" s="37" t="s">
        <v>49</v>
      </c>
      <c r="D10" s="588">
        <f t="shared" si="1"/>
        <v>0</v>
      </c>
      <c r="E10" s="4" t="s">
        <v>333</v>
      </c>
      <c r="I10" t="s">
        <v>343</v>
      </c>
      <c r="J10" t="s">
        <v>13</v>
      </c>
    </row>
    <row r="11" spans="1:10" ht="18" customHeight="1">
      <c r="A11" s="10"/>
      <c r="B11" s="10"/>
      <c r="C11" s="37" t="s">
        <v>206</v>
      </c>
      <c r="D11" s="588">
        <f t="shared" si="1"/>
        <v>0</v>
      </c>
      <c r="E11" s="4" t="s">
        <v>333</v>
      </c>
      <c r="I11" t="s">
        <v>344</v>
      </c>
      <c r="J11" t="s">
        <v>13</v>
      </c>
    </row>
    <row r="12" spans="1:10" ht="18" customHeight="1">
      <c r="A12" s="10"/>
      <c r="B12" s="10"/>
      <c r="C12" s="37"/>
      <c r="D12" s="588"/>
      <c r="I12" t="s">
        <v>345</v>
      </c>
      <c r="J12" t="s">
        <v>13</v>
      </c>
    </row>
    <row r="13" spans="1:10" ht="18" customHeight="1">
      <c r="A13" s="10" t="s">
        <v>18</v>
      </c>
      <c r="B13" s="10"/>
      <c r="C13" s="37" t="s">
        <v>207</v>
      </c>
      <c r="D13" s="588">
        <f t="shared" ref="D13:D53" si="2">IF($E13="bajo",0,IF($E13="medio",0.5,IF($E13="alto",1,"falta riesgo")))</f>
        <v>0</v>
      </c>
      <c r="E13" s="4" t="s">
        <v>333</v>
      </c>
      <c r="I13" t="s">
        <v>346</v>
      </c>
      <c r="J13" t="s">
        <v>13</v>
      </c>
    </row>
    <row r="14" spans="1:10" ht="18" customHeight="1">
      <c r="A14" s="10"/>
      <c r="B14" s="10"/>
      <c r="C14" s="37" t="s">
        <v>208</v>
      </c>
      <c r="D14" s="588">
        <f t="shared" si="2"/>
        <v>0</v>
      </c>
      <c r="E14" s="4" t="s">
        <v>333</v>
      </c>
      <c r="I14" t="s">
        <v>347</v>
      </c>
      <c r="J14" t="s">
        <v>13</v>
      </c>
    </row>
    <row r="15" spans="1:10" ht="18" customHeight="1">
      <c r="A15" s="10"/>
      <c r="B15" s="10"/>
      <c r="C15" s="37" t="s">
        <v>209</v>
      </c>
      <c r="D15" s="588">
        <f t="shared" si="2"/>
        <v>0</v>
      </c>
      <c r="E15" s="4" t="s">
        <v>333</v>
      </c>
      <c r="I15" t="s">
        <v>348</v>
      </c>
      <c r="J15" t="s">
        <v>13</v>
      </c>
    </row>
    <row r="16" spans="1:10" ht="21">
      <c r="A16" s="10"/>
      <c r="B16" s="10"/>
      <c r="C16" s="37" t="s">
        <v>50</v>
      </c>
      <c r="D16" s="588">
        <f t="shared" si="2"/>
        <v>0</v>
      </c>
      <c r="E16" s="4" t="s">
        <v>333</v>
      </c>
      <c r="I16" t="s">
        <v>349</v>
      </c>
      <c r="J16" t="s">
        <v>13</v>
      </c>
    </row>
    <row r="17" spans="1:10" ht="18" customHeight="1">
      <c r="A17" s="10"/>
      <c r="B17" s="10"/>
      <c r="C17" s="37"/>
      <c r="D17" s="588"/>
      <c r="I17" t="s">
        <v>350</v>
      </c>
      <c r="J17" t="s">
        <v>13</v>
      </c>
    </row>
    <row r="18" spans="1:10" ht="18" customHeight="1">
      <c r="A18" s="10" t="s">
        <v>19</v>
      </c>
      <c r="B18" s="10"/>
      <c r="C18" s="37" t="s">
        <v>51</v>
      </c>
      <c r="D18" s="588">
        <f t="shared" si="2"/>
        <v>0</v>
      </c>
      <c r="E18" s="4" t="s">
        <v>333</v>
      </c>
      <c r="I18" t="s">
        <v>351</v>
      </c>
      <c r="J18" t="s">
        <v>13</v>
      </c>
    </row>
    <row r="19" spans="1:10" ht="18" customHeight="1">
      <c r="A19" s="10"/>
      <c r="B19" s="10"/>
      <c r="C19" s="37" t="s">
        <v>52</v>
      </c>
      <c r="D19" s="588">
        <f t="shared" si="2"/>
        <v>0</v>
      </c>
      <c r="E19" s="4" t="s">
        <v>333</v>
      </c>
      <c r="I19" t="s">
        <v>352</v>
      </c>
      <c r="J19" t="s">
        <v>13</v>
      </c>
    </row>
    <row r="20" spans="1:10" ht="18" customHeight="1">
      <c r="A20" s="10"/>
      <c r="B20" s="10"/>
      <c r="C20" s="37" t="s">
        <v>53</v>
      </c>
      <c r="D20" s="588">
        <f t="shared" si="2"/>
        <v>0</v>
      </c>
      <c r="E20" s="4" t="s">
        <v>333</v>
      </c>
      <c r="I20" t="s">
        <v>353</v>
      </c>
      <c r="J20" t="s">
        <v>13</v>
      </c>
    </row>
    <row r="21" spans="1:10" ht="18" customHeight="1">
      <c r="A21" s="10"/>
      <c r="B21" s="10"/>
      <c r="C21" s="37" t="s">
        <v>211</v>
      </c>
      <c r="D21" s="588">
        <f t="shared" si="2"/>
        <v>0</v>
      </c>
      <c r="E21" s="4" t="s">
        <v>333</v>
      </c>
      <c r="I21" t="s">
        <v>354</v>
      </c>
      <c r="J21" t="s">
        <v>13</v>
      </c>
    </row>
    <row r="22" spans="1:10" ht="18" customHeight="1">
      <c r="A22" s="10"/>
      <c r="B22" s="10"/>
      <c r="C22" s="37"/>
      <c r="D22" s="588"/>
      <c r="I22" t="s">
        <v>355</v>
      </c>
      <c r="J22" t="s">
        <v>13</v>
      </c>
    </row>
    <row r="23" spans="1:10" ht="18" customHeight="1">
      <c r="A23" s="10" t="s">
        <v>17</v>
      </c>
      <c r="B23" s="10"/>
      <c r="C23" s="37" t="s">
        <v>54</v>
      </c>
      <c r="D23" s="588">
        <f t="shared" si="2"/>
        <v>0</v>
      </c>
      <c r="E23" s="4" t="s">
        <v>333</v>
      </c>
      <c r="I23" t="s">
        <v>356</v>
      </c>
      <c r="J23" t="s">
        <v>13</v>
      </c>
    </row>
    <row r="24" spans="1:10" ht="22.5" customHeight="1">
      <c r="A24" s="10"/>
      <c r="B24" s="10"/>
      <c r="C24" s="37" t="s">
        <v>55</v>
      </c>
      <c r="D24" s="588">
        <f t="shared" si="2"/>
        <v>0</v>
      </c>
      <c r="E24" s="4" t="s">
        <v>333</v>
      </c>
      <c r="I24" t="s">
        <v>357</v>
      </c>
      <c r="J24" t="s">
        <v>13</v>
      </c>
    </row>
    <row r="25" spans="1:10" ht="18" customHeight="1">
      <c r="A25" s="10"/>
      <c r="B25" s="10"/>
      <c r="C25" s="37" t="s">
        <v>56</v>
      </c>
      <c r="D25" s="588">
        <f t="shared" si="2"/>
        <v>0</v>
      </c>
      <c r="E25" s="4" t="s">
        <v>333</v>
      </c>
      <c r="I25" t="s">
        <v>358</v>
      </c>
      <c r="J25" t="s">
        <v>13</v>
      </c>
    </row>
    <row r="26" spans="1:10" ht="18" customHeight="1">
      <c r="A26" s="10"/>
      <c r="B26" s="10"/>
      <c r="C26" s="37" t="s">
        <v>57</v>
      </c>
      <c r="D26" s="588">
        <f t="shared" si="2"/>
        <v>0</v>
      </c>
      <c r="E26" s="4" t="s">
        <v>333</v>
      </c>
      <c r="I26" t="s">
        <v>359</v>
      </c>
      <c r="J26" t="s">
        <v>13</v>
      </c>
    </row>
    <row r="27" spans="1:10" ht="18" customHeight="1">
      <c r="A27" s="10"/>
      <c r="B27" s="10"/>
      <c r="C27" s="37" t="s">
        <v>58</v>
      </c>
      <c r="D27" s="588">
        <f t="shared" si="2"/>
        <v>0</v>
      </c>
      <c r="E27" s="4" t="s">
        <v>333</v>
      </c>
      <c r="I27" t="s">
        <v>360</v>
      </c>
      <c r="J27" t="s">
        <v>13</v>
      </c>
    </row>
    <row r="28" spans="1:10" ht="18" customHeight="1">
      <c r="A28" s="10"/>
      <c r="B28" s="10"/>
      <c r="C28" s="37" t="s">
        <v>59</v>
      </c>
      <c r="D28" s="588">
        <f t="shared" si="2"/>
        <v>0</v>
      </c>
      <c r="E28" s="4" t="s">
        <v>333</v>
      </c>
      <c r="I28" t="s">
        <v>361</v>
      </c>
      <c r="J28" t="s">
        <v>13</v>
      </c>
    </row>
    <row r="29" spans="1:10" ht="18" customHeight="1">
      <c r="A29" s="10"/>
      <c r="B29" s="10"/>
      <c r="C29" s="37" t="s">
        <v>60</v>
      </c>
      <c r="D29" s="588">
        <f t="shared" si="2"/>
        <v>0</v>
      </c>
      <c r="E29" s="4" t="s">
        <v>333</v>
      </c>
      <c r="I29" t="s">
        <v>362</v>
      </c>
      <c r="J29" t="s">
        <v>13</v>
      </c>
    </row>
    <row r="30" spans="1:10" ht="18" customHeight="1">
      <c r="A30" s="10"/>
      <c r="B30" s="10"/>
      <c r="C30" s="37" t="s">
        <v>61</v>
      </c>
      <c r="D30" s="588">
        <f t="shared" si="2"/>
        <v>0</v>
      </c>
      <c r="E30" s="4" t="s">
        <v>333</v>
      </c>
      <c r="I30" t="s">
        <v>363</v>
      </c>
      <c r="J30" t="s">
        <v>13</v>
      </c>
    </row>
    <row r="31" spans="1:10" ht="18" customHeight="1">
      <c r="A31" s="10"/>
      <c r="B31" s="10"/>
      <c r="C31" s="37"/>
      <c r="D31" s="588"/>
      <c r="I31" t="s">
        <v>364</v>
      </c>
      <c r="J31" t="s">
        <v>13</v>
      </c>
    </row>
    <row r="32" spans="1:10" ht="18" customHeight="1">
      <c r="A32" s="10" t="s">
        <v>16</v>
      </c>
      <c r="B32" s="10"/>
      <c r="C32" s="37" t="s">
        <v>62</v>
      </c>
      <c r="D32" s="588">
        <f t="shared" si="2"/>
        <v>0</v>
      </c>
      <c r="E32" s="4" t="s">
        <v>333</v>
      </c>
      <c r="I32" t="s">
        <v>365</v>
      </c>
      <c r="J32" t="s">
        <v>13</v>
      </c>
    </row>
    <row r="33" spans="1:10" ht="18" customHeight="1">
      <c r="A33" s="10"/>
      <c r="B33" s="10"/>
      <c r="C33" s="37" t="s">
        <v>63</v>
      </c>
      <c r="D33" s="588">
        <f t="shared" si="2"/>
        <v>0</v>
      </c>
      <c r="E33" s="4" t="s">
        <v>333</v>
      </c>
      <c r="I33" t="s">
        <v>366</v>
      </c>
      <c r="J33" t="s">
        <v>13</v>
      </c>
    </row>
    <row r="34" spans="1:10" ht="18" customHeight="1">
      <c r="A34" s="10"/>
      <c r="B34" s="10"/>
      <c r="C34" s="37" t="s">
        <v>64</v>
      </c>
      <c r="D34" s="588">
        <f t="shared" si="2"/>
        <v>0</v>
      </c>
      <c r="E34" s="4" t="s">
        <v>333</v>
      </c>
      <c r="I34" t="s">
        <v>367</v>
      </c>
      <c r="J34" t="s">
        <v>13</v>
      </c>
    </row>
    <row r="35" spans="1:10" ht="18" customHeight="1">
      <c r="A35" s="10"/>
      <c r="B35" s="10"/>
      <c r="C35" s="37" t="s">
        <v>65</v>
      </c>
      <c r="D35" s="588">
        <f t="shared" si="2"/>
        <v>0</v>
      </c>
      <c r="E35" s="4" t="s">
        <v>333</v>
      </c>
      <c r="I35" t="s">
        <v>368</v>
      </c>
      <c r="J35" t="s">
        <v>13</v>
      </c>
    </row>
    <row r="36" spans="1:10" ht="18" customHeight="1">
      <c r="A36" s="10"/>
      <c r="B36" s="10"/>
      <c r="C36" s="37" t="s">
        <v>66</v>
      </c>
      <c r="D36" s="588">
        <f t="shared" si="2"/>
        <v>0</v>
      </c>
      <c r="E36" s="4" t="s">
        <v>333</v>
      </c>
      <c r="I36" t="s">
        <v>369</v>
      </c>
      <c r="J36" t="s">
        <v>13</v>
      </c>
    </row>
    <row r="37" spans="1:10" ht="21" customHeight="1">
      <c r="A37" s="10"/>
      <c r="B37" s="10"/>
      <c r="C37" s="37" t="s">
        <v>210</v>
      </c>
      <c r="D37" s="588">
        <f t="shared" si="2"/>
        <v>0</v>
      </c>
      <c r="E37" s="4" t="s">
        <v>333</v>
      </c>
      <c r="I37" t="s">
        <v>370</v>
      </c>
      <c r="J37" t="s">
        <v>13</v>
      </c>
    </row>
    <row r="38" spans="1:10" ht="21" customHeight="1">
      <c r="A38" s="10"/>
      <c r="B38" s="10"/>
      <c r="C38" s="37"/>
      <c r="D38" s="588"/>
      <c r="I38" t="s">
        <v>371</v>
      </c>
      <c r="J38" t="s">
        <v>13</v>
      </c>
    </row>
    <row r="39" spans="1:10" ht="18" customHeight="1">
      <c r="A39" s="10" t="s">
        <v>20</v>
      </c>
      <c r="B39" s="10"/>
      <c r="C39" s="37" t="s">
        <v>67</v>
      </c>
      <c r="D39" s="588">
        <f t="shared" si="2"/>
        <v>0</v>
      </c>
      <c r="E39" s="4" t="s">
        <v>333</v>
      </c>
      <c r="I39" t="s">
        <v>372</v>
      </c>
      <c r="J39" t="s">
        <v>13</v>
      </c>
    </row>
    <row r="40" spans="1:10" ht="18" customHeight="1">
      <c r="A40" s="10"/>
      <c r="B40" s="10"/>
      <c r="C40" s="37" t="s">
        <v>68</v>
      </c>
      <c r="D40" s="588">
        <f t="shared" si="2"/>
        <v>0</v>
      </c>
      <c r="E40" s="4" t="s">
        <v>333</v>
      </c>
      <c r="I40" t="s">
        <v>373</v>
      </c>
      <c r="J40" t="s">
        <v>13</v>
      </c>
    </row>
    <row r="41" spans="1:10" ht="18" customHeight="1">
      <c r="A41" s="10"/>
      <c r="B41" s="10"/>
      <c r="C41" s="37" t="s">
        <v>69</v>
      </c>
      <c r="D41" s="588">
        <f t="shared" si="2"/>
        <v>0</v>
      </c>
      <c r="E41" s="4" t="s">
        <v>333</v>
      </c>
      <c r="I41" t="s">
        <v>374</v>
      </c>
      <c r="J41" t="s">
        <v>13</v>
      </c>
    </row>
    <row r="42" spans="1:10" ht="18" customHeight="1">
      <c r="A42" s="10"/>
      <c r="B42" s="10"/>
      <c r="C42" s="37" t="s">
        <v>70</v>
      </c>
      <c r="D42" s="588">
        <f t="shared" si="2"/>
        <v>0</v>
      </c>
      <c r="E42" s="4" t="s">
        <v>333</v>
      </c>
      <c r="I42" t="s">
        <v>375</v>
      </c>
      <c r="J42" t="s">
        <v>13</v>
      </c>
    </row>
    <row r="43" spans="1:10" ht="18" customHeight="1">
      <c r="A43" s="10"/>
      <c r="B43" s="10"/>
      <c r="C43" s="37" t="s">
        <v>71</v>
      </c>
      <c r="D43" s="588">
        <f t="shared" si="2"/>
        <v>0</v>
      </c>
      <c r="E43" s="4" t="s">
        <v>333</v>
      </c>
      <c r="I43" t="s">
        <v>376</v>
      </c>
      <c r="J43" t="s">
        <v>13</v>
      </c>
    </row>
    <row r="44" spans="1:10" ht="18" customHeight="1">
      <c r="A44" s="10"/>
      <c r="B44" s="10"/>
      <c r="C44" s="37" t="s">
        <v>212</v>
      </c>
      <c r="D44" s="588">
        <f t="shared" si="2"/>
        <v>0</v>
      </c>
      <c r="E44" s="4" t="s">
        <v>333</v>
      </c>
      <c r="I44" t="s">
        <v>377</v>
      </c>
      <c r="J44" t="s">
        <v>13</v>
      </c>
    </row>
    <row r="45" spans="1:10" ht="20.25" customHeight="1">
      <c r="A45" s="10"/>
      <c r="B45" s="10"/>
      <c r="C45" s="37" t="s">
        <v>72</v>
      </c>
      <c r="D45" s="588">
        <f t="shared" si="2"/>
        <v>0</v>
      </c>
      <c r="E45" s="4" t="s">
        <v>333</v>
      </c>
      <c r="I45" t="s">
        <v>378</v>
      </c>
      <c r="J45" t="s">
        <v>13</v>
      </c>
    </row>
    <row r="46" spans="1:10" ht="18" customHeight="1">
      <c r="A46" s="10"/>
      <c r="B46" s="10"/>
      <c r="C46" s="37"/>
      <c r="D46" s="588"/>
      <c r="I46" t="s">
        <v>379</v>
      </c>
      <c r="J46" t="s">
        <v>13</v>
      </c>
    </row>
    <row r="47" spans="1:10" ht="18" customHeight="1">
      <c r="A47" s="10" t="s">
        <v>22</v>
      </c>
      <c r="B47" s="10"/>
      <c r="C47" s="37" t="s">
        <v>73</v>
      </c>
      <c r="D47" s="588">
        <f t="shared" si="2"/>
        <v>0</v>
      </c>
      <c r="E47" s="4" t="s">
        <v>333</v>
      </c>
      <c r="I47" t="s">
        <v>380</v>
      </c>
      <c r="J47" t="s">
        <v>13</v>
      </c>
    </row>
    <row r="48" spans="1:10" ht="18" customHeight="1">
      <c r="A48" s="10"/>
      <c r="B48" s="10"/>
      <c r="C48" s="37" t="s">
        <v>74</v>
      </c>
      <c r="D48" s="588">
        <f t="shared" si="2"/>
        <v>0</v>
      </c>
      <c r="E48" s="4" t="s">
        <v>333</v>
      </c>
      <c r="I48" t="s">
        <v>381</v>
      </c>
      <c r="J48" t="s">
        <v>13</v>
      </c>
    </row>
    <row r="49" spans="1:10" ht="18" customHeight="1">
      <c r="A49" s="10"/>
      <c r="B49" s="10"/>
      <c r="C49" s="37" t="s">
        <v>75</v>
      </c>
      <c r="D49" s="588">
        <f t="shared" si="2"/>
        <v>0</v>
      </c>
      <c r="E49" s="4" t="s">
        <v>333</v>
      </c>
      <c r="I49" t="s">
        <v>382</v>
      </c>
      <c r="J49" t="s">
        <v>13</v>
      </c>
    </row>
    <row r="50" spans="1:10" ht="18" customHeight="1">
      <c r="A50" s="10"/>
      <c r="B50" s="10"/>
      <c r="C50" s="37" t="s">
        <v>76</v>
      </c>
      <c r="D50" s="588">
        <f t="shared" si="2"/>
        <v>0</v>
      </c>
      <c r="E50" s="4" t="s">
        <v>333</v>
      </c>
    </row>
    <row r="51" spans="1:10" ht="18" customHeight="1">
      <c r="A51" s="10"/>
      <c r="B51" s="10"/>
      <c r="C51" s="37" t="s">
        <v>77</v>
      </c>
      <c r="D51" s="588">
        <f t="shared" si="2"/>
        <v>0</v>
      </c>
      <c r="E51" s="4" t="s">
        <v>333</v>
      </c>
    </row>
    <row r="52" spans="1:10" ht="18" customHeight="1">
      <c r="A52" s="10"/>
      <c r="B52" s="10"/>
      <c r="C52" s="37" t="s">
        <v>78</v>
      </c>
      <c r="D52" s="588">
        <f t="shared" si="2"/>
        <v>0</v>
      </c>
      <c r="E52" s="4" t="s">
        <v>333</v>
      </c>
    </row>
    <row r="53" spans="1:10" ht="18" customHeight="1">
      <c r="A53" s="10"/>
      <c r="B53" s="10"/>
      <c r="C53" s="37" t="s">
        <v>79</v>
      </c>
      <c r="D53" s="588">
        <f t="shared" si="2"/>
        <v>0</v>
      </c>
      <c r="E53" s="4" t="s">
        <v>333</v>
      </c>
    </row>
    <row r="54" spans="1:10">
      <c r="D54" s="589"/>
    </row>
    <row r="55" spans="1:10">
      <c r="D55" s="589"/>
    </row>
    <row r="56" spans="1:10">
      <c r="D56" s="589"/>
    </row>
    <row r="57" spans="1:10">
      <c r="D57" s="589"/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4" id="{289D36AF-E676-49E1-BECF-6CC4B8AAC096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D3:D53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E4" sqref="E4:E83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5" t="s">
        <v>86</v>
      </c>
      <c r="C3" s="75" t="s">
        <v>39</v>
      </c>
      <c r="D3" s="75" t="s">
        <v>110</v>
      </c>
      <c r="E3" s="75" t="s">
        <v>111</v>
      </c>
    </row>
    <row r="4" spans="2:5">
      <c r="B4" s="2" t="s">
        <v>216</v>
      </c>
      <c r="C4" s="2" t="s">
        <v>221</v>
      </c>
      <c r="D4" s="2" t="s">
        <v>23</v>
      </c>
      <c r="E4" s="76" t="s">
        <v>13</v>
      </c>
    </row>
    <row r="5" spans="2:5">
      <c r="B5" s="2" t="s">
        <v>216</v>
      </c>
      <c r="C5" s="2" t="s">
        <v>222</v>
      </c>
      <c r="D5" s="2" t="s">
        <v>24</v>
      </c>
      <c r="E5" s="76" t="s">
        <v>13</v>
      </c>
    </row>
    <row r="6" spans="2:5">
      <c r="B6" s="2" t="s">
        <v>216</v>
      </c>
      <c r="C6" s="2" t="s">
        <v>223</v>
      </c>
      <c r="D6" s="2" t="s">
        <v>25</v>
      </c>
      <c r="E6" s="76" t="s">
        <v>13</v>
      </c>
    </row>
    <row r="7" spans="2:5">
      <c r="B7" s="2" t="s">
        <v>216</v>
      </c>
      <c r="C7" s="2" t="s">
        <v>224</v>
      </c>
      <c r="D7" s="2" t="s">
        <v>26</v>
      </c>
      <c r="E7" s="76" t="s">
        <v>13</v>
      </c>
    </row>
    <row r="8" spans="2:5">
      <c r="B8" s="2" t="s">
        <v>216</v>
      </c>
      <c r="C8" s="2" t="s">
        <v>225</v>
      </c>
      <c r="D8" s="2" t="s">
        <v>27</v>
      </c>
      <c r="E8" s="76" t="s">
        <v>13</v>
      </c>
    </row>
    <row r="9" spans="2:5">
      <c r="B9" s="2" t="s">
        <v>216</v>
      </c>
      <c r="C9" s="2" t="s">
        <v>226</v>
      </c>
      <c r="D9" s="2" t="s">
        <v>28</v>
      </c>
      <c r="E9" s="76" t="s">
        <v>13</v>
      </c>
    </row>
    <row r="10" spans="2:5">
      <c r="B10" s="2" t="s">
        <v>216</v>
      </c>
      <c r="C10" s="2" t="s">
        <v>227</v>
      </c>
      <c r="D10" s="2" t="s">
        <v>29</v>
      </c>
      <c r="E10" s="76" t="s">
        <v>13</v>
      </c>
    </row>
    <row r="11" spans="2:5">
      <c r="B11" s="2" t="s">
        <v>216</v>
      </c>
      <c r="C11" s="2" t="s">
        <v>228</v>
      </c>
      <c r="D11" s="2" t="s">
        <v>30</v>
      </c>
      <c r="E11" s="76" t="s">
        <v>13</v>
      </c>
    </row>
    <row r="12" spans="2:5">
      <c r="B12" s="2" t="s">
        <v>216</v>
      </c>
      <c r="C12" s="2" t="s">
        <v>229</v>
      </c>
      <c r="D12" s="2" t="s">
        <v>215</v>
      </c>
      <c r="E12" s="76" t="s">
        <v>13</v>
      </c>
    </row>
    <row r="13" spans="2:5">
      <c r="B13" s="2" t="s">
        <v>216</v>
      </c>
      <c r="C13" s="2" t="s">
        <v>230</v>
      </c>
      <c r="D13" s="2" t="s">
        <v>32</v>
      </c>
      <c r="E13" s="76" t="s">
        <v>13</v>
      </c>
    </row>
    <row r="14" spans="2:5">
      <c r="B14" s="2" t="s">
        <v>216</v>
      </c>
      <c r="C14" s="2" t="s">
        <v>231</v>
      </c>
      <c r="D14" s="2" t="s">
        <v>33</v>
      </c>
      <c r="E14" s="76" t="s">
        <v>13</v>
      </c>
    </row>
    <row r="15" spans="2:5">
      <c r="B15" s="2" t="s">
        <v>216</v>
      </c>
      <c r="C15" s="2" t="s">
        <v>232</v>
      </c>
      <c r="D15" s="2" t="s">
        <v>34</v>
      </c>
      <c r="E15" s="76" t="s">
        <v>13</v>
      </c>
    </row>
    <row r="16" spans="2:5">
      <c r="B16" s="2" t="s">
        <v>216</v>
      </c>
      <c r="C16" s="2" t="s">
        <v>233</v>
      </c>
      <c r="D16" s="2" t="s">
        <v>35</v>
      </c>
      <c r="E16" s="76" t="s">
        <v>13</v>
      </c>
    </row>
    <row r="17" spans="2:5">
      <c r="B17" s="2" t="s">
        <v>216</v>
      </c>
      <c r="C17" s="2" t="s">
        <v>234</v>
      </c>
      <c r="D17" s="2" t="s">
        <v>36</v>
      </c>
      <c r="E17" s="76" t="s">
        <v>13</v>
      </c>
    </row>
    <row r="18" spans="2:5">
      <c r="B18" s="2" t="s">
        <v>216</v>
      </c>
      <c r="C18" s="2" t="s">
        <v>235</v>
      </c>
      <c r="D18" s="2" t="s">
        <v>37</v>
      </c>
      <c r="E18" s="76" t="s">
        <v>13</v>
      </c>
    </row>
    <row r="19" spans="2:5">
      <c r="B19" s="2" t="s">
        <v>216</v>
      </c>
      <c r="C19" s="2" t="s">
        <v>236</v>
      </c>
      <c r="D19" s="2" t="s">
        <v>38</v>
      </c>
      <c r="E19" s="76" t="s">
        <v>13</v>
      </c>
    </row>
    <row r="20" spans="2:5">
      <c r="B20" s="77" t="s">
        <v>217</v>
      </c>
      <c r="C20" s="77" t="s">
        <v>237</v>
      </c>
      <c r="D20" s="77" t="s">
        <v>23</v>
      </c>
      <c r="E20" s="76" t="s">
        <v>13</v>
      </c>
    </row>
    <row r="21" spans="2:5">
      <c r="B21" s="77" t="s">
        <v>217</v>
      </c>
      <c r="C21" s="77" t="s">
        <v>238</v>
      </c>
      <c r="D21" s="77" t="s">
        <v>24</v>
      </c>
      <c r="E21" s="76" t="s">
        <v>13</v>
      </c>
    </row>
    <row r="22" spans="2:5">
      <c r="B22" s="77" t="s">
        <v>217</v>
      </c>
      <c r="C22" s="77" t="s">
        <v>239</v>
      </c>
      <c r="D22" s="77" t="s">
        <v>25</v>
      </c>
      <c r="E22" s="76" t="s">
        <v>13</v>
      </c>
    </row>
    <row r="23" spans="2:5">
      <c r="B23" s="77" t="s">
        <v>217</v>
      </c>
      <c r="C23" s="77" t="s">
        <v>240</v>
      </c>
      <c r="D23" s="77" t="s">
        <v>26</v>
      </c>
      <c r="E23" s="76" t="s">
        <v>13</v>
      </c>
    </row>
    <row r="24" spans="2:5">
      <c r="B24" s="77" t="s">
        <v>217</v>
      </c>
      <c r="C24" s="77" t="s">
        <v>241</v>
      </c>
      <c r="D24" s="77" t="s">
        <v>27</v>
      </c>
      <c r="E24" s="76" t="s">
        <v>13</v>
      </c>
    </row>
    <row r="25" spans="2:5">
      <c r="B25" s="77" t="s">
        <v>217</v>
      </c>
      <c r="C25" s="77" t="s">
        <v>242</v>
      </c>
      <c r="D25" s="77" t="s">
        <v>28</v>
      </c>
      <c r="E25" s="76" t="s">
        <v>13</v>
      </c>
    </row>
    <row r="26" spans="2:5">
      <c r="B26" s="77" t="s">
        <v>217</v>
      </c>
      <c r="C26" s="77" t="s">
        <v>243</v>
      </c>
      <c r="D26" s="77" t="s">
        <v>29</v>
      </c>
      <c r="E26" s="76" t="s">
        <v>13</v>
      </c>
    </row>
    <row r="27" spans="2:5">
      <c r="B27" s="77" t="s">
        <v>217</v>
      </c>
      <c r="C27" s="77" t="s">
        <v>244</v>
      </c>
      <c r="D27" s="77" t="s">
        <v>30</v>
      </c>
      <c r="E27" s="76" t="s">
        <v>13</v>
      </c>
    </row>
    <row r="28" spans="2:5">
      <c r="B28" s="77" t="s">
        <v>217</v>
      </c>
      <c r="C28" s="77" t="s">
        <v>245</v>
      </c>
      <c r="D28" s="77" t="s">
        <v>215</v>
      </c>
      <c r="E28" s="76" t="s">
        <v>13</v>
      </c>
    </row>
    <row r="29" spans="2:5">
      <c r="B29" s="77" t="s">
        <v>217</v>
      </c>
      <c r="C29" s="77" t="s">
        <v>246</v>
      </c>
      <c r="D29" s="77" t="s">
        <v>32</v>
      </c>
      <c r="E29" s="76" t="s">
        <v>13</v>
      </c>
    </row>
    <row r="30" spans="2:5">
      <c r="B30" s="77" t="s">
        <v>217</v>
      </c>
      <c r="C30" s="77" t="s">
        <v>247</v>
      </c>
      <c r="D30" s="77" t="s">
        <v>33</v>
      </c>
      <c r="E30" s="76" t="s">
        <v>13</v>
      </c>
    </row>
    <row r="31" spans="2:5">
      <c r="B31" s="77" t="s">
        <v>217</v>
      </c>
      <c r="C31" s="77" t="s">
        <v>248</v>
      </c>
      <c r="D31" s="77" t="s">
        <v>34</v>
      </c>
      <c r="E31" s="76" t="s">
        <v>13</v>
      </c>
    </row>
    <row r="32" spans="2:5">
      <c r="B32" s="77" t="s">
        <v>217</v>
      </c>
      <c r="C32" s="77" t="s">
        <v>249</v>
      </c>
      <c r="D32" s="77" t="s">
        <v>35</v>
      </c>
      <c r="E32" s="76" t="s">
        <v>85</v>
      </c>
    </row>
    <row r="33" spans="2:5">
      <c r="B33" s="77" t="s">
        <v>217</v>
      </c>
      <c r="C33" s="77" t="s">
        <v>250</v>
      </c>
      <c r="D33" s="77" t="s">
        <v>36</v>
      </c>
      <c r="E33" s="76" t="s">
        <v>13</v>
      </c>
    </row>
    <row r="34" spans="2:5">
      <c r="B34" s="77" t="s">
        <v>217</v>
      </c>
      <c r="C34" s="77" t="s">
        <v>251</v>
      </c>
      <c r="D34" s="77" t="s">
        <v>37</v>
      </c>
      <c r="E34" s="76" t="s">
        <v>13</v>
      </c>
    </row>
    <row r="35" spans="2:5">
      <c r="B35" s="77" t="s">
        <v>217</v>
      </c>
      <c r="C35" s="77" t="s">
        <v>252</v>
      </c>
      <c r="D35" s="77" t="s">
        <v>38</v>
      </c>
      <c r="E35" s="76" t="s">
        <v>85</v>
      </c>
    </row>
    <row r="36" spans="2:5">
      <c r="B36" s="74" t="s">
        <v>218</v>
      </c>
      <c r="C36" s="2" t="s">
        <v>253</v>
      </c>
      <c r="D36" s="2" t="s">
        <v>23</v>
      </c>
      <c r="E36" s="76" t="s">
        <v>13</v>
      </c>
    </row>
    <row r="37" spans="2:5">
      <c r="B37" s="74" t="s">
        <v>218</v>
      </c>
      <c r="C37" s="2" t="s">
        <v>254</v>
      </c>
      <c r="D37" s="2" t="s">
        <v>24</v>
      </c>
      <c r="E37" s="76" t="s">
        <v>13</v>
      </c>
    </row>
    <row r="38" spans="2:5">
      <c r="B38" s="74" t="s">
        <v>218</v>
      </c>
      <c r="C38" s="2" t="s">
        <v>255</v>
      </c>
      <c r="D38" s="2" t="s">
        <v>25</v>
      </c>
      <c r="E38" s="76" t="s">
        <v>13</v>
      </c>
    </row>
    <row r="39" spans="2:5">
      <c r="B39" s="74" t="s">
        <v>218</v>
      </c>
      <c r="C39" s="2" t="s">
        <v>256</v>
      </c>
      <c r="D39" s="2" t="s">
        <v>26</v>
      </c>
      <c r="E39" s="76" t="s">
        <v>13</v>
      </c>
    </row>
    <row r="40" spans="2:5">
      <c r="B40" s="74" t="s">
        <v>218</v>
      </c>
      <c r="C40" s="2" t="s">
        <v>257</v>
      </c>
      <c r="D40" s="2" t="s">
        <v>27</v>
      </c>
      <c r="E40" s="76" t="s">
        <v>13</v>
      </c>
    </row>
    <row r="41" spans="2:5">
      <c r="B41" s="74" t="s">
        <v>218</v>
      </c>
      <c r="C41" s="2" t="s">
        <v>258</v>
      </c>
      <c r="D41" s="2" t="s">
        <v>28</v>
      </c>
      <c r="E41" s="76" t="s">
        <v>13</v>
      </c>
    </row>
    <row r="42" spans="2:5">
      <c r="B42" s="74" t="s">
        <v>218</v>
      </c>
      <c r="C42" s="2" t="s">
        <v>259</v>
      </c>
      <c r="D42" s="2" t="s">
        <v>29</v>
      </c>
      <c r="E42" s="76" t="s">
        <v>13</v>
      </c>
    </row>
    <row r="43" spans="2:5">
      <c r="B43" s="74" t="s">
        <v>218</v>
      </c>
      <c r="C43" s="2" t="s">
        <v>260</v>
      </c>
      <c r="D43" s="2" t="s">
        <v>30</v>
      </c>
      <c r="E43" s="76" t="s">
        <v>13</v>
      </c>
    </row>
    <row r="44" spans="2:5">
      <c r="B44" s="74" t="s">
        <v>218</v>
      </c>
      <c r="C44" s="2" t="s">
        <v>261</v>
      </c>
      <c r="D44" s="2" t="s">
        <v>215</v>
      </c>
      <c r="E44" s="76" t="s">
        <v>13</v>
      </c>
    </row>
    <row r="45" spans="2:5">
      <c r="B45" s="74" t="s">
        <v>218</v>
      </c>
      <c r="C45" s="2" t="s">
        <v>262</v>
      </c>
      <c r="D45" s="2" t="s">
        <v>32</v>
      </c>
      <c r="E45" s="76" t="s">
        <v>13</v>
      </c>
    </row>
    <row r="46" spans="2:5">
      <c r="B46" s="74" t="s">
        <v>218</v>
      </c>
      <c r="C46" s="2" t="s">
        <v>263</v>
      </c>
      <c r="D46" s="2" t="s">
        <v>33</v>
      </c>
      <c r="E46" s="76" t="s">
        <v>13</v>
      </c>
    </row>
    <row r="47" spans="2:5">
      <c r="B47" s="74" t="s">
        <v>218</v>
      </c>
      <c r="C47" s="2" t="s">
        <v>264</v>
      </c>
      <c r="D47" s="2" t="s">
        <v>34</v>
      </c>
      <c r="E47" s="76" t="s">
        <v>13</v>
      </c>
    </row>
    <row r="48" spans="2:5">
      <c r="B48" s="74" t="s">
        <v>218</v>
      </c>
      <c r="C48" s="2" t="s">
        <v>265</v>
      </c>
      <c r="D48" s="2" t="s">
        <v>35</v>
      </c>
      <c r="E48" s="76" t="s">
        <v>13</v>
      </c>
    </row>
    <row r="49" spans="2:5">
      <c r="B49" s="74" t="s">
        <v>218</v>
      </c>
      <c r="C49" s="2" t="s">
        <v>266</v>
      </c>
      <c r="D49" s="2" t="s">
        <v>36</v>
      </c>
      <c r="E49" s="76" t="s">
        <v>13</v>
      </c>
    </row>
    <row r="50" spans="2:5">
      <c r="B50" s="74" t="s">
        <v>218</v>
      </c>
      <c r="C50" s="2" t="s">
        <v>267</v>
      </c>
      <c r="D50" s="2" t="s">
        <v>37</v>
      </c>
      <c r="E50" s="76" t="s">
        <v>13</v>
      </c>
    </row>
    <row r="51" spans="2:5">
      <c r="B51" s="74" t="s">
        <v>218</v>
      </c>
      <c r="C51" s="2" t="s">
        <v>268</v>
      </c>
      <c r="D51" s="2" t="s">
        <v>38</v>
      </c>
      <c r="E51" s="76" t="s">
        <v>13</v>
      </c>
    </row>
    <row r="52" spans="2:5">
      <c r="B52" s="74" t="s">
        <v>219</v>
      </c>
      <c r="C52" s="2" t="s">
        <v>269</v>
      </c>
      <c r="D52" s="78" t="s">
        <v>23</v>
      </c>
      <c r="E52" s="76" t="s">
        <v>13</v>
      </c>
    </row>
    <row r="53" spans="2:5">
      <c r="B53" s="74" t="s">
        <v>219</v>
      </c>
      <c r="C53" s="2" t="s">
        <v>270</v>
      </c>
      <c r="D53" s="78" t="s">
        <v>24</v>
      </c>
      <c r="E53" s="76" t="s">
        <v>13</v>
      </c>
    </row>
    <row r="54" spans="2:5">
      <c r="B54" s="74" t="s">
        <v>219</v>
      </c>
      <c r="C54" s="2" t="s">
        <v>271</v>
      </c>
      <c r="D54" s="78" t="s">
        <v>25</v>
      </c>
      <c r="E54" s="76" t="s">
        <v>13</v>
      </c>
    </row>
    <row r="55" spans="2:5">
      <c r="B55" s="74" t="s">
        <v>219</v>
      </c>
      <c r="C55" s="2" t="s">
        <v>272</v>
      </c>
      <c r="D55" s="78" t="s">
        <v>26</v>
      </c>
      <c r="E55" s="76" t="s">
        <v>13</v>
      </c>
    </row>
    <row r="56" spans="2:5">
      <c r="B56" s="74" t="s">
        <v>219</v>
      </c>
      <c r="C56" s="2" t="s">
        <v>273</v>
      </c>
      <c r="D56" s="78" t="s">
        <v>27</v>
      </c>
      <c r="E56" s="76" t="s">
        <v>13</v>
      </c>
    </row>
    <row r="57" spans="2:5">
      <c r="B57" s="74" t="s">
        <v>219</v>
      </c>
      <c r="C57" s="2" t="s">
        <v>274</v>
      </c>
      <c r="D57" s="78" t="s">
        <v>28</v>
      </c>
      <c r="E57" s="76" t="s">
        <v>13</v>
      </c>
    </row>
    <row r="58" spans="2:5">
      <c r="B58" s="74" t="s">
        <v>219</v>
      </c>
      <c r="C58" s="2" t="s">
        <v>275</v>
      </c>
      <c r="D58" s="78" t="s">
        <v>29</v>
      </c>
      <c r="E58" s="76" t="s">
        <v>13</v>
      </c>
    </row>
    <row r="59" spans="2:5">
      <c r="B59" s="74" t="s">
        <v>219</v>
      </c>
      <c r="C59" s="2" t="s">
        <v>276</v>
      </c>
      <c r="D59" s="78" t="s">
        <v>30</v>
      </c>
      <c r="E59" s="76" t="s">
        <v>13</v>
      </c>
    </row>
    <row r="60" spans="2:5">
      <c r="B60" s="74" t="s">
        <v>219</v>
      </c>
      <c r="C60" s="2" t="s">
        <v>277</v>
      </c>
      <c r="D60" s="78" t="s">
        <v>215</v>
      </c>
      <c r="E60" s="76" t="s">
        <v>13</v>
      </c>
    </row>
    <row r="61" spans="2:5">
      <c r="B61" s="74" t="s">
        <v>219</v>
      </c>
      <c r="C61" s="2" t="s">
        <v>278</v>
      </c>
      <c r="D61" s="78" t="s">
        <v>32</v>
      </c>
      <c r="E61" s="76" t="s">
        <v>13</v>
      </c>
    </row>
    <row r="62" spans="2:5">
      <c r="B62" s="74" t="s">
        <v>219</v>
      </c>
      <c r="C62" s="2" t="s">
        <v>279</v>
      </c>
      <c r="D62" s="78" t="s">
        <v>33</v>
      </c>
      <c r="E62" s="76" t="s">
        <v>13</v>
      </c>
    </row>
    <row r="63" spans="2:5">
      <c r="B63" s="74" t="s">
        <v>219</v>
      </c>
      <c r="C63" s="2" t="s">
        <v>280</v>
      </c>
      <c r="D63" s="78" t="s">
        <v>34</v>
      </c>
      <c r="E63" s="76" t="s">
        <v>13</v>
      </c>
    </row>
    <row r="64" spans="2:5">
      <c r="B64" s="74" t="s">
        <v>219</v>
      </c>
      <c r="C64" s="2" t="s">
        <v>281</v>
      </c>
      <c r="D64" s="78" t="s">
        <v>35</v>
      </c>
      <c r="E64" s="76" t="s">
        <v>13</v>
      </c>
    </row>
    <row r="65" spans="2:5">
      <c r="B65" s="74" t="s">
        <v>219</v>
      </c>
      <c r="C65" s="2" t="s">
        <v>282</v>
      </c>
      <c r="D65" s="78" t="s">
        <v>36</v>
      </c>
      <c r="E65" s="76" t="s">
        <v>13</v>
      </c>
    </row>
    <row r="66" spans="2:5">
      <c r="B66" s="74" t="s">
        <v>219</v>
      </c>
      <c r="C66" s="2" t="s">
        <v>283</v>
      </c>
      <c r="D66" s="78" t="s">
        <v>37</v>
      </c>
      <c r="E66" s="76" t="s">
        <v>13</v>
      </c>
    </row>
    <row r="67" spans="2:5">
      <c r="B67" s="74" t="s">
        <v>219</v>
      </c>
      <c r="C67" s="2" t="s">
        <v>284</v>
      </c>
      <c r="D67" s="78" t="s">
        <v>38</v>
      </c>
      <c r="E67" s="76" t="s">
        <v>13</v>
      </c>
    </row>
    <row r="68" spans="2:5">
      <c r="B68" s="74" t="s">
        <v>220</v>
      </c>
      <c r="C68" s="2" t="s">
        <v>285</v>
      </c>
      <c r="D68" s="78" t="s">
        <v>23</v>
      </c>
      <c r="E68" s="76" t="s">
        <v>13</v>
      </c>
    </row>
    <row r="69" spans="2:5">
      <c r="B69" s="74" t="s">
        <v>220</v>
      </c>
      <c r="C69" s="2" t="s">
        <v>286</v>
      </c>
      <c r="D69" s="78" t="s">
        <v>24</v>
      </c>
      <c r="E69" s="76" t="s">
        <v>13</v>
      </c>
    </row>
    <row r="70" spans="2:5">
      <c r="B70" s="74" t="s">
        <v>220</v>
      </c>
      <c r="C70" s="2" t="s">
        <v>287</v>
      </c>
      <c r="D70" s="78" t="s">
        <v>25</v>
      </c>
      <c r="E70" s="76" t="s">
        <v>13</v>
      </c>
    </row>
    <row r="71" spans="2:5">
      <c r="B71" s="74" t="s">
        <v>220</v>
      </c>
      <c r="C71" s="2" t="s">
        <v>288</v>
      </c>
      <c r="D71" s="78" t="s">
        <v>26</v>
      </c>
      <c r="E71" s="76" t="s">
        <v>13</v>
      </c>
    </row>
    <row r="72" spans="2:5">
      <c r="B72" s="74" t="s">
        <v>220</v>
      </c>
      <c r="C72" s="2" t="s">
        <v>289</v>
      </c>
      <c r="D72" s="78" t="s">
        <v>27</v>
      </c>
      <c r="E72" s="76" t="s">
        <v>13</v>
      </c>
    </row>
    <row r="73" spans="2:5">
      <c r="B73" s="74" t="s">
        <v>220</v>
      </c>
      <c r="C73" s="2" t="s">
        <v>290</v>
      </c>
      <c r="D73" s="78" t="s">
        <v>28</v>
      </c>
      <c r="E73" s="76" t="s">
        <v>13</v>
      </c>
    </row>
    <row r="74" spans="2:5">
      <c r="B74" s="74" t="s">
        <v>220</v>
      </c>
      <c r="C74" s="2" t="s">
        <v>291</v>
      </c>
      <c r="D74" s="78" t="s">
        <v>29</v>
      </c>
      <c r="E74" s="76" t="s">
        <v>13</v>
      </c>
    </row>
    <row r="75" spans="2:5">
      <c r="B75" s="74" t="s">
        <v>220</v>
      </c>
      <c r="C75" s="2" t="s">
        <v>292</v>
      </c>
      <c r="D75" s="78" t="s">
        <v>30</v>
      </c>
      <c r="E75" s="76" t="s">
        <v>13</v>
      </c>
    </row>
    <row r="76" spans="2:5">
      <c r="B76" s="74" t="s">
        <v>220</v>
      </c>
      <c r="C76" s="2" t="s">
        <v>293</v>
      </c>
      <c r="D76" s="78" t="s">
        <v>215</v>
      </c>
      <c r="E76" s="76" t="s">
        <v>13</v>
      </c>
    </row>
    <row r="77" spans="2:5">
      <c r="B77" s="74" t="s">
        <v>220</v>
      </c>
      <c r="C77" s="2" t="s">
        <v>294</v>
      </c>
      <c r="D77" s="78" t="s">
        <v>32</v>
      </c>
      <c r="E77" s="76" t="s">
        <v>13</v>
      </c>
    </row>
    <row r="78" spans="2:5">
      <c r="B78" s="74" t="s">
        <v>220</v>
      </c>
      <c r="C78" s="2" t="s">
        <v>295</v>
      </c>
      <c r="D78" s="78" t="s">
        <v>33</v>
      </c>
      <c r="E78" s="76" t="s">
        <v>13</v>
      </c>
    </row>
    <row r="79" spans="2:5">
      <c r="B79" s="74" t="s">
        <v>220</v>
      </c>
      <c r="C79" s="2" t="s">
        <v>296</v>
      </c>
      <c r="D79" s="78" t="s">
        <v>34</v>
      </c>
      <c r="E79" s="76" t="s">
        <v>13</v>
      </c>
    </row>
    <row r="80" spans="2:5">
      <c r="B80" s="74" t="s">
        <v>220</v>
      </c>
      <c r="C80" s="2" t="s">
        <v>297</v>
      </c>
      <c r="D80" s="78" t="s">
        <v>35</v>
      </c>
      <c r="E80" s="76" t="s">
        <v>13</v>
      </c>
    </row>
    <row r="81" spans="2:5">
      <c r="B81" s="74" t="s">
        <v>220</v>
      </c>
      <c r="C81" s="2" t="s">
        <v>298</v>
      </c>
      <c r="D81" s="78" t="s">
        <v>36</v>
      </c>
      <c r="E81" s="76" t="s">
        <v>13</v>
      </c>
    </row>
    <row r="82" spans="2:5">
      <c r="B82" s="74" t="s">
        <v>220</v>
      </c>
      <c r="C82" s="2" t="s">
        <v>299</v>
      </c>
      <c r="D82" s="78" t="s">
        <v>37</v>
      </c>
      <c r="E82" s="76" t="s">
        <v>13</v>
      </c>
    </row>
    <row r="83" spans="2:5">
      <c r="B83" s="74" t="s">
        <v>220</v>
      </c>
      <c r="C83" s="2" t="s">
        <v>300</v>
      </c>
      <c r="D83" s="78" t="s">
        <v>38</v>
      </c>
      <c r="E83" s="76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8" zoomScale="70" zoomScaleNormal="85" zoomScaleSheetLayoutView="70" workbookViewId="0">
      <selection activeCell="I11" sqref="I11:M26"/>
    </sheetView>
  </sheetViews>
  <sheetFormatPr baseColWidth="10" defaultColWidth="11.42578125" defaultRowHeight="15"/>
  <cols>
    <col min="1" max="1" width="3.5703125" style="31" customWidth="1"/>
    <col min="2" max="2" width="7.42578125" style="31" customWidth="1"/>
    <col min="3" max="3" width="28.7109375" style="31" bestFit="1" customWidth="1"/>
    <col min="4" max="4" width="16.28515625" style="31" customWidth="1"/>
    <col min="5" max="6" width="20.28515625" style="31" customWidth="1"/>
    <col min="7" max="7" width="19.7109375" style="31" customWidth="1"/>
    <col min="8" max="8" width="11.140625" style="31" customWidth="1"/>
    <col min="9" max="9" width="21.28515625" style="31" customWidth="1"/>
    <col min="10" max="10" width="15.42578125" style="31" customWidth="1"/>
    <col min="11" max="11" width="20.28515625" style="31" customWidth="1"/>
    <col min="12" max="12" width="21.140625" style="31" customWidth="1"/>
    <col min="13" max="13" width="18.28515625" style="31" customWidth="1"/>
    <col min="14" max="14" width="7.140625" style="31" customWidth="1"/>
    <col min="15" max="15" width="1" style="31" customWidth="1"/>
    <col min="16" max="16384" width="11.42578125" style="31"/>
  </cols>
  <sheetData>
    <row r="1" spans="1:16">
      <c r="A1" s="244"/>
      <c r="B1" s="264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</row>
    <row r="2" spans="1:16" ht="13.5" customHeight="1">
      <c r="A2" s="262"/>
      <c r="B2" s="263"/>
      <c r="N2" s="260"/>
      <c r="O2" s="265"/>
      <c r="P2" s="263"/>
    </row>
    <row r="3" spans="1:16" ht="37.35" customHeight="1">
      <c r="A3" s="32"/>
      <c r="B3" s="638" t="s">
        <v>87</v>
      </c>
      <c r="C3" s="639"/>
      <c r="D3" s="639"/>
      <c r="E3" s="639"/>
      <c r="F3" s="639"/>
      <c r="G3" s="639"/>
      <c r="H3" s="639"/>
      <c r="I3" s="639"/>
      <c r="J3" s="639"/>
      <c r="K3" s="639"/>
      <c r="L3" s="639"/>
      <c r="M3" s="639"/>
      <c r="N3" s="639"/>
      <c r="O3" s="640"/>
    </row>
    <row r="4" spans="1:16" ht="7.35" customHeight="1">
      <c r="A4" s="33"/>
      <c r="B4" s="645" t="s">
        <v>88</v>
      </c>
      <c r="C4" s="646"/>
      <c r="D4" s="646"/>
      <c r="E4" s="646"/>
      <c r="F4" s="646"/>
      <c r="G4" s="646"/>
      <c r="H4" s="646"/>
      <c r="I4" s="646"/>
      <c r="J4" s="646"/>
      <c r="K4" s="646"/>
      <c r="L4" s="646"/>
      <c r="M4" s="646"/>
      <c r="N4" s="646"/>
      <c r="O4" s="259"/>
    </row>
    <row r="5" spans="1:16" ht="43.5" customHeight="1">
      <c r="A5" s="33"/>
      <c r="B5" s="645"/>
      <c r="C5" s="646"/>
      <c r="D5" s="646"/>
      <c r="E5" s="646"/>
      <c r="F5" s="646"/>
      <c r="G5" s="646"/>
      <c r="H5" s="646"/>
      <c r="I5" s="646"/>
      <c r="J5" s="646"/>
      <c r="K5" s="646"/>
      <c r="L5" s="646"/>
      <c r="M5" s="646"/>
      <c r="N5" s="646"/>
      <c r="O5" s="259"/>
    </row>
    <row r="6" spans="1:16" ht="43.5" customHeight="1">
      <c r="A6" s="33"/>
      <c r="B6" s="645"/>
      <c r="C6" s="646"/>
      <c r="D6" s="646"/>
      <c r="E6" s="646"/>
      <c r="F6" s="646"/>
      <c r="G6" s="646"/>
      <c r="H6" s="646"/>
      <c r="I6" s="646"/>
      <c r="J6" s="646"/>
      <c r="K6" s="646"/>
      <c r="L6" s="646"/>
      <c r="M6" s="646"/>
      <c r="N6" s="646"/>
      <c r="O6" s="259"/>
    </row>
    <row r="7" spans="1:16" ht="8.1" customHeight="1">
      <c r="A7" s="33"/>
      <c r="B7" s="249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59"/>
    </row>
    <row r="8" spans="1:16" ht="32.25" customHeight="1" thickBot="1">
      <c r="A8" s="248"/>
      <c r="B8" s="250"/>
      <c r="O8" s="259"/>
    </row>
    <row r="9" spans="1:16" ht="17.25" customHeight="1" thickBot="1">
      <c r="A9" s="243"/>
      <c r="B9" s="250"/>
      <c r="C9" s="241"/>
      <c r="D9" s="649" t="s">
        <v>89</v>
      </c>
      <c r="E9" s="647"/>
      <c r="F9" s="647"/>
      <c r="G9" s="648"/>
      <c r="I9" s="241"/>
      <c r="J9" s="654" t="s">
        <v>89</v>
      </c>
      <c r="K9" s="651"/>
      <c r="L9" s="652"/>
      <c r="M9" s="653"/>
      <c r="O9" s="259"/>
    </row>
    <row r="10" spans="1:16" ht="37.5" customHeight="1" thickBot="1">
      <c r="A10" s="243"/>
      <c r="B10" s="252"/>
      <c r="C10" s="65" t="s">
        <v>90</v>
      </c>
      <c r="D10" s="650"/>
      <c r="E10" s="66" t="s">
        <v>91</v>
      </c>
      <c r="F10" s="66" t="s">
        <v>92</v>
      </c>
      <c r="G10" s="67" t="s">
        <v>93</v>
      </c>
      <c r="I10" s="69" t="s">
        <v>90</v>
      </c>
      <c r="J10" s="655"/>
      <c r="K10" s="70" t="s">
        <v>91</v>
      </c>
      <c r="L10" s="70" t="s">
        <v>92</v>
      </c>
      <c r="M10" s="71" t="s">
        <v>93</v>
      </c>
      <c r="O10" s="259"/>
    </row>
    <row r="11" spans="1:16" ht="18.75">
      <c r="A11" s="245"/>
      <c r="B11" s="250"/>
      <c r="C11" s="68" t="s">
        <v>18</v>
      </c>
      <c r="D11" s="348">
        <v>1</v>
      </c>
      <c r="E11" s="348">
        <v>1</v>
      </c>
      <c r="F11" s="348">
        <v>1</v>
      </c>
      <c r="G11" s="349">
        <v>1</v>
      </c>
      <c r="I11" s="354" t="s">
        <v>23</v>
      </c>
      <c r="J11" s="348">
        <v>1</v>
      </c>
      <c r="K11" s="348">
        <v>1</v>
      </c>
      <c r="L11" s="348">
        <v>1</v>
      </c>
      <c r="M11" s="349">
        <v>1</v>
      </c>
      <c r="O11" s="259"/>
    </row>
    <row r="12" spans="1:16" ht="18.75">
      <c r="A12" s="33"/>
      <c r="B12" s="250"/>
      <c r="C12" s="35" t="s">
        <v>16</v>
      </c>
      <c r="D12" s="350">
        <v>1</v>
      </c>
      <c r="E12" s="350">
        <v>1</v>
      </c>
      <c r="F12" s="350">
        <v>1</v>
      </c>
      <c r="G12" s="351">
        <v>1</v>
      </c>
      <c r="I12" s="355" t="s">
        <v>24</v>
      </c>
      <c r="J12" s="350">
        <v>0.93</v>
      </c>
      <c r="K12" s="350">
        <v>1</v>
      </c>
      <c r="L12" s="350">
        <v>1</v>
      </c>
      <c r="M12" s="351">
        <v>0.8</v>
      </c>
      <c r="N12" s="260"/>
      <c r="O12" s="251"/>
    </row>
    <row r="13" spans="1:16" ht="18.75">
      <c r="A13" s="33"/>
      <c r="B13" s="250"/>
      <c r="C13" s="35" t="s">
        <v>19</v>
      </c>
      <c r="D13" s="350">
        <v>1</v>
      </c>
      <c r="E13" s="350">
        <v>1</v>
      </c>
      <c r="F13" s="350">
        <v>1</v>
      </c>
      <c r="G13" s="351">
        <v>1</v>
      </c>
      <c r="I13" s="355" t="s">
        <v>25</v>
      </c>
      <c r="J13" s="350">
        <v>0.93</v>
      </c>
      <c r="K13" s="350">
        <v>1</v>
      </c>
      <c r="L13" s="350">
        <v>1</v>
      </c>
      <c r="M13" s="351">
        <v>0.8</v>
      </c>
      <c r="N13" s="260"/>
      <c r="O13" s="251"/>
    </row>
    <row r="14" spans="1:16" ht="18.75">
      <c r="A14" s="246"/>
      <c r="B14" s="250"/>
      <c r="C14" s="35" t="s">
        <v>17</v>
      </c>
      <c r="D14" s="350">
        <v>0.75</v>
      </c>
      <c r="E14" s="350">
        <v>0.75</v>
      </c>
      <c r="F14" s="350">
        <v>0.75</v>
      </c>
      <c r="G14" s="351">
        <v>0.75</v>
      </c>
      <c r="I14" s="355" t="s">
        <v>26</v>
      </c>
      <c r="J14" s="350">
        <v>1</v>
      </c>
      <c r="K14" s="350">
        <v>1</v>
      </c>
      <c r="L14" s="350">
        <v>1</v>
      </c>
      <c r="M14" s="351">
        <v>1</v>
      </c>
      <c r="N14" s="260"/>
      <c r="O14" s="251"/>
    </row>
    <row r="15" spans="1:16" ht="18.75">
      <c r="A15" s="33"/>
      <c r="B15" s="250"/>
      <c r="C15" s="60" t="s">
        <v>383</v>
      </c>
      <c r="D15" s="350">
        <v>1</v>
      </c>
      <c r="E15" s="350">
        <v>1</v>
      </c>
      <c r="F15" s="350">
        <v>1</v>
      </c>
      <c r="G15" s="351">
        <v>1</v>
      </c>
      <c r="I15" s="355" t="s">
        <v>27</v>
      </c>
      <c r="J15" s="350">
        <v>0.93</v>
      </c>
      <c r="K15" s="350">
        <v>1</v>
      </c>
      <c r="L15" s="350">
        <v>0.8</v>
      </c>
      <c r="M15" s="351">
        <v>1</v>
      </c>
      <c r="N15" s="260"/>
      <c r="O15" s="251"/>
    </row>
    <row r="16" spans="1:16" ht="18.75">
      <c r="A16" s="33"/>
      <c r="B16" s="250"/>
      <c r="C16" s="60" t="s">
        <v>384</v>
      </c>
      <c r="D16" s="350">
        <v>1</v>
      </c>
      <c r="E16" s="350">
        <v>1</v>
      </c>
      <c r="F16" s="350">
        <v>1</v>
      </c>
      <c r="G16" s="351">
        <v>1</v>
      </c>
      <c r="I16" s="355" t="s">
        <v>28</v>
      </c>
      <c r="J16" s="350">
        <v>0.73</v>
      </c>
      <c r="K16" s="350">
        <v>1</v>
      </c>
      <c r="L16" s="350">
        <v>0.6</v>
      </c>
      <c r="M16" s="351">
        <v>0.6</v>
      </c>
      <c r="N16" s="260"/>
      <c r="O16" s="251"/>
    </row>
    <row r="17" spans="1:15" ht="18.75">
      <c r="A17" s="33"/>
      <c r="B17" s="250"/>
      <c r="C17" s="60" t="s">
        <v>385</v>
      </c>
      <c r="D17" s="350">
        <v>1</v>
      </c>
      <c r="E17" s="350">
        <v>1</v>
      </c>
      <c r="F17" s="350">
        <v>1</v>
      </c>
      <c r="G17" s="351">
        <v>1</v>
      </c>
      <c r="I17" s="355" t="s">
        <v>29</v>
      </c>
      <c r="J17" s="350">
        <v>0.73</v>
      </c>
      <c r="K17" s="350">
        <v>1</v>
      </c>
      <c r="L17" s="350">
        <v>0.6</v>
      </c>
      <c r="M17" s="351">
        <v>0.6</v>
      </c>
      <c r="N17" s="260"/>
      <c r="O17" s="251"/>
    </row>
    <row r="18" spans="1:15" ht="18.75">
      <c r="A18" s="33"/>
      <c r="B18" s="250"/>
      <c r="C18" s="60" t="s">
        <v>386</v>
      </c>
      <c r="D18" s="350">
        <v>0</v>
      </c>
      <c r="E18" s="350">
        <v>0</v>
      </c>
      <c r="F18" s="350">
        <v>0</v>
      </c>
      <c r="G18" s="351">
        <v>0</v>
      </c>
      <c r="I18" s="355" t="s">
        <v>30</v>
      </c>
      <c r="J18" s="350">
        <v>1</v>
      </c>
      <c r="K18" s="350">
        <v>1</v>
      </c>
      <c r="L18" s="350">
        <v>1</v>
      </c>
      <c r="M18" s="351">
        <v>1</v>
      </c>
      <c r="N18" s="260"/>
      <c r="O18" s="251"/>
    </row>
    <row r="19" spans="1:15" ht="18.75">
      <c r="A19" s="33"/>
      <c r="B19" s="250"/>
      <c r="C19" s="35" t="s">
        <v>387</v>
      </c>
      <c r="D19" s="350">
        <v>1</v>
      </c>
      <c r="E19" s="350">
        <v>1</v>
      </c>
      <c r="F19" s="350">
        <v>1</v>
      </c>
      <c r="G19" s="351">
        <v>1</v>
      </c>
      <c r="I19" s="355" t="s">
        <v>215</v>
      </c>
      <c r="J19" s="350">
        <v>1</v>
      </c>
      <c r="K19" s="350">
        <v>1</v>
      </c>
      <c r="L19" s="350">
        <v>1</v>
      </c>
      <c r="M19" s="351">
        <v>1</v>
      </c>
      <c r="N19" s="260"/>
      <c r="O19" s="251"/>
    </row>
    <row r="20" spans="1:15" ht="18.75">
      <c r="A20" s="33"/>
      <c r="B20" s="250"/>
      <c r="C20" s="35" t="s">
        <v>388</v>
      </c>
      <c r="D20" s="350">
        <v>1</v>
      </c>
      <c r="E20" s="350">
        <v>1</v>
      </c>
      <c r="F20" s="350">
        <v>1</v>
      </c>
      <c r="G20" s="351">
        <v>1</v>
      </c>
      <c r="I20" s="355" t="s">
        <v>32</v>
      </c>
      <c r="J20" s="350">
        <v>0.87</v>
      </c>
      <c r="K20" s="350">
        <v>1</v>
      </c>
      <c r="L20" s="350">
        <v>0.8</v>
      </c>
      <c r="M20" s="351">
        <v>0.8</v>
      </c>
      <c r="N20" s="260"/>
      <c r="O20" s="251"/>
    </row>
    <row r="21" spans="1:15" ht="18.75">
      <c r="A21" s="33"/>
      <c r="B21" s="250"/>
      <c r="C21" s="34" t="s">
        <v>389</v>
      </c>
      <c r="D21" s="350">
        <v>1</v>
      </c>
      <c r="E21" s="350">
        <v>1</v>
      </c>
      <c r="F21" s="350">
        <v>1</v>
      </c>
      <c r="G21" s="351">
        <v>1</v>
      </c>
      <c r="I21" s="355" t="s">
        <v>33</v>
      </c>
      <c r="J21" s="350">
        <v>1</v>
      </c>
      <c r="K21" s="350">
        <v>1</v>
      </c>
      <c r="L21" s="350">
        <v>1</v>
      </c>
      <c r="M21" s="351">
        <v>1</v>
      </c>
      <c r="N21" s="260"/>
      <c r="O21" s="251"/>
    </row>
    <row r="22" spans="1:15" ht="18.75">
      <c r="A22" s="33"/>
      <c r="B22" s="250"/>
      <c r="C22" s="34" t="s">
        <v>390</v>
      </c>
      <c r="D22" s="350">
        <v>1</v>
      </c>
      <c r="E22" s="350">
        <v>1</v>
      </c>
      <c r="F22" s="350">
        <v>1</v>
      </c>
      <c r="G22" s="351">
        <v>1</v>
      </c>
      <c r="I22" s="355" t="s">
        <v>34</v>
      </c>
      <c r="J22" s="350">
        <v>1</v>
      </c>
      <c r="K22" s="350">
        <v>1</v>
      </c>
      <c r="L22" s="350">
        <v>1</v>
      </c>
      <c r="M22" s="351">
        <v>1</v>
      </c>
      <c r="N22" s="260"/>
      <c r="O22" s="251"/>
    </row>
    <row r="23" spans="1:15" ht="18.75">
      <c r="A23" s="33"/>
      <c r="B23" s="250"/>
      <c r="C23" s="35" t="s">
        <v>391</v>
      </c>
      <c r="D23" s="350">
        <v>0.83</v>
      </c>
      <c r="E23" s="350">
        <v>0.75</v>
      </c>
      <c r="F23" s="350">
        <v>1</v>
      </c>
      <c r="G23" s="351">
        <v>0.75</v>
      </c>
      <c r="I23" s="355" t="s">
        <v>35</v>
      </c>
      <c r="J23" s="350">
        <v>1</v>
      </c>
      <c r="K23" s="350">
        <v>1</v>
      </c>
      <c r="L23" s="350">
        <v>1</v>
      </c>
      <c r="M23" s="351">
        <v>1</v>
      </c>
      <c r="N23" s="260"/>
      <c r="O23" s="251"/>
    </row>
    <row r="24" spans="1:15" ht="18.75">
      <c r="A24" s="33"/>
      <c r="B24" s="250"/>
      <c r="C24" s="34" t="s">
        <v>392</v>
      </c>
      <c r="D24" s="350">
        <v>1</v>
      </c>
      <c r="E24" s="350">
        <v>1</v>
      </c>
      <c r="F24" s="350">
        <v>1</v>
      </c>
      <c r="G24" s="351">
        <v>1</v>
      </c>
      <c r="I24" s="355" t="s">
        <v>36</v>
      </c>
      <c r="J24" s="350">
        <v>1</v>
      </c>
      <c r="K24" s="350">
        <v>1</v>
      </c>
      <c r="L24" s="350">
        <v>1</v>
      </c>
      <c r="M24" s="351">
        <v>1</v>
      </c>
      <c r="N24" s="260"/>
      <c r="O24" s="251"/>
    </row>
    <row r="25" spans="1:15" ht="18.75">
      <c r="A25" s="33"/>
      <c r="B25" s="250"/>
      <c r="C25" s="34" t="s">
        <v>391</v>
      </c>
      <c r="D25" s="350">
        <v>1</v>
      </c>
      <c r="E25" s="350">
        <v>1</v>
      </c>
      <c r="F25" s="350">
        <v>1</v>
      </c>
      <c r="G25" s="351">
        <v>1</v>
      </c>
      <c r="I25" s="355" t="s">
        <v>37</v>
      </c>
      <c r="J25" s="350">
        <v>0.87</v>
      </c>
      <c r="K25" s="350">
        <v>1</v>
      </c>
      <c r="L25" s="350">
        <v>0.6</v>
      </c>
      <c r="M25" s="351">
        <v>1</v>
      </c>
      <c r="N25" s="260"/>
      <c r="O25" s="251"/>
    </row>
    <row r="26" spans="1:15" ht="19.5" thickBot="1">
      <c r="A26" s="33"/>
      <c r="B26" s="250"/>
      <c r="C26" s="34" t="s">
        <v>393</v>
      </c>
      <c r="D26" s="350">
        <v>1</v>
      </c>
      <c r="E26" s="350">
        <v>1</v>
      </c>
      <c r="F26" s="350">
        <v>1</v>
      </c>
      <c r="G26" s="351">
        <v>1</v>
      </c>
      <c r="I26" s="356" t="s">
        <v>38</v>
      </c>
      <c r="J26" s="352">
        <v>0.83</v>
      </c>
      <c r="K26" s="352">
        <v>1</v>
      </c>
      <c r="L26" s="352">
        <v>0.5</v>
      </c>
      <c r="M26" s="353">
        <v>1</v>
      </c>
      <c r="N26" s="260"/>
      <c r="O26" s="251"/>
    </row>
    <row r="27" spans="1:15" ht="23.25" customHeight="1">
      <c r="A27" s="33"/>
      <c r="B27" s="250"/>
      <c r="C27" s="34" t="s">
        <v>394</v>
      </c>
      <c r="D27" s="350">
        <v>0.33</v>
      </c>
      <c r="E27" s="350">
        <v>0</v>
      </c>
      <c r="F27" s="350">
        <v>1</v>
      </c>
      <c r="G27" s="351">
        <v>0</v>
      </c>
      <c r="N27" s="260"/>
      <c r="O27" s="251"/>
    </row>
    <row r="28" spans="1:15" ht="23.25" customHeight="1" thickBot="1">
      <c r="A28" s="33"/>
      <c r="B28" s="250"/>
      <c r="C28" s="309" t="s">
        <v>20</v>
      </c>
      <c r="D28" s="352">
        <v>1</v>
      </c>
      <c r="E28" s="352">
        <v>1</v>
      </c>
      <c r="F28" s="352">
        <v>1</v>
      </c>
      <c r="G28" s="353">
        <v>1</v>
      </c>
      <c r="N28" s="260"/>
      <c r="O28" s="251"/>
    </row>
    <row r="29" spans="1:15" ht="28.5" customHeight="1" thickBot="1">
      <c r="B29" s="250"/>
      <c r="N29" s="260"/>
      <c r="O29" s="251"/>
    </row>
    <row r="30" spans="1:15" ht="42" customHeight="1" thickBot="1">
      <c r="A30" s="33"/>
      <c r="B30" s="252"/>
      <c r="C30" s="664" t="s">
        <v>94</v>
      </c>
      <c r="D30" s="665"/>
      <c r="E30" s="665"/>
      <c r="F30" s="665"/>
      <c r="G30" s="666"/>
      <c r="N30" s="260"/>
      <c r="O30" s="251"/>
    </row>
    <row r="31" spans="1:15" ht="49.5" customHeight="1">
      <c r="A31" s="33"/>
      <c r="B31" s="250"/>
      <c r="C31" s="656" t="s">
        <v>91</v>
      </c>
      <c r="D31" s="657"/>
      <c r="E31" s="658" t="s">
        <v>95</v>
      </c>
      <c r="F31" s="658"/>
      <c r="G31" s="659"/>
      <c r="N31" s="260"/>
      <c r="O31" s="251"/>
    </row>
    <row r="32" spans="1:15" ht="60" customHeight="1">
      <c r="A32" s="33"/>
      <c r="B32" s="250"/>
      <c r="C32" s="660" t="s">
        <v>92</v>
      </c>
      <c r="D32" s="661"/>
      <c r="E32" s="662" t="s">
        <v>96</v>
      </c>
      <c r="F32" s="662"/>
      <c r="G32" s="663"/>
      <c r="N32" s="260"/>
      <c r="O32" s="251"/>
    </row>
    <row r="33" spans="1:15" ht="66.75" customHeight="1" thickBot="1">
      <c r="A33" s="33"/>
      <c r="B33" s="252"/>
      <c r="C33" s="641" t="s">
        <v>93</v>
      </c>
      <c r="D33" s="642"/>
      <c r="E33" s="643" t="s">
        <v>97</v>
      </c>
      <c r="F33" s="643"/>
      <c r="G33" s="644"/>
      <c r="H33" s="256"/>
      <c r="J33" s="258"/>
      <c r="K33" s="258"/>
      <c r="L33" s="258"/>
      <c r="M33" s="258"/>
      <c r="N33" s="258"/>
      <c r="O33" s="259"/>
    </row>
    <row r="34" spans="1:15" ht="22.5" customHeight="1" thickBot="1">
      <c r="A34" s="255"/>
      <c r="B34" s="261"/>
      <c r="C34" s="253"/>
      <c r="D34" s="253"/>
      <c r="E34" s="253"/>
      <c r="F34" s="253"/>
      <c r="G34" s="253"/>
      <c r="H34" s="253"/>
      <c r="I34" s="257"/>
      <c r="J34" s="253"/>
      <c r="K34" s="253"/>
      <c r="L34" s="253"/>
      <c r="M34" s="253"/>
      <c r="N34" s="253"/>
      <c r="O34" s="254"/>
    </row>
    <row r="35" spans="1:15" ht="12" customHeight="1">
      <c r="A35" s="242"/>
    </row>
    <row r="36" spans="1:15" ht="8.25" customHeight="1"/>
    <row r="38" spans="1:15" ht="3" customHeight="1">
      <c r="C38" s="247"/>
      <c r="D38" s="247"/>
      <c r="E38" s="247"/>
      <c r="F38" s="247"/>
      <c r="G38" s="247"/>
      <c r="H38" s="247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4" priority="2">
      <formula>D11&lt;100%</formula>
    </cfRule>
  </conditionalFormatting>
  <conditionalFormatting sqref="I11:M26">
    <cfRule type="expression" dxfId="33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55" zoomScaleNormal="55" workbookViewId="0">
      <selection activeCell="B6" sqref="B6:J7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01"/>
      <c r="B1" s="674"/>
      <c r="C1" s="675"/>
      <c r="D1" s="676"/>
      <c r="E1" s="82"/>
      <c r="F1" s="85"/>
      <c r="G1" s="83"/>
      <c r="I1" s="100"/>
      <c r="J1" s="99"/>
      <c r="K1" s="107"/>
      <c r="L1" s="107"/>
      <c r="M1" s="90"/>
      <c r="N1" s="84"/>
      <c r="O1" s="84"/>
      <c r="P1" s="93"/>
    </row>
    <row r="2" spans="1:17" ht="36">
      <c r="B2" s="123" t="s">
        <v>325</v>
      </c>
      <c r="C2" s="123"/>
      <c r="D2" s="85"/>
      <c r="E2" s="91"/>
      <c r="G2" s="93"/>
      <c r="H2" s="85"/>
      <c r="I2" s="670" t="s">
        <v>408</v>
      </c>
      <c r="J2" s="671"/>
      <c r="K2" s="96"/>
      <c r="L2" s="85"/>
      <c r="M2" s="93"/>
      <c r="N2" s="85"/>
      <c r="O2" s="82"/>
      <c r="P2" s="85"/>
      <c r="Q2" s="82"/>
    </row>
    <row r="3" spans="1:17" s="62" customFormat="1" ht="22.5" customHeight="1">
      <c r="A3" s="88"/>
      <c r="B3" s="62" t="s">
        <v>409</v>
      </c>
      <c r="D3" s="94"/>
      <c r="E3" s="87"/>
      <c r="F3" s="89"/>
      <c r="G3" s="94"/>
      <c r="H3" s="97"/>
      <c r="I3" s="98"/>
      <c r="J3" s="98"/>
      <c r="K3" s="89"/>
      <c r="L3" s="89"/>
      <c r="M3" s="89"/>
      <c r="N3" s="87"/>
      <c r="O3" s="87"/>
      <c r="P3" s="89"/>
      <c r="Q3" s="122"/>
    </row>
    <row r="4" spans="1:17" s="63" customFormat="1" ht="25.5" customHeight="1" thickBot="1">
      <c r="B4" s="136" t="s">
        <v>105</v>
      </c>
      <c r="C4" s="302"/>
      <c r="D4" s="207"/>
      <c r="F4" s="206"/>
      <c r="G4" s="111"/>
      <c r="H4" s="111"/>
      <c r="I4" s="206"/>
      <c r="J4" s="206"/>
      <c r="K4" s="206"/>
      <c r="L4" s="96"/>
      <c r="M4" s="111"/>
      <c r="N4" s="112"/>
      <c r="O4" s="95"/>
      <c r="P4" s="96"/>
      <c r="Q4" s="121"/>
    </row>
    <row r="5" spans="1:17" ht="78" customHeight="1" thickBot="1">
      <c r="A5" s="92"/>
      <c r="B5" s="384" t="s">
        <v>98</v>
      </c>
      <c r="C5" s="677" t="s">
        <v>99</v>
      </c>
      <c r="D5" s="678"/>
      <c r="E5" s="381" t="s">
        <v>101</v>
      </c>
      <c r="F5" s="381" t="s">
        <v>100</v>
      </c>
      <c r="G5" s="381" t="s">
        <v>102</v>
      </c>
      <c r="H5" s="382" t="s">
        <v>159</v>
      </c>
      <c r="I5" s="382" t="s">
        <v>103</v>
      </c>
      <c r="J5" s="383" t="s">
        <v>104</v>
      </c>
      <c r="K5" s="208"/>
      <c r="L5" s="85"/>
      <c r="M5" s="85"/>
      <c r="N5" s="85"/>
      <c r="O5" s="84"/>
      <c r="P5" s="107"/>
    </row>
    <row r="6" spans="1:17" ht="51" customHeight="1">
      <c r="B6" s="218" t="s">
        <v>395</v>
      </c>
      <c r="C6" s="679">
        <v>44725</v>
      </c>
      <c r="D6" s="680"/>
      <c r="E6" s="465">
        <v>44908</v>
      </c>
      <c r="F6" s="465">
        <v>45090</v>
      </c>
      <c r="G6" s="465">
        <v>45273</v>
      </c>
      <c r="H6" s="465">
        <v>45456</v>
      </c>
      <c r="I6" s="465">
        <v>45639</v>
      </c>
      <c r="J6" s="468">
        <v>45821</v>
      </c>
      <c r="K6" s="119"/>
      <c r="L6" s="85"/>
      <c r="M6" s="85"/>
      <c r="N6" s="93"/>
      <c r="O6" s="82"/>
      <c r="P6" s="107"/>
      <c r="Q6" s="82"/>
    </row>
    <row r="7" spans="1:17" ht="45.75" customHeight="1">
      <c r="A7" s="102"/>
      <c r="B7" s="219" t="s">
        <v>396</v>
      </c>
      <c r="C7" s="681">
        <v>37484</v>
      </c>
      <c r="D7" s="682"/>
      <c r="E7" s="466">
        <v>44608</v>
      </c>
      <c r="F7" s="466">
        <v>45154</v>
      </c>
      <c r="G7" s="466">
        <v>45338</v>
      </c>
      <c r="H7" s="466">
        <v>45520</v>
      </c>
      <c r="I7" s="466">
        <v>45704</v>
      </c>
      <c r="J7" s="469">
        <v>45885</v>
      </c>
      <c r="L7" s="85"/>
      <c r="M7" s="85"/>
      <c r="N7" s="85"/>
      <c r="O7" s="84"/>
      <c r="P7" s="93"/>
    </row>
    <row r="8" spans="1:17" ht="44.25" customHeight="1">
      <c r="A8" s="103"/>
      <c r="B8" s="219" t="s">
        <v>397</v>
      </c>
      <c r="C8" s="681">
        <v>44868</v>
      </c>
      <c r="D8" s="682"/>
      <c r="E8" s="466">
        <v>45049</v>
      </c>
      <c r="F8" s="466">
        <v>45233</v>
      </c>
      <c r="G8" s="466">
        <v>45415</v>
      </c>
      <c r="H8" s="466">
        <v>45599</v>
      </c>
      <c r="I8" s="466">
        <v>45780</v>
      </c>
      <c r="J8" s="469">
        <v>45964</v>
      </c>
      <c r="K8" s="209"/>
      <c r="L8" s="85"/>
      <c r="M8" s="85"/>
      <c r="N8" s="85"/>
      <c r="P8" s="85"/>
      <c r="Q8" s="85"/>
    </row>
    <row r="9" spans="1:17" ht="39.75" customHeight="1">
      <c r="A9" s="103"/>
      <c r="B9" s="219" t="s">
        <v>398</v>
      </c>
      <c r="C9" s="681">
        <v>45439</v>
      </c>
      <c r="D9" s="682"/>
      <c r="E9" s="466">
        <v>45623</v>
      </c>
      <c r="F9" s="466">
        <v>45804</v>
      </c>
      <c r="G9" s="466">
        <v>45988</v>
      </c>
      <c r="H9" s="466">
        <v>46169</v>
      </c>
      <c r="I9" s="466">
        <v>46353</v>
      </c>
      <c r="J9" s="469">
        <v>46534</v>
      </c>
      <c r="K9" s="155"/>
      <c r="L9" s="85"/>
      <c r="M9" s="85"/>
      <c r="N9" s="91"/>
      <c r="O9" s="82"/>
      <c r="P9" s="107"/>
      <c r="Q9" s="108"/>
    </row>
    <row r="10" spans="1:17" ht="55.5" customHeight="1">
      <c r="A10" s="105"/>
      <c r="B10" s="219" t="s">
        <v>399</v>
      </c>
      <c r="C10" s="681">
        <v>44900</v>
      </c>
      <c r="D10" s="682"/>
      <c r="E10" s="466">
        <v>45082</v>
      </c>
      <c r="F10" s="466">
        <v>45265</v>
      </c>
      <c r="G10" s="466">
        <v>45448</v>
      </c>
      <c r="H10" s="466">
        <v>45631</v>
      </c>
      <c r="I10" s="466">
        <v>45813</v>
      </c>
      <c r="J10" s="469">
        <v>45813</v>
      </c>
      <c r="K10" s="119"/>
      <c r="L10" s="85"/>
      <c r="M10" s="85"/>
      <c r="N10" s="93"/>
      <c r="O10" s="84"/>
      <c r="P10" s="85"/>
    </row>
    <row r="11" spans="1:17" ht="44.25" customHeight="1">
      <c r="A11" s="104"/>
      <c r="B11" s="219" t="s">
        <v>400</v>
      </c>
      <c r="C11" s="681">
        <v>44930</v>
      </c>
      <c r="D11" s="682"/>
      <c r="E11" s="466">
        <v>45111</v>
      </c>
      <c r="F11" s="466">
        <v>45295</v>
      </c>
      <c r="G11" s="466">
        <v>45477</v>
      </c>
      <c r="H11" s="466">
        <v>45661</v>
      </c>
      <c r="I11" s="466">
        <v>45842</v>
      </c>
      <c r="J11" s="469">
        <v>46026</v>
      </c>
      <c r="L11" s="85"/>
      <c r="M11" s="93"/>
      <c r="N11" s="85"/>
      <c r="O11" s="92"/>
      <c r="P11" s="85"/>
      <c r="Q11" s="106"/>
    </row>
    <row r="12" spans="1:17" ht="66.75" customHeight="1" thickBot="1">
      <c r="A12" s="103"/>
      <c r="B12" s="220" t="s">
        <v>401</v>
      </c>
      <c r="C12" s="672">
        <v>44958</v>
      </c>
      <c r="D12" s="673"/>
      <c r="E12" s="467">
        <v>45139</v>
      </c>
      <c r="F12" s="467">
        <v>45323</v>
      </c>
      <c r="G12" s="467">
        <v>45505</v>
      </c>
      <c r="H12" s="467">
        <v>45689</v>
      </c>
      <c r="I12" s="467">
        <v>45870</v>
      </c>
      <c r="J12" s="470">
        <v>46054</v>
      </c>
      <c r="K12" s="209"/>
      <c r="L12" s="85"/>
      <c r="M12" s="85"/>
      <c r="N12" s="107"/>
      <c r="O12" s="85"/>
      <c r="P12" s="85"/>
      <c r="Q12" s="106"/>
    </row>
    <row r="13" spans="1:17" ht="15.75" thickBot="1">
      <c r="A13" s="82"/>
      <c r="B13" s="127"/>
      <c r="C13" s="127"/>
      <c r="D13" s="110"/>
      <c r="F13" s="127"/>
      <c r="H13" s="128"/>
      <c r="I13" s="128"/>
      <c r="J13" s="128"/>
      <c r="K13" s="106"/>
      <c r="L13" s="85"/>
      <c r="M13" s="109"/>
      <c r="N13" s="85"/>
      <c r="O13" s="85"/>
      <c r="P13" s="82"/>
    </row>
    <row r="14" spans="1:17" ht="30.75" customHeight="1" thickBot="1">
      <c r="A14" s="82"/>
      <c r="B14" s="488" t="s">
        <v>108</v>
      </c>
      <c r="C14" s="486"/>
      <c r="D14" s="292" t="s">
        <v>109</v>
      </c>
      <c r="E14" s="129"/>
      <c r="F14" s="130"/>
      <c r="G14" s="131"/>
      <c r="H14" s="132"/>
      <c r="I14" s="133"/>
      <c r="J14" s="134"/>
      <c r="K14" s="304"/>
      <c r="L14" s="85"/>
      <c r="M14" s="85"/>
      <c r="N14" s="109"/>
      <c r="O14" s="85"/>
      <c r="P14" s="82"/>
    </row>
    <row r="15" spans="1:17" ht="8.25" customHeight="1" thickBot="1">
      <c r="A15" s="90"/>
      <c r="B15" s="487"/>
      <c r="C15" s="303"/>
      <c r="D15" s="293"/>
      <c r="E15" s="294"/>
      <c r="F15" s="294"/>
      <c r="G15" s="295"/>
      <c r="H15" s="294"/>
      <c r="I15" s="295"/>
      <c r="J15" s="296"/>
      <c r="L15" s="85"/>
      <c r="M15" s="107"/>
      <c r="N15" s="85"/>
      <c r="O15" s="82"/>
      <c r="P15" s="82"/>
    </row>
    <row r="16" spans="1:17" ht="74.25" customHeight="1" thickBot="1">
      <c r="A16" s="82"/>
      <c r="B16" s="490" t="s">
        <v>187</v>
      </c>
      <c r="C16" s="489"/>
      <c r="D16" s="297" t="s">
        <v>395</v>
      </c>
      <c r="E16" s="667" t="s">
        <v>402</v>
      </c>
      <c r="F16" s="668"/>
      <c r="G16" s="668"/>
      <c r="H16" s="668"/>
      <c r="I16" s="668"/>
      <c r="J16" s="669"/>
      <c r="K16" s="305"/>
      <c r="L16" s="118"/>
      <c r="M16" s="116"/>
      <c r="N16" s="115"/>
      <c r="P16" s="82"/>
    </row>
    <row r="17" spans="1:16" ht="108.75" customHeight="1" thickBot="1">
      <c r="A17" s="90"/>
      <c r="B17" s="492" t="s">
        <v>106</v>
      </c>
      <c r="C17" s="491"/>
      <c r="D17" s="297" t="s">
        <v>396</v>
      </c>
      <c r="E17" s="667" t="s">
        <v>403</v>
      </c>
      <c r="F17" s="668"/>
      <c r="G17" s="668"/>
      <c r="H17" s="668"/>
      <c r="I17" s="668"/>
      <c r="J17" s="669"/>
      <c r="K17" s="139"/>
      <c r="L17" s="126"/>
      <c r="M17" s="118"/>
      <c r="N17" s="118"/>
      <c r="O17" s="85"/>
      <c r="P17" s="82"/>
    </row>
    <row r="18" spans="1:16" ht="87" customHeight="1" thickBot="1">
      <c r="A18" s="81"/>
      <c r="B18" s="492" t="s">
        <v>107</v>
      </c>
      <c r="C18" s="491"/>
      <c r="D18" s="298" t="s">
        <v>397</v>
      </c>
      <c r="E18" s="667" t="s">
        <v>404</v>
      </c>
      <c r="F18" s="668"/>
      <c r="G18" s="668"/>
      <c r="H18" s="668"/>
      <c r="I18" s="668"/>
      <c r="J18" s="669"/>
      <c r="L18" s="118"/>
      <c r="M18" s="114"/>
      <c r="N18" s="113"/>
      <c r="O18" s="61"/>
      <c r="P18" s="90"/>
    </row>
    <row r="19" spans="1:16" ht="74.25" customHeight="1" thickBot="1">
      <c r="A19" s="85"/>
      <c r="B19" s="90"/>
      <c r="C19" s="90"/>
      <c r="D19" s="299" t="s">
        <v>398</v>
      </c>
      <c r="E19" s="667" t="s">
        <v>405</v>
      </c>
      <c r="F19" s="668"/>
      <c r="G19" s="668"/>
      <c r="H19" s="668"/>
      <c r="I19" s="668"/>
      <c r="J19" s="669"/>
      <c r="K19" s="139"/>
      <c r="L19" s="126"/>
      <c r="M19" s="114"/>
      <c r="N19" s="113"/>
      <c r="O19" s="115"/>
      <c r="P19" s="81"/>
    </row>
    <row r="20" spans="1:16" ht="108" customHeight="1" thickBot="1">
      <c r="A20" s="82"/>
      <c r="B20" s="93"/>
      <c r="D20" s="298" t="s">
        <v>399</v>
      </c>
      <c r="E20" s="667" t="s">
        <v>406</v>
      </c>
      <c r="F20" s="668"/>
      <c r="G20" s="668"/>
      <c r="H20" s="668"/>
      <c r="I20" s="668"/>
      <c r="J20" s="669"/>
      <c r="K20" s="306"/>
      <c r="L20" s="300"/>
      <c r="M20" s="117"/>
      <c r="N20" s="115"/>
      <c r="O20" s="113"/>
    </row>
    <row r="21" spans="1:16" s="229" customFormat="1" ht="81.75" customHeight="1" thickBot="1">
      <c r="B21" s="230"/>
      <c r="C21" s="231"/>
      <c r="D21" s="301" t="s">
        <v>400</v>
      </c>
      <c r="E21" s="667" t="s">
        <v>406</v>
      </c>
      <c r="F21" s="668"/>
      <c r="G21" s="668"/>
      <c r="H21" s="668"/>
      <c r="I21" s="668"/>
      <c r="J21" s="669"/>
      <c r="K21" s="307"/>
      <c r="L21" s="61"/>
      <c r="M21" s="115"/>
      <c r="N21" s="115"/>
      <c r="O21" s="120"/>
    </row>
    <row r="22" spans="1:16" ht="98.25" customHeight="1" thickBot="1">
      <c r="A22" s="86"/>
      <c r="B22" s="109"/>
      <c r="C22" s="90"/>
      <c r="D22" s="308" t="s">
        <v>401</v>
      </c>
      <c r="E22" s="667" t="s">
        <v>407</v>
      </c>
      <c r="F22" s="668"/>
      <c r="G22" s="668"/>
      <c r="H22" s="668"/>
      <c r="I22" s="668"/>
      <c r="J22" s="669"/>
      <c r="L22" s="115"/>
      <c r="M22" s="118"/>
      <c r="N22" s="118"/>
      <c r="O22" s="115"/>
      <c r="P22" s="61"/>
    </row>
    <row r="23" spans="1:16" ht="23.25" customHeight="1">
      <c r="A23" s="86"/>
      <c r="B23" s="106"/>
      <c r="C23" s="106"/>
      <c r="D23" s="85"/>
      <c r="F23" s="107"/>
      <c r="G23" s="84"/>
      <c r="H23" s="84"/>
      <c r="I23" s="107"/>
      <c r="K23" s="85"/>
      <c r="L23" s="85"/>
      <c r="M23" s="93"/>
      <c r="N23" s="107"/>
      <c r="O23" s="107"/>
    </row>
    <row r="24" spans="1:16" ht="22.5" customHeight="1">
      <c r="A24" s="86"/>
      <c r="B24" s="106"/>
      <c r="C24" s="106"/>
      <c r="D24" s="85"/>
      <c r="E24" s="81"/>
      <c r="F24" s="85"/>
      <c r="G24" s="92"/>
      <c r="H24" s="85"/>
      <c r="I24" s="85"/>
      <c r="J24" s="82"/>
      <c r="K24" s="82"/>
      <c r="L24" s="82"/>
      <c r="M24" s="85"/>
      <c r="N24" s="85"/>
      <c r="O24" s="109"/>
    </row>
    <row r="25" spans="1:16" ht="22.5" customHeight="1">
      <c r="A25" s="86"/>
      <c r="B25" s="85"/>
      <c r="C25" s="93"/>
      <c r="D25" s="93"/>
      <c r="E25" s="85"/>
      <c r="F25" s="85"/>
      <c r="G25" s="86"/>
      <c r="H25" s="85"/>
      <c r="I25" s="85"/>
      <c r="J25" s="84"/>
      <c r="K25" s="107"/>
      <c r="L25" s="101"/>
      <c r="M25" s="85"/>
      <c r="N25" s="107"/>
      <c r="O25" s="109"/>
    </row>
    <row r="26" spans="1:16">
      <c r="A26" s="83"/>
      <c r="B26" s="93"/>
      <c r="C26" s="93"/>
      <c r="D26" s="85"/>
      <c r="E26" s="106"/>
      <c r="F26" s="85"/>
      <c r="G26" s="93"/>
      <c r="H26" s="85"/>
      <c r="I26" s="108"/>
      <c r="J26" s="82"/>
      <c r="K26" s="82"/>
      <c r="L26" s="82"/>
      <c r="M26" s="85"/>
      <c r="N26" s="107"/>
      <c r="O26" s="107"/>
    </row>
    <row r="27" spans="1:16" ht="15.75" thickBot="1">
      <c r="A27" s="86"/>
      <c r="B27" s="85"/>
      <c r="C27" s="107"/>
      <c r="D27" s="107"/>
      <c r="E27" s="85"/>
      <c r="F27" s="109"/>
      <c r="G27" s="93"/>
      <c r="H27" s="93"/>
      <c r="I27" s="93"/>
      <c r="J27" s="93"/>
      <c r="K27" s="86"/>
      <c r="M27" s="93"/>
      <c r="N27" s="93"/>
      <c r="O27" s="109"/>
    </row>
    <row r="28" spans="1:16">
      <c r="A28" s="86"/>
      <c r="B28" s="107"/>
      <c r="C28" s="107"/>
      <c r="D28" s="107"/>
      <c r="E28" s="85"/>
      <c r="F28" s="93"/>
      <c r="G28" s="85"/>
      <c r="H28" s="93"/>
      <c r="I28" s="82"/>
      <c r="J28" s="124"/>
      <c r="K28" s="125"/>
      <c r="L28" s="81"/>
      <c r="M28" s="106"/>
      <c r="N28" s="93"/>
      <c r="O28" s="93"/>
    </row>
    <row r="29" spans="1:16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3"/>
      <c r="M29" s="85"/>
      <c r="N29" s="83"/>
      <c r="O29" s="85"/>
    </row>
    <row r="30" spans="1:16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92"/>
      <c r="M30" s="82"/>
      <c r="N30" s="83"/>
      <c r="O30" s="108"/>
    </row>
    <row r="31" spans="1:16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6"/>
      <c r="M31" s="85"/>
      <c r="N31" s="108"/>
    </row>
    <row r="32" spans="1:16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3"/>
      <c r="M32" s="107"/>
      <c r="N32" s="90"/>
    </row>
    <row r="33" spans="1:14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08"/>
      <c r="M33" s="107"/>
    </row>
    <row r="34" spans="1:14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101"/>
      <c r="M34" s="85"/>
    </row>
    <row r="35" spans="1:14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6"/>
      <c r="M35" s="84"/>
      <c r="N35" s="101"/>
    </row>
    <row r="36" spans="1:14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1"/>
      <c r="M36" s="106"/>
      <c r="N36" s="81"/>
    </row>
    <row r="37" spans="1:14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</row>
    <row r="38" spans="1:14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</row>
    <row r="39" spans="1:14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</row>
    <row r="40" spans="1:14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</row>
    <row r="41" spans="1:14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</row>
    <row r="42" spans="1:14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</row>
    <row r="43" spans="1:14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</row>
    <row r="44" spans="1:1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</row>
    <row r="45" spans="1:14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</row>
    <row r="46" spans="1:14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</row>
    <row r="47" spans="1:14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</row>
    <row r="48" spans="1:14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</row>
    <row r="49" spans="1:1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</row>
    <row r="50" spans="1:1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E13" sqref="E13:J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101"/>
      <c r="B1" s="674"/>
      <c r="C1" s="675"/>
      <c r="D1" s="676"/>
      <c r="E1" s="82"/>
      <c r="F1" s="85"/>
      <c r="G1" s="83"/>
      <c r="I1" s="100"/>
      <c r="J1" s="99"/>
      <c r="K1" s="107"/>
      <c r="L1" s="107"/>
      <c r="M1" s="90"/>
      <c r="N1" s="84"/>
      <c r="O1" s="84"/>
      <c r="P1" s="93"/>
    </row>
    <row r="2" spans="1:17" ht="36">
      <c r="B2" s="123" t="s">
        <v>326</v>
      </c>
      <c r="C2" s="123"/>
      <c r="D2" s="85"/>
      <c r="E2" s="91"/>
      <c r="G2" s="93"/>
      <c r="H2" s="85"/>
      <c r="I2" s="670" t="s">
        <v>408</v>
      </c>
      <c r="J2" s="671"/>
      <c r="K2" s="96"/>
      <c r="L2" s="85"/>
      <c r="M2" s="93"/>
      <c r="N2" s="85"/>
      <c r="O2" s="82"/>
      <c r="P2" s="85"/>
      <c r="Q2" s="82"/>
    </row>
    <row r="3" spans="1:17" s="62" customFormat="1" ht="22.5" customHeight="1">
      <c r="A3" s="88"/>
      <c r="B3" s="62" t="s">
        <v>409</v>
      </c>
      <c r="D3" s="94"/>
      <c r="E3" s="87"/>
      <c r="F3" s="89"/>
      <c r="G3" s="94"/>
      <c r="H3" s="97"/>
      <c r="I3" s="98"/>
      <c r="J3" s="98"/>
      <c r="K3" s="89"/>
      <c r="L3" s="89"/>
      <c r="M3" s="89"/>
      <c r="N3" s="87"/>
      <c r="O3" s="87"/>
      <c r="P3" s="89"/>
      <c r="Q3" s="122"/>
    </row>
    <row r="4" spans="1:17" s="63" customFormat="1" ht="25.5" customHeight="1" thickBot="1">
      <c r="B4" s="136" t="s">
        <v>105</v>
      </c>
      <c r="C4" s="302"/>
      <c r="D4" s="207"/>
      <c r="F4" s="206"/>
      <c r="G4" s="111"/>
      <c r="H4" s="111"/>
      <c r="I4" s="206"/>
      <c r="J4" s="206"/>
      <c r="K4" s="206"/>
      <c r="L4" s="96"/>
      <c r="M4" s="111"/>
      <c r="N4" s="112"/>
      <c r="O4" s="95"/>
      <c r="P4" s="96"/>
      <c r="Q4" s="121"/>
    </row>
    <row r="5" spans="1:17" ht="78" customHeight="1" thickBot="1">
      <c r="A5" s="92"/>
      <c r="B5" s="384" t="s">
        <v>98</v>
      </c>
      <c r="C5" s="677" t="s">
        <v>99</v>
      </c>
      <c r="D5" s="678"/>
      <c r="E5" s="381" t="s">
        <v>101</v>
      </c>
      <c r="F5" s="381" t="s">
        <v>100</v>
      </c>
      <c r="G5" s="381" t="s">
        <v>102</v>
      </c>
      <c r="H5" s="382" t="s">
        <v>159</v>
      </c>
      <c r="I5" s="382" t="s">
        <v>103</v>
      </c>
      <c r="J5" s="383" t="s">
        <v>104</v>
      </c>
      <c r="K5" s="208"/>
      <c r="L5" s="85"/>
      <c r="M5" s="85"/>
      <c r="N5" s="85"/>
      <c r="O5" s="84"/>
      <c r="P5" s="107"/>
    </row>
    <row r="6" spans="1:17" ht="28.5">
      <c r="A6" s="82"/>
      <c r="B6" s="218" t="s">
        <v>410</v>
      </c>
      <c r="C6" s="679">
        <v>45231</v>
      </c>
      <c r="D6" s="680"/>
      <c r="E6" s="465">
        <v>45413</v>
      </c>
      <c r="F6" s="465">
        <v>45597</v>
      </c>
      <c r="G6" s="465">
        <v>45778</v>
      </c>
      <c r="H6" s="465">
        <v>45962</v>
      </c>
      <c r="I6" s="465">
        <v>46143</v>
      </c>
      <c r="J6" s="468">
        <v>46327</v>
      </c>
      <c r="K6" s="106"/>
      <c r="L6" s="85"/>
      <c r="M6" s="109"/>
      <c r="N6" s="85"/>
      <c r="O6" s="85"/>
      <c r="P6" s="82"/>
    </row>
    <row r="7" spans="1:17" ht="28.5">
      <c r="A7" s="82"/>
      <c r="B7" s="219" t="s">
        <v>411</v>
      </c>
      <c r="C7" s="681">
        <v>45658</v>
      </c>
      <c r="D7" s="682"/>
      <c r="E7" s="466">
        <v>45809</v>
      </c>
      <c r="F7" s="466">
        <v>46023</v>
      </c>
      <c r="G7" s="466">
        <v>46174</v>
      </c>
      <c r="H7" s="466">
        <v>46388</v>
      </c>
      <c r="I7" s="466">
        <v>46539</v>
      </c>
      <c r="J7" s="469">
        <v>46753</v>
      </c>
      <c r="K7" s="81"/>
      <c r="L7" s="85"/>
      <c r="M7" s="109"/>
      <c r="N7" s="109"/>
      <c r="O7" s="85"/>
      <c r="P7" s="82"/>
    </row>
    <row r="8" spans="1:17">
      <c r="A8" s="82"/>
      <c r="B8" s="599"/>
      <c r="C8" s="602"/>
      <c r="E8" s="604"/>
      <c r="F8" s="602"/>
      <c r="H8" s="601"/>
      <c r="J8" s="90"/>
      <c r="K8" s="81"/>
      <c r="L8" s="85"/>
      <c r="M8" s="109"/>
      <c r="N8" s="109"/>
      <c r="O8" s="85"/>
      <c r="P8" s="82"/>
    </row>
    <row r="9" spans="1:17">
      <c r="A9" s="82"/>
      <c r="B9" s="85"/>
      <c r="C9" s="85"/>
      <c r="D9" s="81"/>
      <c r="E9" s="85"/>
      <c r="F9" s="85"/>
      <c r="G9" s="85"/>
      <c r="H9" s="84"/>
      <c r="I9" s="83"/>
      <c r="J9" s="82"/>
      <c r="K9" s="81"/>
      <c r="L9" s="85"/>
      <c r="M9" s="109"/>
      <c r="N9" s="109"/>
      <c r="O9" s="85"/>
      <c r="P9" s="82"/>
    </row>
    <row r="10" spans="1:17" ht="15.75" thickBot="1">
      <c r="A10" s="82"/>
      <c r="B10" s="600"/>
      <c r="C10" s="92"/>
      <c r="D10" s="603"/>
      <c r="E10" s="606"/>
      <c r="F10" s="606"/>
      <c r="G10" s="606"/>
      <c r="H10" s="90"/>
      <c r="I10" s="605"/>
      <c r="J10" s="90"/>
      <c r="K10" s="81"/>
      <c r="L10" s="85"/>
      <c r="M10" s="109"/>
      <c r="N10" s="109"/>
      <c r="O10" s="85"/>
      <c r="P10" s="82"/>
    </row>
    <row r="11" spans="1:17" ht="30.75" customHeight="1" thickBot="1">
      <c r="A11" s="82"/>
      <c r="B11" s="488" t="s">
        <v>108</v>
      </c>
      <c r="C11" s="500"/>
      <c r="D11" s="292" t="s">
        <v>109</v>
      </c>
      <c r="E11" s="129"/>
      <c r="F11" s="130"/>
      <c r="G11" s="131"/>
      <c r="H11" s="132"/>
      <c r="I11" s="133"/>
      <c r="J11" s="134"/>
      <c r="K11" s="304"/>
      <c r="L11" s="85"/>
      <c r="M11" s="85"/>
      <c r="N11" s="109"/>
      <c r="O11" s="85"/>
      <c r="P11" s="82"/>
    </row>
    <row r="12" spans="1:17" ht="8.25" customHeight="1" thickBot="1">
      <c r="A12" s="90"/>
      <c r="B12" s="487"/>
      <c r="C12" s="303"/>
      <c r="D12" s="293"/>
      <c r="E12" s="294"/>
      <c r="F12" s="294"/>
      <c r="G12" s="295"/>
      <c r="H12" s="294"/>
      <c r="I12" s="295"/>
      <c r="J12" s="296"/>
      <c r="L12" s="85"/>
      <c r="M12" s="107"/>
      <c r="N12" s="85"/>
      <c r="O12" s="82"/>
      <c r="P12" s="82"/>
    </row>
    <row r="13" spans="1:17" ht="74.25" customHeight="1" thickBot="1">
      <c r="A13" s="82"/>
      <c r="B13" s="490" t="s">
        <v>187</v>
      </c>
      <c r="C13" s="499"/>
      <c r="D13" s="297" t="s">
        <v>410</v>
      </c>
      <c r="E13" s="667" t="s">
        <v>412</v>
      </c>
      <c r="F13" s="668"/>
      <c r="G13" s="668"/>
      <c r="H13" s="668"/>
      <c r="I13" s="668"/>
      <c r="J13" s="669"/>
      <c r="K13" s="305"/>
      <c r="L13" s="118"/>
      <c r="M13" s="116"/>
      <c r="N13" s="115"/>
      <c r="P13" s="82"/>
    </row>
    <row r="14" spans="1:17" ht="108.75" customHeight="1" thickBot="1">
      <c r="A14" s="90"/>
      <c r="B14" s="492" t="s">
        <v>106</v>
      </c>
      <c r="C14" s="498"/>
      <c r="D14" s="297" t="s">
        <v>411</v>
      </c>
      <c r="E14" s="667" t="s">
        <v>413</v>
      </c>
      <c r="F14" s="668"/>
      <c r="G14" s="668"/>
      <c r="H14" s="668"/>
      <c r="I14" s="668"/>
      <c r="J14" s="669"/>
      <c r="K14" s="139"/>
      <c r="L14" s="126"/>
      <c r="M14" s="118"/>
      <c r="N14" s="118"/>
      <c r="O14" s="85"/>
      <c r="P14" s="82"/>
    </row>
    <row r="15" spans="1:17" ht="87" customHeight="1" thickBot="1">
      <c r="A15" s="81"/>
      <c r="B15" s="492" t="s">
        <v>107</v>
      </c>
      <c r="C15" s="491"/>
      <c r="D15" s="497"/>
      <c r="E15" s="683"/>
      <c r="F15" s="683"/>
      <c r="G15" s="683"/>
      <c r="H15" s="683"/>
      <c r="I15" s="683"/>
      <c r="J15" s="683"/>
      <c r="K15" s="85"/>
      <c r="L15" s="118"/>
      <c r="M15" s="114"/>
      <c r="N15" s="113"/>
      <c r="O15" s="61"/>
      <c r="P15" s="90"/>
    </row>
    <row r="16" spans="1:17" ht="74.25" customHeight="1">
      <c r="A16" s="85"/>
      <c r="B16" s="90"/>
      <c r="C16" s="85"/>
      <c r="D16" s="494"/>
      <c r="E16" s="85"/>
      <c r="F16" s="85"/>
      <c r="G16" s="85"/>
      <c r="H16" s="85"/>
      <c r="I16" s="85"/>
      <c r="J16" s="85"/>
      <c r="K16" s="83"/>
      <c r="L16" s="126"/>
      <c r="M16" s="114"/>
      <c r="N16" s="113"/>
      <c r="O16" s="115"/>
      <c r="P16" s="81"/>
    </row>
    <row r="17" spans="1:16" ht="108" customHeight="1">
      <c r="A17" s="82"/>
      <c r="B17" s="93"/>
      <c r="C17" s="107"/>
      <c r="D17" s="501"/>
      <c r="E17" s="683"/>
      <c r="F17" s="683"/>
      <c r="G17" s="683"/>
      <c r="H17" s="683"/>
      <c r="I17" s="683"/>
      <c r="J17" s="683"/>
      <c r="K17" s="86"/>
      <c r="L17" s="300"/>
      <c r="M17" s="117"/>
      <c r="N17" s="115"/>
      <c r="O17" s="113"/>
    </row>
    <row r="18" spans="1:16" s="229" customFormat="1" ht="81.75" customHeight="1">
      <c r="B18" s="230"/>
      <c r="C18" s="231"/>
      <c r="D18" s="496"/>
      <c r="E18" s="683"/>
      <c r="F18" s="683"/>
      <c r="G18" s="683"/>
      <c r="H18" s="683"/>
      <c r="I18" s="683"/>
      <c r="J18" s="683"/>
      <c r="K18" s="493"/>
      <c r="L18" s="61"/>
      <c r="M18" s="115"/>
      <c r="N18" s="115"/>
      <c r="O18" s="120"/>
    </row>
    <row r="19" spans="1:16" ht="98.25" customHeight="1">
      <c r="A19" s="86"/>
      <c r="B19" s="109"/>
      <c r="C19" s="90"/>
      <c r="D19" s="495"/>
      <c r="E19" s="683"/>
      <c r="F19" s="683"/>
      <c r="G19" s="683"/>
      <c r="H19" s="683"/>
      <c r="I19" s="683"/>
      <c r="J19" s="683"/>
      <c r="L19" s="115"/>
      <c r="M19" s="118"/>
      <c r="N19" s="118"/>
      <c r="O19" s="115"/>
      <c r="P19" s="61"/>
    </row>
    <row r="20" spans="1:16" ht="23.25" customHeight="1">
      <c r="A20" s="86"/>
      <c r="B20" s="106"/>
      <c r="C20" s="106"/>
      <c r="D20" s="107"/>
      <c r="F20" s="107"/>
      <c r="G20" s="84"/>
      <c r="H20" s="84"/>
      <c r="I20" s="107"/>
      <c r="K20" s="85"/>
      <c r="L20" s="85"/>
      <c r="M20" s="93"/>
      <c r="N20" s="107"/>
      <c r="O20" s="107"/>
    </row>
    <row r="21" spans="1:16" ht="22.5" customHeight="1">
      <c r="A21" s="86"/>
      <c r="B21" s="106"/>
      <c r="C21" s="106"/>
      <c r="D21" s="85"/>
      <c r="E21" s="81"/>
      <c r="F21" s="85"/>
      <c r="G21" s="92"/>
      <c r="H21" s="85"/>
      <c r="I21" s="85"/>
      <c r="J21" s="82"/>
      <c r="K21" s="82"/>
      <c r="L21" s="82"/>
      <c r="M21" s="85"/>
      <c r="N21" s="85"/>
      <c r="O21" s="109"/>
    </row>
    <row r="22" spans="1:16" ht="22.5" customHeight="1">
      <c r="A22" s="86"/>
      <c r="B22" s="85"/>
      <c r="C22" s="93"/>
      <c r="D22" s="93"/>
      <c r="E22" s="85"/>
      <c r="F22" s="85"/>
      <c r="G22" s="86"/>
      <c r="H22" s="85"/>
      <c r="I22" s="85"/>
      <c r="J22" s="84"/>
      <c r="K22" s="107"/>
      <c r="L22" s="101"/>
      <c r="M22" s="85"/>
      <c r="N22" s="107"/>
      <c r="O22" s="109"/>
    </row>
    <row r="23" spans="1:16">
      <c r="A23" s="83"/>
      <c r="B23" s="93"/>
      <c r="C23" s="93"/>
      <c r="D23" s="85"/>
      <c r="E23" s="106"/>
      <c r="F23" s="85"/>
      <c r="G23" s="93"/>
      <c r="H23" s="85"/>
      <c r="I23" s="108"/>
      <c r="J23" s="82"/>
      <c r="K23" s="82"/>
      <c r="L23" s="82"/>
      <c r="M23" s="85"/>
      <c r="N23" s="107"/>
      <c r="O23" s="107"/>
    </row>
    <row r="24" spans="1:16" ht="15.75" thickBot="1">
      <c r="A24" s="86"/>
      <c r="B24" s="85"/>
      <c r="C24" s="107"/>
      <c r="D24" s="107"/>
      <c r="E24" s="85"/>
      <c r="F24" s="109"/>
      <c r="G24" s="93"/>
      <c r="H24" s="93"/>
      <c r="I24" s="93"/>
      <c r="J24" s="93"/>
      <c r="K24" s="86"/>
      <c r="M24" s="93"/>
      <c r="N24" s="93"/>
      <c r="O24" s="109"/>
    </row>
    <row r="25" spans="1:16">
      <c r="A25" s="86"/>
      <c r="B25" s="107"/>
      <c r="C25" s="107"/>
      <c r="D25" s="107"/>
      <c r="E25" s="85"/>
      <c r="F25" s="93"/>
      <c r="G25" s="85"/>
      <c r="H25" s="93"/>
      <c r="I25" s="82"/>
      <c r="J25" s="124"/>
      <c r="K25" s="125"/>
      <c r="L25" s="81"/>
      <c r="M25" s="106"/>
      <c r="N25" s="93"/>
      <c r="O25" s="93"/>
    </row>
    <row r="26" spans="1:16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3"/>
      <c r="M26" s="85"/>
      <c r="N26" s="83"/>
      <c r="O26" s="85"/>
    </row>
    <row r="27" spans="1:16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92"/>
      <c r="M27" s="82"/>
      <c r="N27" s="83"/>
      <c r="O27" s="108"/>
    </row>
    <row r="28" spans="1:16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6"/>
      <c r="M28" s="85"/>
      <c r="N28" s="108"/>
    </row>
    <row r="29" spans="1:16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3"/>
      <c r="M29" s="107"/>
      <c r="N29" s="90"/>
    </row>
    <row r="30" spans="1:16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108"/>
      <c r="M30" s="107"/>
    </row>
    <row r="31" spans="1:16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101"/>
      <c r="M31" s="85"/>
    </row>
    <row r="32" spans="1:16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6"/>
      <c r="M32" s="84"/>
      <c r="N32" s="101"/>
    </row>
    <row r="33" spans="1:14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1"/>
      <c r="M33" s="106"/>
      <c r="N33" s="81"/>
    </row>
    <row r="34" spans="1:14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</row>
    <row r="35" spans="1:14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</row>
    <row r="36" spans="1:14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</row>
    <row r="37" spans="1:14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</row>
    <row r="38" spans="1:14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</row>
    <row r="39" spans="1:14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</row>
    <row r="40" spans="1:14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</row>
    <row r="41" spans="1:14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</row>
    <row r="42" spans="1:14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</row>
    <row r="43" spans="1:14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</row>
    <row r="44" spans="1:1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</row>
    <row r="45" spans="1:14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</row>
    <row r="46" spans="1:14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</row>
    <row r="47" spans="1:14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18" zoomScale="70" zoomScaleNormal="70" workbookViewId="0">
      <selection activeCell="AA11" sqref="AA11"/>
    </sheetView>
  </sheetViews>
  <sheetFormatPr baseColWidth="10" defaultRowHeight="15"/>
  <cols>
    <col min="1" max="1" width="3.5703125" customWidth="1"/>
    <col min="2" max="2" width="39" customWidth="1"/>
    <col min="3" max="3" width="20.8554687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81"/>
      <c r="B1" s="775" t="s">
        <v>0</v>
      </c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776"/>
      <c r="O1" s="776"/>
      <c r="P1" s="776"/>
      <c r="Q1" s="776"/>
      <c r="R1" s="776"/>
      <c r="S1" s="776"/>
      <c r="T1" s="776"/>
      <c r="U1" s="776"/>
      <c r="V1" s="776"/>
      <c r="W1" s="776"/>
      <c r="X1" s="776"/>
      <c r="Y1" s="777"/>
      <c r="Z1" s="176"/>
    </row>
    <row r="2" spans="1:28" ht="9" customHeight="1" thickBot="1">
      <c r="A2" s="179"/>
      <c r="B2" s="91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90"/>
      <c r="R2" s="109"/>
      <c r="S2" s="109"/>
      <c r="T2" s="109"/>
      <c r="U2" s="90"/>
      <c r="V2" s="109"/>
      <c r="W2" s="109"/>
      <c r="X2" s="109"/>
      <c r="Y2" s="90"/>
      <c r="Z2" s="85"/>
      <c r="AA2" s="106"/>
    </row>
    <row r="3" spans="1:28" ht="24.75" customHeight="1" thickBot="1">
      <c r="A3" s="182" t="s">
        <v>155</v>
      </c>
      <c r="B3" s="778" t="s">
        <v>185</v>
      </c>
      <c r="C3" s="779"/>
      <c r="D3" s="779"/>
      <c r="E3" s="779"/>
      <c r="F3" s="779"/>
      <c r="G3" s="779"/>
      <c r="H3" s="779"/>
      <c r="I3" s="779"/>
      <c r="J3" s="779"/>
      <c r="K3" s="779"/>
      <c r="L3" s="779"/>
      <c r="M3" s="779"/>
      <c r="N3" s="779"/>
      <c r="O3" s="779"/>
      <c r="P3" s="779"/>
      <c r="Q3" s="779"/>
      <c r="R3" s="779"/>
      <c r="S3" s="779"/>
      <c r="T3" s="779"/>
      <c r="U3" s="779"/>
      <c r="V3" s="779"/>
      <c r="W3" s="779"/>
      <c r="X3" s="779"/>
      <c r="Y3" s="780"/>
      <c r="Z3" s="177"/>
      <c r="AA3" s="106"/>
    </row>
    <row r="4" spans="1:28" ht="23.25" customHeight="1" thickBot="1">
      <c r="A4" s="183" t="s">
        <v>156</v>
      </c>
      <c r="B4" s="781" t="s">
        <v>338</v>
      </c>
      <c r="C4" s="782"/>
      <c r="D4" s="782"/>
      <c r="E4" s="782"/>
      <c r="F4" s="782"/>
      <c r="G4" s="782"/>
      <c r="H4" s="782"/>
      <c r="I4" s="782"/>
      <c r="J4" s="782"/>
      <c r="K4" s="782"/>
      <c r="L4" s="782"/>
      <c r="M4" s="782"/>
      <c r="N4" s="782"/>
      <c r="O4" s="782"/>
      <c r="P4" s="782"/>
      <c r="Q4" s="782"/>
      <c r="R4" s="782"/>
      <c r="S4" s="782"/>
      <c r="T4" s="782"/>
      <c r="U4" s="782"/>
      <c r="V4" s="782"/>
      <c r="W4" s="782"/>
      <c r="X4" s="782"/>
      <c r="Y4" s="783"/>
      <c r="Z4" s="178"/>
      <c r="AA4" s="106"/>
    </row>
    <row r="5" spans="1:28" ht="15.75" thickBot="1">
      <c r="A5" s="180"/>
      <c r="B5" s="91"/>
      <c r="C5" s="109"/>
      <c r="D5" s="109"/>
      <c r="E5" s="109"/>
      <c r="F5" s="107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90"/>
      <c r="R5" s="90"/>
      <c r="S5" s="109"/>
      <c r="T5" s="109"/>
      <c r="U5" s="90"/>
      <c r="V5" s="109"/>
      <c r="W5" s="109"/>
      <c r="X5" s="109"/>
      <c r="Y5" s="90"/>
      <c r="Z5" s="85"/>
      <c r="AA5" s="106"/>
    </row>
    <row r="6" spans="1:28" ht="24.75" customHeight="1" thickBot="1">
      <c r="A6" s="184"/>
      <c r="B6" s="787" t="s">
        <v>112</v>
      </c>
      <c r="C6" s="788"/>
      <c r="D6" s="788"/>
      <c r="E6" s="789"/>
      <c r="F6" s="92"/>
      <c r="G6" s="145"/>
      <c r="H6" s="753" t="s">
        <v>117</v>
      </c>
      <c r="I6" s="754"/>
      <c r="J6" s="754"/>
      <c r="K6" s="755"/>
      <c r="L6" s="92"/>
      <c r="M6" s="145"/>
      <c r="N6" s="765" t="s">
        <v>136</v>
      </c>
      <c r="O6" s="766"/>
      <c r="P6" s="767"/>
      <c r="Q6" s="152"/>
      <c r="R6" s="154"/>
      <c r="S6" s="760" t="s">
        <v>118</v>
      </c>
      <c r="T6" s="761"/>
      <c r="U6" s="155"/>
      <c r="V6" s="159"/>
      <c r="W6" s="146"/>
      <c r="X6" s="760" t="s">
        <v>119</v>
      </c>
      <c r="Y6" s="761"/>
      <c r="Z6" s="83"/>
      <c r="AA6" s="106"/>
    </row>
    <row r="7" spans="1:28" ht="30.75" customHeight="1" thickBot="1">
      <c r="A7" s="184"/>
      <c r="B7" s="373" t="s">
        <v>113</v>
      </c>
      <c r="C7" s="374" t="s">
        <v>114</v>
      </c>
      <c r="D7" s="375" t="s">
        <v>115</v>
      </c>
      <c r="E7" s="376" t="s">
        <v>116</v>
      </c>
      <c r="F7" s="92"/>
      <c r="G7" s="119"/>
      <c r="H7" s="762">
        <f>I23</f>
        <v>68</v>
      </c>
      <c r="I7" s="764"/>
      <c r="J7" s="764"/>
      <c r="K7" s="763"/>
      <c r="L7" s="92"/>
      <c r="M7" s="119"/>
      <c r="N7" s="768">
        <f>L23</f>
        <v>187</v>
      </c>
      <c r="O7" s="769"/>
      <c r="P7" s="770"/>
      <c r="Q7" s="153"/>
      <c r="R7" s="155"/>
      <c r="S7" s="762">
        <f>O23</f>
        <v>473</v>
      </c>
      <c r="T7" s="763"/>
      <c r="U7" s="92"/>
      <c r="V7" s="158"/>
      <c r="W7" s="85"/>
      <c r="X7" s="762">
        <f>R23</f>
        <v>526</v>
      </c>
      <c r="Y7" s="763"/>
      <c r="Z7" s="144"/>
      <c r="AA7" s="106"/>
    </row>
    <row r="8" spans="1:28" ht="21.75" customHeight="1" thickBot="1">
      <c r="A8" s="184"/>
      <c r="B8" s="192" t="s">
        <v>301</v>
      </c>
      <c r="C8" s="187" t="s">
        <v>309</v>
      </c>
      <c r="D8" s="185">
        <v>2019</v>
      </c>
      <c r="E8" s="201"/>
      <c r="F8" s="92"/>
      <c r="G8" s="147"/>
      <c r="H8" s="148"/>
      <c r="I8" s="149"/>
      <c r="J8" s="157"/>
      <c r="K8" s="150"/>
      <c r="L8" s="92"/>
      <c r="M8" s="147"/>
      <c r="N8" s="151"/>
      <c r="O8" s="151"/>
      <c r="P8" s="150"/>
      <c r="Q8" s="92"/>
      <c r="R8" s="156"/>
      <c r="S8" s="151"/>
      <c r="T8" s="150"/>
      <c r="U8" s="81"/>
      <c r="V8" s="147"/>
      <c r="W8" s="151"/>
      <c r="X8" s="151"/>
      <c r="Y8" s="150"/>
      <c r="Z8" s="83"/>
      <c r="AA8" s="106"/>
    </row>
    <row r="9" spans="1:28" ht="18" customHeight="1" thickBot="1">
      <c r="A9" s="186"/>
      <c r="B9" s="192" t="s">
        <v>302</v>
      </c>
      <c r="C9" s="188" t="s">
        <v>310</v>
      </c>
      <c r="D9" s="137">
        <v>2024</v>
      </c>
      <c r="E9" s="202"/>
      <c r="F9" s="83"/>
      <c r="G9" s="109"/>
      <c r="H9" s="109"/>
      <c r="I9" s="109"/>
      <c r="J9" s="109"/>
      <c r="K9" s="109"/>
      <c r="L9" s="109"/>
      <c r="M9" s="109"/>
      <c r="N9" s="109"/>
      <c r="O9" s="163"/>
      <c r="P9" s="109"/>
      <c r="Q9" s="90"/>
      <c r="R9" s="90"/>
      <c r="S9" s="109"/>
      <c r="T9" s="109"/>
      <c r="U9" s="93"/>
      <c r="V9" s="109"/>
      <c r="W9" s="109"/>
      <c r="X9" s="109"/>
      <c r="Y9" s="90"/>
      <c r="Z9" s="85"/>
      <c r="AA9" s="106"/>
    </row>
    <row r="10" spans="1:28" ht="21" customHeight="1">
      <c r="A10" s="84"/>
      <c r="B10" s="192" t="s">
        <v>303</v>
      </c>
      <c r="C10" s="188" t="s">
        <v>310</v>
      </c>
      <c r="D10" s="137">
        <v>2024</v>
      </c>
      <c r="E10" s="202"/>
      <c r="F10" s="92"/>
      <c r="G10" s="794" t="s">
        <v>120</v>
      </c>
      <c r="H10" s="795"/>
      <c r="I10" s="795"/>
      <c r="J10" s="795"/>
      <c r="K10" s="795"/>
      <c r="L10" s="795"/>
      <c r="M10" s="795"/>
      <c r="N10" s="795"/>
      <c r="O10" s="795"/>
      <c r="P10" s="795"/>
      <c r="Q10" s="795"/>
      <c r="R10" s="795"/>
      <c r="S10" s="795"/>
      <c r="T10" s="795"/>
      <c r="U10" s="795"/>
      <c r="V10" s="795"/>
      <c r="W10" s="795"/>
      <c r="X10" s="795"/>
      <c r="Y10" s="796"/>
      <c r="Z10" s="83"/>
      <c r="AA10" s="106"/>
    </row>
    <row r="11" spans="1:28" ht="19.5" customHeight="1">
      <c r="A11" s="82"/>
      <c r="B11" s="192" t="s">
        <v>304</v>
      </c>
      <c r="C11" s="191" t="s">
        <v>310</v>
      </c>
      <c r="D11" s="137">
        <v>2024</v>
      </c>
      <c r="E11" s="202"/>
      <c r="F11" s="92"/>
      <c r="G11" s="797" t="s">
        <v>121</v>
      </c>
      <c r="H11" s="792"/>
      <c r="I11" s="792" t="s">
        <v>122</v>
      </c>
      <c r="J11" s="792"/>
      <c r="K11" s="792"/>
      <c r="L11" s="792" t="s">
        <v>123</v>
      </c>
      <c r="M11" s="792"/>
      <c r="N11" s="792"/>
      <c r="O11" s="792" t="s">
        <v>124</v>
      </c>
      <c r="P11" s="792"/>
      <c r="Q11" s="792"/>
      <c r="R11" s="792" t="s">
        <v>119</v>
      </c>
      <c r="S11" s="792"/>
      <c r="T11" s="792"/>
      <c r="U11" s="792"/>
      <c r="V11" s="792"/>
      <c r="W11" s="792"/>
      <c r="X11" s="792"/>
      <c r="Y11" s="793"/>
      <c r="Z11" s="83"/>
      <c r="AA11" s="106"/>
    </row>
    <row r="12" spans="1:28" ht="17.25" customHeight="1">
      <c r="A12" s="82"/>
      <c r="B12" s="193" t="s">
        <v>305</v>
      </c>
      <c r="C12" s="195" t="s">
        <v>310</v>
      </c>
      <c r="D12" s="188">
        <v>2024</v>
      </c>
      <c r="E12" s="202"/>
      <c r="F12" s="92"/>
      <c r="G12" s="797"/>
      <c r="H12" s="792"/>
      <c r="I12" s="792"/>
      <c r="J12" s="792"/>
      <c r="K12" s="792"/>
      <c r="L12" s="792"/>
      <c r="M12" s="792"/>
      <c r="N12" s="792"/>
      <c r="O12" s="792"/>
      <c r="P12" s="792"/>
      <c r="Q12" s="792"/>
      <c r="R12" s="719" t="s">
        <v>125</v>
      </c>
      <c r="S12" s="719"/>
      <c r="T12" s="719" t="s">
        <v>126</v>
      </c>
      <c r="U12" s="719"/>
      <c r="V12" s="719" t="s">
        <v>127</v>
      </c>
      <c r="W12" s="719"/>
      <c r="X12" s="719" t="s">
        <v>128</v>
      </c>
      <c r="Y12" s="750"/>
      <c r="Z12" s="83"/>
      <c r="AA12" s="82"/>
    </row>
    <row r="13" spans="1:28" ht="18.75" customHeight="1">
      <c r="A13" s="82"/>
      <c r="B13" s="192" t="s">
        <v>306</v>
      </c>
      <c r="C13" s="187" t="s">
        <v>310</v>
      </c>
      <c r="D13" s="137">
        <v>2024</v>
      </c>
      <c r="E13" s="202"/>
      <c r="F13" s="92"/>
      <c r="G13" s="797"/>
      <c r="H13" s="792"/>
      <c r="I13" s="792"/>
      <c r="J13" s="792"/>
      <c r="K13" s="792"/>
      <c r="L13" s="792"/>
      <c r="M13" s="792"/>
      <c r="N13" s="792"/>
      <c r="O13" s="792"/>
      <c r="P13" s="792"/>
      <c r="Q13" s="792"/>
      <c r="R13" s="719"/>
      <c r="S13" s="719"/>
      <c r="T13" s="719"/>
      <c r="U13" s="719"/>
      <c r="V13" s="719"/>
      <c r="W13" s="719"/>
      <c r="X13" s="790"/>
      <c r="Y13" s="791"/>
      <c r="Z13" s="83"/>
      <c r="AA13" s="84"/>
    </row>
    <row r="14" spans="1:28" ht="18.75" customHeight="1">
      <c r="A14" s="82"/>
      <c r="B14" s="192" t="s">
        <v>307</v>
      </c>
      <c r="C14" s="188" t="s">
        <v>310</v>
      </c>
      <c r="D14" s="137">
        <v>2024</v>
      </c>
      <c r="E14" s="202"/>
      <c r="F14" s="92"/>
      <c r="G14" s="771" t="s">
        <v>18</v>
      </c>
      <c r="H14" s="772"/>
      <c r="I14" s="749">
        <v>4</v>
      </c>
      <c r="J14" s="773"/>
      <c r="K14" s="774"/>
      <c r="L14" s="747">
        <v>8</v>
      </c>
      <c r="M14" s="747"/>
      <c r="N14" s="747"/>
      <c r="O14" s="747">
        <v>30</v>
      </c>
      <c r="P14" s="747"/>
      <c r="Q14" s="747"/>
      <c r="R14" s="747">
        <v>53</v>
      </c>
      <c r="S14" s="747"/>
      <c r="T14" s="747">
        <v>0</v>
      </c>
      <c r="U14" s="747"/>
      <c r="V14" s="747">
        <v>8</v>
      </c>
      <c r="W14" s="749"/>
      <c r="X14" s="747">
        <v>2</v>
      </c>
      <c r="Y14" s="748"/>
      <c r="Z14" s="83"/>
    </row>
    <row r="15" spans="1:28" ht="19.5" customHeight="1" thickBot="1">
      <c r="A15" s="82"/>
      <c r="B15" s="194" t="s">
        <v>308</v>
      </c>
      <c r="C15" s="190" t="s">
        <v>310</v>
      </c>
      <c r="D15" s="189">
        <v>2024</v>
      </c>
      <c r="E15" s="203"/>
      <c r="F15" s="92"/>
      <c r="G15" s="771" t="s">
        <v>16</v>
      </c>
      <c r="H15" s="772"/>
      <c r="I15" s="749">
        <v>11</v>
      </c>
      <c r="J15" s="773"/>
      <c r="K15" s="774"/>
      <c r="L15" s="747">
        <v>30</v>
      </c>
      <c r="M15" s="747"/>
      <c r="N15" s="747"/>
      <c r="O15" s="747">
        <v>105</v>
      </c>
      <c r="P15" s="747"/>
      <c r="Q15" s="747"/>
      <c r="R15" s="747">
        <v>105</v>
      </c>
      <c r="S15" s="747"/>
      <c r="T15" s="747">
        <v>8</v>
      </c>
      <c r="U15" s="747"/>
      <c r="V15" s="747">
        <v>0</v>
      </c>
      <c r="W15" s="749"/>
      <c r="X15" s="747">
        <v>4</v>
      </c>
      <c r="Y15" s="748"/>
      <c r="Z15" s="83"/>
      <c r="AA15" s="106"/>
    </row>
    <row r="16" spans="1:28" ht="24" customHeight="1" thickBot="1">
      <c r="A16" s="85"/>
      <c r="B16" s="109"/>
      <c r="C16" s="109"/>
      <c r="D16" s="109"/>
      <c r="E16" s="109"/>
      <c r="F16" s="82"/>
      <c r="G16" s="771" t="s">
        <v>19</v>
      </c>
      <c r="H16" s="772"/>
      <c r="I16" s="749">
        <v>19</v>
      </c>
      <c r="J16" s="773"/>
      <c r="K16" s="774"/>
      <c r="L16" s="747">
        <v>58</v>
      </c>
      <c r="M16" s="747"/>
      <c r="N16" s="747"/>
      <c r="O16" s="747">
        <v>99</v>
      </c>
      <c r="P16" s="747"/>
      <c r="Q16" s="747"/>
      <c r="R16" s="747">
        <v>107</v>
      </c>
      <c r="S16" s="747"/>
      <c r="T16" s="747">
        <v>8</v>
      </c>
      <c r="U16" s="747"/>
      <c r="V16" s="747">
        <v>6</v>
      </c>
      <c r="W16" s="749"/>
      <c r="X16" s="747">
        <v>7</v>
      </c>
      <c r="Y16" s="748"/>
      <c r="Z16" s="83"/>
      <c r="AA16" s="106"/>
      <c r="AB16" s="197"/>
    </row>
    <row r="17" spans="1:27" ht="21" customHeight="1">
      <c r="A17" s="82"/>
      <c r="B17" s="784" t="s">
        <v>130</v>
      </c>
      <c r="C17" s="785"/>
      <c r="D17" s="785"/>
      <c r="E17" s="786"/>
      <c r="F17" s="92"/>
      <c r="G17" s="771" t="s">
        <v>17</v>
      </c>
      <c r="H17" s="772"/>
      <c r="I17" s="749">
        <v>15</v>
      </c>
      <c r="J17" s="773"/>
      <c r="K17" s="774"/>
      <c r="L17" s="747">
        <v>49</v>
      </c>
      <c r="M17" s="747"/>
      <c r="N17" s="747"/>
      <c r="O17" s="747">
        <v>127</v>
      </c>
      <c r="P17" s="747"/>
      <c r="Q17" s="747"/>
      <c r="R17" s="747">
        <v>134</v>
      </c>
      <c r="S17" s="747"/>
      <c r="T17" s="747">
        <v>12</v>
      </c>
      <c r="U17" s="747"/>
      <c r="V17" s="747">
        <v>5</v>
      </c>
      <c r="W17" s="749"/>
      <c r="X17" s="747">
        <v>7</v>
      </c>
      <c r="Y17" s="748"/>
      <c r="Z17" s="83"/>
      <c r="AA17" s="106"/>
    </row>
    <row r="18" spans="1:27" ht="34.5" customHeight="1">
      <c r="A18" s="82"/>
      <c r="B18" s="377" t="s">
        <v>131</v>
      </c>
      <c r="C18" s="378" t="s">
        <v>125</v>
      </c>
      <c r="D18" s="379" t="s">
        <v>111</v>
      </c>
      <c r="E18" s="380" t="s">
        <v>132</v>
      </c>
      <c r="F18" s="92"/>
      <c r="G18" s="771" t="s">
        <v>314</v>
      </c>
      <c r="H18" s="772"/>
      <c r="I18" s="749">
        <v>1</v>
      </c>
      <c r="J18" s="773"/>
      <c r="K18" s="774"/>
      <c r="L18" s="747">
        <v>2</v>
      </c>
      <c r="M18" s="747"/>
      <c r="N18" s="747"/>
      <c r="O18" s="747">
        <v>4</v>
      </c>
      <c r="P18" s="747"/>
      <c r="Q18" s="747"/>
      <c r="R18" s="747">
        <v>4</v>
      </c>
      <c r="S18" s="747"/>
      <c r="T18" s="747">
        <v>0</v>
      </c>
      <c r="U18" s="747"/>
      <c r="V18" s="747">
        <v>2</v>
      </c>
      <c r="W18" s="749"/>
      <c r="X18" s="747">
        <v>2</v>
      </c>
      <c r="Y18" s="748"/>
      <c r="Z18" s="83"/>
      <c r="AA18" s="106"/>
    </row>
    <row r="19" spans="1:27" ht="30.75" customHeight="1">
      <c r="A19" s="82"/>
      <c r="B19" s="160" t="s">
        <v>133</v>
      </c>
      <c r="C19" s="137">
        <v>16</v>
      </c>
      <c r="D19" s="142" t="s">
        <v>313</v>
      </c>
      <c r="E19" s="204"/>
      <c r="F19" s="92"/>
      <c r="G19" s="771" t="s">
        <v>315</v>
      </c>
      <c r="H19" s="772"/>
      <c r="I19" s="749">
        <v>5</v>
      </c>
      <c r="J19" s="773"/>
      <c r="K19" s="774"/>
      <c r="L19" s="747">
        <v>8</v>
      </c>
      <c r="M19" s="747"/>
      <c r="N19" s="747"/>
      <c r="O19" s="747">
        <v>22</v>
      </c>
      <c r="P19" s="747"/>
      <c r="Q19" s="747"/>
      <c r="R19" s="747">
        <v>22</v>
      </c>
      <c r="S19" s="747"/>
      <c r="T19" s="747">
        <v>0</v>
      </c>
      <c r="U19" s="747"/>
      <c r="V19" s="747">
        <v>2</v>
      </c>
      <c r="W19" s="749"/>
      <c r="X19" s="747">
        <v>0</v>
      </c>
      <c r="Y19" s="748"/>
      <c r="Z19" s="83"/>
      <c r="AA19" s="106"/>
    </row>
    <row r="20" spans="1:27" ht="30" customHeight="1">
      <c r="A20" s="82"/>
      <c r="B20" s="160" t="s">
        <v>134</v>
      </c>
      <c r="C20" s="142">
        <v>13</v>
      </c>
      <c r="D20" s="142" t="s">
        <v>313</v>
      </c>
      <c r="E20" s="204"/>
      <c r="F20" s="92"/>
      <c r="G20" s="771" t="s">
        <v>22</v>
      </c>
      <c r="H20" s="772"/>
      <c r="I20" s="749">
        <v>9</v>
      </c>
      <c r="J20" s="773"/>
      <c r="K20" s="774"/>
      <c r="L20" s="747">
        <v>22</v>
      </c>
      <c r="M20" s="747"/>
      <c r="N20" s="747"/>
      <c r="O20" s="747">
        <v>32</v>
      </c>
      <c r="P20" s="747"/>
      <c r="Q20" s="747"/>
      <c r="R20" s="747">
        <v>33</v>
      </c>
      <c r="S20" s="747"/>
      <c r="T20" s="747">
        <v>0</v>
      </c>
      <c r="U20" s="747"/>
      <c r="V20" s="747">
        <v>0</v>
      </c>
      <c r="W20" s="749"/>
      <c r="X20" s="747">
        <v>0</v>
      </c>
      <c r="Y20" s="748"/>
      <c r="Z20" s="83"/>
      <c r="AA20" s="106"/>
    </row>
    <row r="21" spans="1:27" ht="30" customHeight="1">
      <c r="A21" s="82"/>
      <c r="B21" s="160" t="s">
        <v>311</v>
      </c>
      <c r="C21" s="142">
        <v>35</v>
      </c>
      <c r="D21" s="142" t="s">
        <v>313</v>
      </c>
      <c r="E21" s="204"/>
      <c r="F21" s="92"/>
      <c r="G21" s="771" t="s">
        <v>20</v>
      </c>
      <c r="H21" s="772"/>
      <c r="I21" s="749">
        <v>3</v>
      </c>
      <c r="J21" s="773"/>
      <c r="K21" s="774"/>
      <c r="L21" s="747">
        <v>8</v>
      </c>
      <c r="M21" s="747"/>
      <c r="N21" s="747"/>
      <c r="O21" s="747">
        <v>50</v>
      </c>
      <c r="P21" s="747"/>
      <c r="Q21" s="747"/>
      <c r="R21" s="747">
        <v>62</v>
      </c>
      <c r="S21" s="747"/>
      <c r="T21" s="747">
        <v>0</v>
      </c>
      <c r="U21" s="747"/>
      <c r="V21" s="747">
        <v>10</v>
      </c>
      <c r="W21" s="749"/>
      <c r="X21" s="747">
        <v>11</v>
      </c>
      <c r="Y21" s="748"/>
      <c r="Z21" s="83"/>
      <c r="AA21" s="106"/>
    </row>
    <row r="22" spans="1:27" ht="32.25" customHeight="1">
      <c r="A22" s="82"/>
      <c r="B22" s="160" t="s">
        <v>135</v>
      </c>
      <c r="C22" s="142">
        <v>21</v>
      </c>
      <c r="D22" s="142" t="s">
        <v>313</v>
      </c>
      <c r="E22" s="204"/>
      <c r="F22" s="92"/>
      <c r="G22" s="771" t="s">
        <v>316</v>
      </c>
      <c r="H22" s="772"/>
      <c r="I22" s="749">
        <v>1</v>
      </c>
      <c r="J22" s="773"/>
      <c r="K22" s="774"/>
      <c r="L22" s="747">
        <v>2</v>
      </c>
      <c r="M22" s="747"/>
      <c r="N22" s="747"/>
      <c r="O22" s="747">
        <v>4</v>
      </c>
      <c r="P22" s="747"/>
      <c r="Q22" s="747"/>
      <c r="R22" s="747">
        <v>6</v>
      </c>
      <c r="S22" s="747"/>
      <c r="T22" s="747">
        <v>0</v>
      </c>
      <c r="U22" s="747"/>
      <c r="V22" s="747">
        <v>0</v>
      </c>
      <c r="W22" s="749"/>
      <c r="X22" s="747">
        <v>3</v>
      </c>
      <c r="Y22" s="748"/>
      <c r="Z22" s="83"/>
      <c r="AA22" s="106"/>
    </row>
    <row r="23" spans="1:27" ht="30.75" customHeight="1" thickBot="1">
      <c r="A23" s="82"/>
      <c r="B23" s="161" t="s">
        <v>312</v>
      </c>
      <c r="C23" s="162">
        <v>2</v>
      </c>
      <c r="D23" s="162" t="s">
        <v>313</v>
      </c>
      <c r="E23" s="205"/>
      <c r="F23" s="92"/>
      <c r="G23" s="759" t="s">
        <v>129</v>
      </c>
      <c r="H23" s="751"/>
      <c r="I23" s="751">
        <f>SUM(I14:K22)</f>
        <v>68</v>
      </c>
      <c r="J23" s="751"/>
      <c r="K23" s="751"/>
      <c r="L23" s="751">
        <f>SUM(L14:N22)</f>
        <v>187</v>
      </c>
      <c r="M23" s="751"/>
      <c r="N23" s="751"/>
      <c r="O23" s="756">
        <f>SUM(O14:Q22)</f>
        <v>473</v>
      </c>
      <c r="P23" s="757"/>
      <c r="Q23" s="758"/>
      <c r="R23" s="756">
        <f>SUM(R14:S22)</f>
        <v>526</v>
      </c>
      <c r="S23" s="758"/>
      <c r="T23" s="756">
        <f>SUM(T14:U22)</f>
        <v>28</v>
      </c>
      <c r="U23" s="758"/>
      <c r="V23" s="756">
        <f>SUM(V14:W22)</f>
        <v>33</v>
      </c>
      <c r="W23" s="757"/>
      <c r="X23" s="751">
        <f>SUM(X14:Y22)</f>
        <v>36</v>
      </c>
      <c r="Y23" s="752"/>
      <c r="Z23" s="83"/>
      <c r="AA23" s="106"/>
    </row>
    <row r="24" spans="1:27" ht="12" customHeight="1">
      <c r="A24" s="85"/>
      <c r="B24" s="107"/>
      <c r="C24" s="107"/>
      <c r="D24" s="107"/>
      <c r="E24" s="107"/>
      <c r="F24" s="85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84"/>
      <c r="R24" s="84"/>
      <c r="S24" s="107"/>
      <c r="T24" s="107"/>
      <c r="U24" s="84"/>
      <c r="V24" s="107"/>
      <c r="W24" s="107"/>
      <c r="X24" s="107"/>
      <c r="Y24" s="84"/>
      <c r="Z24" s="85"/>
      <c r="AA24" s="106"/>
    </row>
    <row r="25" spans="1:27" ht="9" customHeight="1" thickBot="1">
      <c r="A25" s="85"/>
      <c r="B25" s="85"/>
      <c r="C25" s="85"/>
      <c r="D25" s="85"/>
      <c r="E25" s="85"/>
      <c r="F25" s="85"/>
      <c r="G25" s="93"/>
      <c r="H25" s="93"/>
      <c r="I25" s="93"/>
      <c r="J25" s="93"/>
      <c r="K25" s="85"/>
      <c r="L25" s="93"/>
      <c r="M25" s="93"/>
      <c r="N25" s="93"/>
      <c r="O25" s="93"/>
      <c r="P25" s="93"/>
      <c r="Q25" s="106"/>
      <c r="R25" s="106"/>
      <c r="S25" s="93"/>
      <c r="T25" s="93"/>
      <c r="U25" s="106"/>
      <c r="V25" s="93"/>
      <c r="W25" s="93"/>
      <c r="X25" s="93"/>
      <c r="Y25" s="106"/>
      <c r="Z25" s="85"/>
      <c r="AA25" s="106"/>
    </row>
    <row r="26" spans="1:27" ht="37.5" customHeight="1">
      <c r="A26" s="85"/>
      <c r="B26" s="85"/>
      <c r="C26" s="85"/>
      <c r="D26" s="85"/>
      <c r="E26" s="85"/>
      <c r="F26" s="82"/>
      <c r="G26" s="138"/>
      <c r="H26" s="714" t="s">
        <v>144</v>
      </c>
      <c r="I26" s="715"/>
      <c r="J26" s="716"/>
      <c r="K26" s="92"/>
      <c r="L26" s="723" t="s">
        <v>137</v>
      </c>
      <c r="M26" s="724"/>
      <c r="N26" s="724"/>
      <c r="O26" s="724"/>
      <c r="P26" s="724"/>
      <c r="Q26" s="724"/>
      <c r="R26" s="724"/>
      <c r="S26" s="724"/>
      <c r="T26" s="724"/>
      <c r="U26" s="724"/>
      <c r="V26" s="724"/>
      <c r="W26" s="724"/>
      <c r="X26" s="724"/>
      <c r="Y26" s="725"/>
      <c r="Z26" s="83"/>
      <c r="AA26" s="106"/>
    </row>
    <row r="27" spans="1:27" ht="32.25" customHeight="1">
      <c r="A27" s="85"/>
      <c r="B27" s="85"/>
      <c r="C27" s="85"/>
      <c r="D27" s="85"/>
      <c r="E27" s="85"/>
      <c r="F27" s="82"/>
      <c r="G27" s="139"/>
      <c r="H27" s="696">
        <f>Y38</f>
        <v>64</v>
      </c>
      <c r="I27" s="697"/>
      <c r="J27" s="698"/>
      <c r="K27" s="92"/>
      <c r="L27" s="745" t="s">
        <v>121</v>
      </c>
      <c r="M27" s="719"/>
      <c r="N27" s="719"/>
      <c r="O27" s="719" t="s">
        <v>138</v>
      </c>
      <c r="P27" s="719"/>
      <c r="Q27" s="719" t="s">
        <v>139</v>
      </c>
      <c r="R27" s="719"/>
      <c r="S27" s="719" t="s">
        <v>140</v>
      </c>
      <c r="T27" s="719" t="s">
        <v>141</v>
      </c>
      <c r="U27" s="719"/>
      <c r="V27" s="719" t="s">
        <v>142</v>
      </c>
      <c r="W27" s="719" t="s">
        <v>143</v>
      </c>
      <c r="X27" s="719"/>
      <c r="Y27" s="750" t="s">
        <v>129</v>
      </c>
      <c r="Z27" s="83"/>
      <c r="AA27" s="82"/>
    </row>
    <row r="28" spans="1:27" ht="9.75" customHeight="1">
      <c r="A28" s="85"/>
      <c r="B28" s="85"/>
      <c r="C28" s="85"/>
      <c r="D28" s="85"/>
      <c r="E28" s="85"/>
      <c r="F28" s="82"/>
      <c r="G28" s="139"/>
      <c r="H28" s="85"/>
      <c r="I28" s="85"/>
      <c r="J28" s="168"/>
      <c r="K28" s="92"/>
      <c r="L28" s="745"/>
      <c r="M28" s="719"/>
      <c r="N28" s="719"/>
      <c r="O28" s="719"/>
      <c r="P28" s="719"/>
      <c r="Q28" s="719"/>
      <c r="R28" s="719"/>
      <c r="S28" s="719"/>
      <c r="T28" s="719"/>
      <c r="U28" s="719"/>
      <c r="V28" s="719"/>
      <c r="W28" s="719"/>
      <c r="X28" s="719"/>
      <c r="Y28" s="750"/>
      <c r="Z28" s="83"/>
      <c r="AA28" s="106"/>
    </row>
    <row r="29" spans="1:27" ht="17.25" customHeight="1" thickBot="1">
      <c r="A29" s="85"/>
      <c r="B29" s="85"/>
      <c r="C29" s="85"/>
      <c r="D29" s="85"/>
      <c r="E29" s="85"/>
      <c r="F29" s="82"/>
      <c r="G29" s="140"/>
      <c r="H29" s="169"/>
      <c r="I29" s="169"/>
      <c r="J29" s="141"/>
      <c r="K29" s="92"/>
      <c r="L29" s="731" t="s">
        <v>18</v>
      </c>
      <c r="M29" s="699"/>
      <c r="N29" s="699"/>
      <c r="O29" s="699">
        <v>3</v>
      </c>
      <c r="P29" s="699"/>
      <c r="Q29" s="699">
        <v>1</v>
      </c>
      <c r="R29" s="699"/>
      <c r="S29" s="74">
        <v>0</v>
      </c>
      <c r="T29" s="699">
        <v>0</v>
      </c>
      <c r="U29" s="699"/>
      <c r="V29" s="74">
        <v>3</v>
      </c>
      <c r="W29" s="699">
        <v>0</v>
      </c>
      <c r="X29" s="700"/>
      <c r="Y29" s="198">
        <v>6</v>
      </c>
      <c r="Z29" s="83"/>
      <c r="AA29" s="106"/>
    </row>
    <row r="30" spans="1:27" ht="15.75" thickBot="1">
      <c r="A30" s="85"/>
      <c r="B30" s="85"/>
      <c r="C30" s="85"/>
      <c r="D30" s="85"/>
      <c r="E30" s="85"/>
      <c r="F30" s="85"/>
      <c r="G30" s="109"/>
      <c r="H30" s="109"/>
      <c r="I30" s="109"/>
      <c r="J30" s="109"/>
      <c r="K30" s="82"/>
      <c r="L30" s="731" t="s">
        <v>16</v>
      </c>
      <c r="M30" s="699"/>
      <c r="N30" s="699"/>
      <c r="O30" s="699">
        <v>0</v>
      </c>
      <c r="P30" s="699"/>
      <c r="Q30" s="699">
        <v>0</v>
      </c>
      <c r="R30" s="699"/>
      <c r="S30" s="74">
        <v>9</v>
      </c>
      <c r="T30" s="699">
        <v>3</v>
      </c>
      <c r="U30" s="699"/>
      <c r="V30" s="74">
        <v>2</v>
      </c>
      <c r="W30" s="699">
        <v>1</v>
      </c>
      <c r="X30" s="700"/>
      <c r="Y30" s="198">
        <v>11</v>
      </c>
      <c r="Z30" s="83"/>
      <c r="AA30" s="82"/>
    </row>
    <row r="31" spans="1:27" ht="21">
      <c r="A31" s="85"/>
      <c r="B31" s="85"/>
      <c r="C31" s="85"/>
      <c r="D31" s="85"/>
      <c r="E31" s="85"/>
      <c r="F31" s="82"/>
      <c r="G31" s="138"/>
      <c r="H31" s="720" t="s">
        <v>134</v>
      </c>
      <c r="I31" s="721"/>
      <c r="J31" s="722"/>
      <c r="K31" s="92"/>
      <c r="L31" s="731" t="s">
        <v>19</v>
      </c>
      <c r="M31" s="699"/>
      <c r="N31" s="699"/>
      <c r="O31" s="699">
        <v>1</v>
      </c>
      <c r="P31" s="699"/>
      <c r="Q31" s="699">
        <v>0</v>
      </c>
      <c r="R31" s="699"/>
      <c r="S31" s="74">
        <v>3</v>
      </c>
      <c r="T31" s="699">
        <v>4</v>
      </c>
      <c r="U31" s="699"/>
      <c r="V31" s="74">
        <v>2</v>
      </c>
      <c r="W31" s="699">
        <v>0</v>
      </c>
      <c r="X31" s="700"/>
      <c r="Y31" s="198">
        <v>6</v>
      </c>
      <c r="Z31" s="83"/>
      <c r="AA31" s="82"/>
    </row>
    <row r="32" spans="1:27" ht="17.25" customHeight="1">
      <c r="A32" s="85"/>
      <c r="B32" s="85"/>
      <c r="C32" s="85"/>
      <c r="D32" s="85"/>
      <c r="E32" s="85"/>
      <c r="F32" s="82"/>
      <c r="G32" s="139"/>
      <c r="H32" s="85"/>
      <c r="I32" s="85"/>
      <c r="J32" s="168"/>
      <c r="K32" s="92"/>
      <c r="L32" s="731" t="s">
        <v>17</v>
      </c>
      <c r="M32" s="699"/>
      <c r="N32" s="699"/>
      <c r="O32" s="699">
        <v>2</v>
      </c>
      <c r="P32" s="699"/>
      <c r="Q32" s="699">
        <v>0</v>
      </c>
      <c r="R32" s="699"/>
      <c r="S32" s="74">
        <v>4</v>
      </c>
      <c r="T32" s="699">
        <v>2</v>
      </c>
      <c r="U32" s="699"/>
      <c r="V32" s="74">
        <v>9</v>
      </c>
      <c r="W32" s="699">
        <v>2</v>
      </c>
      <c r="X32" s="700"/>
      <c r="Y32" s="198">
        <v>15</v>
      </c>
      <c r="Z32" s="83"/>
      <c r="AA32" s="82"/>
    </row>
    <row r="33" spans="1:27" ht="31.5" customHeight="1">
      <c r="A33" s="85"/>
      <c r="B33" s="85"/>
      <c r="C33" s="85"/>
      <c r="D33" s="85"/>
      <c r="E33" s="85"/>
      <c r="F33" s="82"/>
      <c r="G33" s="139"/>
      <c r="H33" s="696">
        <f>O38</f>
        <v>13</v>
      </c>
      <c r="I33" s="697"/>
      <c r="J33" s="698"/>
      <c r="K33" s="92"/>
      <c r="L33" s="731" t="s">
        <v>314</v>
      </c>
      <c r="M33" s="699"/>
      <c r="N33" s="699"/>
      <c r="O33" s="699">
        <v>2</v>
      </c>
      <c r="P33" s="699"/>
      <c r="Q33" s="699">
        <v>2</v>
      </c>
      <c r="R33" s="699"/>
      <c r="S33" s="74">
        <v>0</v>
      </c>
      <c r="T33" s="699">
        <v>0</v>
      </c>
      <c r="U33" s="699"/>
      <c r="V33" s="74">
        <v>1</v>
      </c>
      <c r="W33" s="699">
        <v>1</v>
      </c>
      <c r="X33" s="700"/>
      <c r="Y33" s="198">
        <v>3</v>
      </c>
      <c r="Z33" s="83"/>
      <c r="AA33" s="196"/>
    </row>
    <row r="34" spans="1:27" ht="18" customHeight="1">
      <c r="A34" s="85"/>
      <c r="B34" s="85"/>
      <c r="C34" s="85"/>
      <c r="D34" s="85"/>
      <c r="E34" s="85"/>
      <c r="F34" s="82"/>
      <c r="G34" s="139"/>
      <c r="H34" s="85"/>
      <c r="I34" s="85"/>
      <c r="J34" s="168"/>
      <c r="K34" s="92"/>
      <c r="L34" s="731" t="s">
        <v>315</v>
      </c>
      <c r="M34" s="699"/>
      <c r="N34" s="699"/>
      <c r="O34" s="699">
        <v>1</v>
      </c>
      <c r="P34" s="699"/>
      <c r="Q34" s="699">
        <v>0</v>
      </c>
      <c r="R34" s="699"/>
      <c r="S34" s="74">
        <v>0</v>
      </c>
      <c r="T34" s="699">
        <v>0</v>
      </c>
      <c r="U34" s="699"/>
      <c r="V34" s="74">
        <v>4</v>
      </c>
      <c r="W34" s="699">
        <v>0</v>
      </c>
      <c r="X34" s="700"/>
      <c r="Y34" s="198">
        <v>5</v>
      </c>
      <c r="Z34" s="83"/>
      <c r="AA34" s="82"/>
    </row>
    <row r="35" spans="1:27" ht="15.75" customHeight="1" thickBot="1">
      <c r="A35" s="85"/>
      <c r="B35" s="85"/>
      <c r="C35" s="85"/>
      <c r="D35" s="85"/>
      <c r="E35" s="85"/>
      <c r="F35" s="82"/>
      <c r="G35" s="140"/>
      <c r="H35" s="169"/>
      <c r="I35" s="169"/>
      <c r="J35" s="141"/>
      <c r="K35" s="92"/>
      <c r="L35" s="731" t="s">
        <v>22</v>
      </c>
      <c r="M35" s="699"/>
      <c r="N35" s="699"/>
      <c r="O35" s="726">
        <v>0</v>
      </c>
      <c r="P35" s="726"/>
      <c r="Q35" s="726">
        <v>0</v>
      </c>
      <c r="R35" s="726"/>
      <c r="S35" s="165">
        <v>0</v>
      </c>
      <c r="T35" s="726">
        <v>0</v>
      </c>
      <c r="U35" s="726"/>
      <c r="V35" s="165">
        <v>5</v>
      </c>
      <c r="W35" s="726">
        <v>0</v>
      </c>
      <c r="X35" s="746"/>
      <c r="Y35" s="198">
        <v>5</v>
      </c>
      <c r="Z35" s="83"/>
      <c r="AA35" s="106"/>
    </row>
    <row r="36" spans="1:27" ht="21" customHeight="1" thickBot="1">
      <c r="A36" s="85"/>
      <c r="B36" s="85"/>
      <c r="C36" s="85"/>
      <c r="D36" s="85"/>
      <c r="E36" s="85"/>
      <c r="F36" s="85"/>
      <c r="G36" s="109"/>
      <c r="H36" s="109"/>
      <c r="I36" s="109"/>
      <c r="J36" s="109"/>
      <c r="K36" s="82"/>
      <c r="L36" s="731" t="s">
        <v>20</v>
      </c>
      <c r="M36" s="699"/>
      <c r="N36" s="700"/>
      <c r="O36" s="703">
        <v>4</v>
      </c>
      <c r="P36" s="703"/>
      <c r="Q36" s="703">
        <v>1</v>
      </c>
      <c r="R36" s="703"/>
      <c r="S36" s="166">
        <v>0</v>
      </c>
      <c r="T36" s="703">
        <v>0</v>
      </c>
      <c r="U36" s="703"/>
      <c r="V36" s="166">
        <v>6</v>
      </c>
      <c r="W36" s="703">
        <v>1</v>
      </c>
      <c r="X36" s="727"/>
      <c r="Y36" s="198">
        <v>10</v>
      </c>
      <c r="Z36" s="83"/>
      <c r="AA36" s="82"/>
    </row>
    <row r="37" spans="1:27" ht="19.5" customHeight="1">
      <c r="A37" s="85"/>
      <c r="B37" s="85"/>
      <c r="C37" s="85"/>
      <c r="D37" s="85"/>
      <c r="E37" s="85"/>
      <c r="F37" s="82"/>
      <c r="G37" s="138"/>
      <c r="H37" s="720" t="s">
        <v>133</v>
      </c>
      <c r="I37" s="721"/>
      <c r="J37" s="722"/>
      <c r="K37" s="92"/>
      <c r="L37" s="731" t="s">
        <v>316</v>
      </c>
      <c r="M37" s="699"/>
      <c r="N37" s="700"/>
      <c r="O37" s="703">
        <v>0</v>
      </c>
      <c r="P37" s="703"/>
      <c r="Q37" s="703">
        <v>0</v>
      </c>
      <c r="R37" s="703"/>
      <c r="S37" s="166">
        <v>0</v>
      </c>
      <c r="T37" s="703">
        <v>0</v>
      </c>
      <c r="U37" s="703"/>
      <c r="V37" s="166">
        <v>3</v>
      </c>
      <c r="W37" s="703">
        <v>3</v>
      </c>
      <c r="X37" s="727"/>
      <c r="Y37" s="198">
        <v>3</v>
      </c>
      <c r="Z37" s="83"/>
    </row>
    <row r="38" spans="1:27" ht="14.25" customHeight="1" thickBot="1">
      <c r="A38" s="85"/>
      <c r="B38" s="85"/>
      <c r="C38" s="85"/>
      <c r="D38" s="85"/>
      <c r="E38" s="85"/>
      <c r="F38" s="82"/>
      <c r="G38" s="139"/>
      <c r="H38" s="85"/>
      <c r="I38" s="85"/>
      <c r="J38" s="168"/>
      <c r="K38" s="92"/>
      <c r="L38" s="739" t="s">
        <v>129</v>
      </c>
      <c r="M38" s="740"/>
      <c r="N38" s="741"/>
      <c r="O38" s="704">
        <f>SUM(O29:P37)</f>
        <v>13</v>
      </c>
      <c r="P38" s="704"/>
      <c r="Q38" s="704">
        <f>SUM(Q29:R37)</f>
        <v>4</v>
      </c>
      <c r="R38" s="704"/>
      <c r="S38" s="199">
        <f>SUM(S29:S37)</f>
        <v>16</v>
      </c>
      <c r="T38" s="704">
        <f>SUM(T29:U37)</f>
        <v>9</v>
      </c>
      <c r="U38" s="704"/>
      <c r="V38" s="199">
        <f>SUM(V29:V37)</f>
        <v>35</v>
      </c>
      <c r="W38" s="704">
        <f>SUM(W29:X37)</f>
        <v>8</v>
      </c>
      <c r="X38" s="704"/>
      <c r="Y38" s="200">
        <f>SUM(Y29:Y37)</f>
        <v>64</v>
      </c>
      <c r="Z38" s="83"/>
      <c r="AA38" s="106"/>
    </row>
    <row r="39" spans="1:27" ht="25.5" customHeight="1">
      <c r="A39" s="85"/>
      <c r="B39" s="85"/>
      <c r="C39" s="85"/>
      <c r="D39" s="85"/>
      <c r="E39" s="85"/>
      <c r="F39" s="82"/>
      <c r="G39" s="139"/>
      <c r="H39" s="696">
        <f>S38</f>
        <v>16</v>
      </c>
      <c r="I39" s="697"/>
      <c r="J39" s="698"/>
      <c r="K39" s="92"/>
      <c r="L39" s="734"/>
      <c r="M39" s="742"/>
      <c r="N39" s="743"/>
      <c r="O39" s="734"/>
      <c r="P39" s="735"/>
      <c r="Q39" s="717"/>
      <c r="R39" s="718"/>
      <c r="S39" s="107"/>
      <c r="T39" s="705"/>
      <c r="U39" s="705"/>
      <c r="V39" s="107"/>
      <c r="W39" s="705"/>
      <c r="X39" s="705"/>
      <c r="Y39" s="135"/>
      <c r="Z39" s="85"/>
      <c r="AA39" s="82"/>
    </row>
    <row r="40" spans="1:27" ht="12" customHeight="1">
      <c r="A40" s="85"/>
      <c r="B40" s="85"/>
      <c r="C40" s="85"/>
      <c r="D40" s="85"/>
      <c r="E40" s="85"/>
      <c r="F40" s="82"/>
      <c r="G40" s="139"/>
      <c r="H40" s="85"/>
      <c r="I40" s="85"/>
      <c r="J40" s="168"/>
      <c r="K40" s="92"/>
      <c r="L40" s="707"/>
      <c r="M40" s="744"/>
      <c r="N40" s="708"/>
      <c r="O40" s="736"/>
      <c r="P40" s="733"/>
      <c r="Q40" s="732"/>
      <c r="R40" s="733"/>
      <c r="S40" s="85"/>
      <c r="T40" s="706"/>
      <c r="U40" s="706"/>
      <c r="V40" s="85"/>
      <c r="W40" s="706"/>
      <c r="X40" s="706"/>
      <c r="Y40" s="143"/>
      <c r="Z40" s="85"/>
    </row>
    <row r="41" spans="1:27" ht="9" customHeight="1" thickBot="1">
      <c r="A41" s="85"/>
      <c r="B41" s="85"/>
      <c r="C41" s="85"/>
      <c r="D41" s="85"/>
      <c r="E41" s="85"/>
      <c r="F41" s="82"/>
      <c r="G41" s="140"/>
      <c r="H41" s="169"/>
      <c r="I41" s="169"/>
      <c r="J41" s="141"/>
      <c r="K41" s="92"/>
      <c r="L41" s="707"/>
      <c r="M41" s="744"/>
      <c r="N41" s="708"/>
      <c r="O41" s="737"/>
      <c r="P41" s="738"/>
      <c r="Q41" s="707"/>
      <c r="R41" s="708"/>
      <c r="S41" s="85"/>
      <c r="T41" s="707"/>
      <c r="U41" s="708"/>
      <c r="V41" s="85"/>
      <c r="W41" s="707"/>
      <c r="X41" s="708"/>
      <c r="Y41" s="143"/>
      <c r="Z41" s="85"/>
      <c r="AA41" s="106"/>
    </row>
    <row r="42" spans="1:27" ht="24" thickBot="1">
      <c r="A42" s="85"/>
      <c r="B42" s="85"/>
      <c r="C42" s="85"/>
      <c r="D42" s="85"/>
      <c r="E42" s="85"/>
      <c r="F42" s="85"/>
      <c r="G42" s="109"/>
      <c r="H42" s="109"/>
      <c r="I42" s="109"/>
      <c r="J42" s="109"/>
      <c r="K42" s="82"/>
      <c r="L42" s="728"/>
      <c r="M42" s="729"/>
      <c r="N42" s="730"/>
      <c r="O42" s="717"/>
      <c r="P42" s="718"/>
      <c r="Q42" s="85"/>
      <c r="R42" s="701" t="s">
        <v>178</v>
      </c>
      <c r="S42" s="702"/>
      <c r="T42" s="108"/>
      <c r="U42" s="709"/>
      <c r="V42" s="710"/>
      <c r="W42" s="709"/>
      <c r="X42" s="710"/>
      <c r="Y42" s="143"/>
      <c r="Z42" s="85"/>
      <c r="AA42" s="82"/>
    </row>
    <row r="43" spans="1:27" ht="26.25" customHeight="1">
      <c r="A43" s="85"/>
      <c r="B43" s="85"/>
      <c r="C43" s="85"/>
      <c r="D43" s="85"/>
      <c r="E43" s="85"/>
      <c r="F43" s="82"/>
      <c r="G43" s="138"/>
      <c r="H43" s="712" t="s">
        <v>145</v>
      </c>
      <c r="I43" s="712"/>
      <c r="J43" s="713"/>
      <c r="K43" s="92"/>
      <c r="L43" s="138"/>
      <c r="M43" s="167"/>
      <c r="N43" s="687" t="s">
        <v>135</v>
      </c>
      <c r="O43" s="688"/>
      <c r="P43" s="689"/>
      <c r="Q43" s="139"/>
      <c r="R43" s="267" t="s">
        <v>179</v>
      </c>
      <c r="S43" s="280"/>
      <c r="T43" s="277" t="s">
        <v>182</v>
      </c>
      <c r="U43" s="268"/>
      <c r="V43" s="268"/>
      <c r="W43" s="268"/>
      <c r="X43" s="281"/>
      <c r="Y43" s="274"/>
      <c r="Z43" s="270"/>
      <c r="AA43" s="275"/>
    </row>
    <row r="44" spans="1:27" ht="12" customHeight="1">
      <c r="A44" s="85"/>
      <c r="B44" s="85"/>
      <c r="C44" s="85"/>
      <c r="D44" s="85"/>
      <c r="E44" s="85"/>
      <c r="F44" s="82"/>
      <c r="G44" s="139"/>
      <c r="H44" s="85"/>
      <c r="I44" s="85"/>
      <c r="J44" s="168"/>
      <c r="K44" s="92"/>
      <c r="L44" s="139"/>
      <c r="M44" s="85"/>
      <c r="N44" s="85"/>
      <c r="O44" s="85"/>
      <c r="P44" s="168"/>
      <c r="Q44" s="287"/>
      <c r="R44" s="269"/>
      <c r="S44" s="284"/>
      <c r="T44" s="285"/>
      <c r="U44" s="282"/>
      <c r="V44" s="283"/>
      <c r="W44" s="283"/>
      <c r="X44" s="283"/>
      <c r="Y44" s="289"/>
      <c r="Z44" s="283"/>
      <c r="AA44" s="284"/>
    </row>
    <row r="45" spans="1:27" ht="27" customHeight="1">
      <c r="A45" s="85"/>
      <c r="B45" s="85"/>
      <c r="C45" s="85"/>
      <c r="D45" s="85"/>
      <c r="E45" s="85"/>
      <c r="F45" s="82"/>
      <c r="G45" s="139"/>
      <c r="H45" s="696">
        <f>SUM(V38)</f>
        <v>35</v>
      </c>
      <c r="I45" s="697"/>
      <c r="J45" s="698"/>
      <c r="K45" s="92"/>
      <c r="L45" s="139"/>
      <c r="M45" s="85"/>
      <c r="N45" s="85"/>
      <c r="O45" s="690">
        <f>SUM(Q38,T38,W38)</f>
        <v>21</v>
      </c>
      <c r="P45" s="691"/>
      <c r="Q45" s="139"/>
      <c r="R45" s="268" t="s">
        <v>180</v>
      </c>
      <c r="S45" s="278"/>
      <c r="T45" s="276" t="s">
        <v>183</v>
      </c>
      <c r="U45" s="277"/>
      <c r="V45" s="270"/>
      <c r="W45" s="270"/>
      <c r="X45" s="275"/>
      <c r="Y45" s="288"/>
      <c r="Z45" s="270"/>
      <c r="AA45" s="275"/>
    </row>
    <row r="46" spans="1:27" ht="17.25" customHeight="1">
      <c r="A46" s="85"/>
      <c r="B46" s="85"/>
      <c r="C46" s="85"/>
      <c r="D46" s="85"/>
      <c r="E46" s="85"/>
      <c r="F46" s="82"/>
      <c r="G46" s="139"/>
      <c r="H46" s="85"/>
      <c r="I46" s="85"/>
      <c r="J46" s="168"/>
      <c r="K46" s="92"/>
      <c r="L46" s="139"/>
      <c r="M46" s="85"/>
      <c r="N46" s="85"/>
      <c r="O46" s="692"/>
      <c r="P46" s="693"/>
      <c r="Q46" s="139"/>
      <c r="R46" s="269"/>
      <c r="S46" s="284"/>
      <c r="T46" s="285"/>
      <c r="U46" s="282"/>
      <c r="V46" s="283"/>
      <c r="W46" s="283"/>
      <c r="X46" s="283"/>
      <c r="Y46" s="290"/>
      <c r="Z46" s="283"/>
      <c r="AA46" s="286"/>
    </row>
    <row r="47" spans="1:27" ht="19.5" customHeight="1" thickBot="1">
      <c r="A47" s="85"/>
      <c r="B47" s="85"/>
      <c r="C47" s="85"/>
      <c r="D47" s="85"/>
      <c r="E47" s="85"/>
      <c r="F47" s="82"/>
      <c r="G47" s="140"/>
      <c r="H47" s="169"/>
      <c r="I47" s="169"/>
      <c r="J47" s="141"/>
      <c r="K47" s="92"/>
      <c r="L47" s="140"/>
      <c r="M47" s="169"/>
      <c r="N47" s="169"/>
      <c r="O47" s="169"/>
      <c r="P47" s="141"/>
      <c r="R47" s="276" t="s">
        <v>181</v>
      </c>
      <c r="S47" s="275"/>
      <c r="T47" s="276" t="s">
        <v>184</v>
      </c>
      <c r="U47" s="277"/>
      <c r="V47" s="270"/>
      <c r="W47" s="270"/>
      <c r="X47" s="275"/>
      <c r="Y47" s="291"/>
      <c r="Z47" s="270"/>
      <c r="AA47" s="279"/>
    </row>
    <row r="48" spans="1:27" ht="18.75" customHeight="1">
      <c r="A48" s="85"/>
      <c r="B48" s="85"/>
      <c r="C48" s="85"/>
      <c r="D48" s="85"/>
      <c r="E48" s="93"/>
      <c r="F48" s="106"/>
      <c r="G48" s="107"/>
      <c r="H48" s="109"/>
      <c r="I48" s="109"/>
      <c r="J48" s="107"/>
      <c r="K48" s="81"/>
      <c r="L48" s="167"/>
      <c r="M48" s="167"/>
      <c r="N48" s="167"/>
      <c r="O48" s="167"/>
      <c r="P48" s="90"/>
      <c r="Q48" s="85"/>
      <c r="R48" s="82"/>
      <c r="S48" s="85"/>
      <c r="T48" s="85"/>
      <c r="U48" s="82"/>
      <c r="V48" s="85"/>
      <c r="W48" s="85"/>
      <c r="X48" s="85"/>
      <c r="Y48" s="82"/>
      <c r="Z48" s="85"/>
      <c r="AA48" s="106"/>
    </row>
    <row r="49" spans="1:28" ht="28.5" customHeight="1">
      <c r="A49" s="85"/>
      <c r="B49" s="85"/>
      <c r="C49" s="85"/>
      <c r="D49" s="85"/>
      <c r="E49" s="85"/>
      <c r="F49" s="82"/>
      <c r="G49" s="85"/>
      <c r="H49" s="93"/>
      <c r="I49" s="93"/>
      <c r="J49" s="85"/>
      <c r="K49" s="85"/>
      <c r="L49" s="107"/>
      <c r="M49" s="107"/>
      <c r="N49" s="107"/>
      <c r="O49" s="107"/>
      <c r="P49" s="85"/>
      <c r="Q49" s="85"/>
      <c r="R49" s="82"/>
      <c r="S49" s="85"/>
      <c r="T49" s="85"/>
      <c r="U49" s="82"/>
      <c r="V49" s="85"/>
      <c r="W49" s="85"/>
      <c r="X49" s="85"/>
      <c r="Y49" s="82"/>
      <c r="Z49" s="85"/>
      <c r="AA49" s="106"/>
    </row>
    <row r="50" spans="1:28" ht="16.5" thickBot="1">
      <c r="A50" s="85"/>
      <c r="B50" s="85"/>
      <c r="C50" s="85"/>
      <c r="D50" s="85"/>
      <c r="E50" s="85"/>
      <c r="F50" s="82"/>
      <c r="G50" s="170"/>
      <c r="H50" s="694"/>
      <c r="I50" s="694"/>
      <c r="J50" s="695"/>
      <c r="K50" s="83"/>
      <c r="L50" s="107"/>
      <c r="M50" s="107"/>
      <c r="N50" s="107"/>
      <c r="O50" s="107"/>
      <c r="P50" s="85"/>
      <c r="Q50" s="82"/>
      <c r="R50" s="82"/>
      <c r="S50" s="85"/>
      <c r="T50" s="85"/>
      <c r="U50" s="82"/>
      <c r="V50" s="85"/>
      <c r="W50" s="85"/>
      <c r="X50" s="85"/>
      <c r="Y50" s="82"/>
      <c r="Z50" s="85"/>
      <c r="AA50" s="106"/>
    </row>
    <row r="51" spans="1:28">
      <c r="A51" s="85"/>
      <c r="B51" s="85"/>
      <c r="C51" s="85"/>
      <c r="D51" s="85"/>
      <c r="E51" s="85"/>
      <c r="F51" s="85"/>
      <c r="G51" s="107"/>
      <c r="H51" s="107"/>
      <c r="I51" s="107"/>
      <c r="J51" s="107"/>
      <c r="K51" s="85"/>
      <c r="L51" s="85"/>
      <c r="M51" s="85"/>
      <c r="N51" s="85"/>
      <c r="O51" s="85"/>
      <c r="P51" s="85"/>
      <c r="Q51" s="82"/>
      <c r="R51" s="82"/>
      <c r="S51" s="85"/>
      <c r="T51" s="85"/>
      <c r="U51" s="82"/>
      <c r="V51" s="85"/>
      <c r="W51" s="85"/>
      <c r="X51" s="85"/>
      <c r="Y51" s="82"/>
      <c r="Z51" s="85"/>
    </row>
    <row r="52" spans="1:28" ht="36">
      <c r="A52" s="85"/>
      <c r="B52" s="85"/>
      <c r="C52" s="85"/>
      <c r="D52" s="85"/>
      <c r="E52" s="85"/>
      <c r="F52" s="85"/>
      <c r="G52" s="85"/>
      <c r="H52" s="711"/>
      <c r="I52" s="711"/>
      <c r="J52" s="711"/>
      <c r="K52" s="85"/>
      <c r="L52" s="85"/>
      <c r="M52" s="85"/>
      <c r="N52" s="85"/>
      <c r="O52" s="85"/>
      <c r="P52" s="85"/>
      <c r="Q52" s="82"/>
      <c r="R52" s="82"/>
      <c r="S52" s="85"/>
      <c r="T52" s="85"/>
      <c r="U52" s="82"/>
      <c r="V52" s="85"/>
      <c r="W52" s="85"/>
      <c r="X52" s="85"/>
      <c r="Y52" s="82"/>
      <c r="Z52" s="85"/>
      <c r="AA52" s="106"/>
    </row>
    <row r="53" spans="1:28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2"/>
      <c r="R53" s="82"/>
      <c r="S53" s="85"/>
      <c r="T53" s="85"/>
      <c r="U53" s="82"/>
      <c r="V53" s="85"/>
      <c r="W53" s="85"/>
      <c r="X53" s="85"/>
      <c r="Y53" s="82"/>
      <c r="Z53" s="85"/>
      <c r="AA53" s="106"/>
    </row>
    <row r="54" spans="1:28" ht="3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2"/>
      <c r="R54" s="82"/>
      <c r="S54" s="85"/>
      <c r="T54" s="85"/>
      <c r="U54" s="82"/>
      <c r="V54" s="85"/>
      <c r="W54" s="85"/>
      <c r="X54" s="85"/>
      <c r="Y54" s="82"/>
      <c r="Z54" s="85"/>
      <c r="AA54" s="106"/>
    </row>
    <row r="55" spans="1:28" ht="5.2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2"/>
      <c r="R55" s="82"/>
      <c r="S55" s="85"/>
      <c r="T55" s="85"/>
      <c r="U55" s="82"/>
      <c r="V55" s="85"/>
      <c r="W55" s="85"/>
      <c r="X55" s="684"/>
      <c r="Y55" s="685"/>
      <c r="Z55" s="685"/>
      <c r="AA55" s="685"/>
      <c r="AB55" s="686"/>
    </row>
    <row r="56" spans="1:28" ht="23.25" hidden="1">
      <c r="A56" s="85"/>
      <c r="B56" s="85"/>
      <c r="C56" s="85"/>
      <c r="D56" s="85"/>
      <c r="E56" s="107"/>
      <c r="F56" s="107"/>
      <c r="G56" s="107"/>
      <c r="H56" s="107"/>
      <c r="I56" s="107"/>
      <c r="J56" s="107"/>
      <c r="K56" s="107"/>
      <c r="L56" s="85"/>
      <c r="M56" s="85"/>
      <c r="N56" s="85"/>
      <c r="O56" s="85"/>
      <c r="P56" s="85"/>
      <c r="Q56" s="82"/>
      <c r="R56" s="82"/>
      <c r="S56" s="85"/>
      <c r="T56" s="85"/>
      <c r="U56" s="82"/>
      <c r="V56" s="85"/>
      <c r="W56" s="85"/>
      <c r="X56" s="271"/>
      <c r="Y56" s="272"/>
      <c r="Z56" s="85"/>
      <c r="AA56" s="85"/>
      <c r="AB56" s="82"/>
    </row>
    <row r="57" spans="1:28" ht="23.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2"/>
      <c r="R57" s="82"/>
      <c r="S57" s="85"/>
      <c r="T57" s="85"/>
      <c r="U57" s="82"/>
      <c r="V57" s="85"/>
      <c r="W57" s="85"/>
      <c r="X57" s="273"/>
      <c r="Y57" s="272"/>
      <c r="Z57" s="85"/>
      <c r="AA57" s="85"/>
      <c r="AB57" s="82"/>
    </row>
    <row r="58" spans="1:28" ht="23.25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2"/>
      <c r="R58" s="82"/>
      <c r="S58" s="85"/>
      <c r="T58" s="85"/>
      <c r="U58" s="82"/>
      <c r="V58" s="85"/>
      <c r="W58" s="85"/>
      <c r="X58" s="271"/>
      <c r="Y58" s="272"/>
      <c r="Z58" s="85"/>
      <c r="AA58" s="85"/>
      <c r="AB58" s="82"/>
    </row>
    <row r="59" spans="1:28" ht="23.25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2"/>
      <c r="R59" s="82"/>
      <c r="S59" s="85"/>
      <c r="T59" s="85"/>
      <c r="U59" s="82"/>
      <c r="V59" s="85"/>
      <c r="W59" s="85"/>
      <c r="X59" s="273"/>
      <c r="Y59" s="272"/>
      <c r="Z59" s="85"/>
      <c r="AA59" s="85"/>
      <c r="AB59" s="82"/>
    </row>
    <row r="60" spans="1:28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2"/>
      <c r="R60" s="82"/>
      <c r="S60" s="85"/>
      <c r="T60" s="85"/>
      <c r="U60" s="82"/>
      <c r="V60" s="85"/>
      <c r="W60" s="85"/>
      <c r="X60" s="85"/>
      <c r="Y60" s="82"/>
      <c r="Z60" s="85"/>
      <c r="AA60" s="106"/>
    </row>
    <row r="61" spans="1:28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2"/>
      <c r="R61" s="82"/>
      <c r="X61" s="85"/>
      <c r="Y61" s="82"/>
      <c r="Z61" s="85"/>
    </row>
    <row r="62" spans="1:28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2"/>
      <c r="R62" s="82"/>
      <c r="X62" s="85"/>
      <c r="Y62" s="82"/>
      <c r="Z62" s="85"/>
    </row>
    <row r="63" spans="1:28" ht="23.25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2"/>
      <c r="R63" s="82"/>
      <c r="U63" s="684"/>
      <c r="V63" s="685"/>
      <c r="W63" s="685"/>
      <c r="X63" s="685"/>
      <c r="Y63" s="686"/>
      <c r="Z63" s="85"/>
    </row>
    <row r="64" spans="1:28" ht="23.25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2"/>
      <c r="R64" s="82"/>
      <c r="U64" s="271"/>
      <c r="V64" s="272"/>
      <c r="W64" s="85"/>
      <c r="X64" s="85"/>
      <c r="Y64" s="82"/>
      <c r="Z64" s="85"/>
    </row>
    <row r="65" spans="1:26" ht="23.2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2"/>
      <c r="R65" s="82"/>
      <c r="U65" s="273"/>
      <c r="V65" s="272"/>
      <c r="W65" s="85"/>
      <c r="X65" s="85"/>
      <c r="Y65" s="82"/>
      <c r="Z65" s="85"/>
    </row>
    <row r="66" spans="1:26" ht="23.25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2"/>
      <c r="R66" s="82"/>
      <c r="U66" s="271"/>
      <c r="V66" s="272"/>
      <c r="W66" s="85"/>
      <c r="X66" s="85"/>
      <c r="Y66" s="82"/>
      <c r="Z66" s="85"/>
    </row>
    <row r="67" spans="1:26" ht="23.25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2"/>
      <c r="R67" s="82"/>
      <c r="S67" s="85"/>
      <c r="T67" s="85"/>
      <c r="U67" s="273"/>
      <c r="V67" s="272"/>
      <c r="W67" s="85"/>
      <c r="X67" s="85"/>
      <c r="Y67" s="82"/>
      <c r="Z67" s="85"/>
    </row>
    <row r="68" spans="1:26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2"/>
      <c r="R68" s="82"/>
      <c r="S68" s="85"/>
      <c r="T68" s="85"/>
      <c r="U68" s="82"/>
      <c r="V68" s="85"/>
      <c r="W68" s="85"/>
      <c r="X68" s="85"/>
      <c r="Y68" s="82"/>
      <c r="Z68" s="85"/>
    </row>
    <row r="69" spans="1:26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2"/>
      <c r="R69" s="82"/>
      <c r="S69" s="85"/>
      <c r="T69" s="85"/>
      <c r="U69" s="82"/>
      <c r="V69" s="85"/>
      <c r="W69" s="85"/>
      <c r="X69" s="85"/>
      <c r="Y69" s="82"/>
      <c r="Z69" s="85"/>
    </row>
    <row r="70" spans="1:26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2"/>
      <c r="R70" s="82"/>
      <c r="S70" s="85"/>
      <c r="T70" s="85"/>
      <c r="U70" s="82"/>
      <c r="V70" s="85"/>
      <c r="W70" s="85"/>
      <c r="X70" s="85"/>
      <c r="Y70" s="82"/>
      <c r="Z70" s="85"/>
    </row>
    <row r="71" spans="1:26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2"/>
      <c r="R71" s="82"/>
      <c r="S71" s="85"/>
      <c r="T71" s="85"/>
      <c r="U71" s="82"/>
      <c r="V71" s="85"/>
      <c r="W71" s="85"/>
      <c r="X71" s="85"/>
      <c r="Y71" s="82"/>
      <c r="Z71" s="85"/>
    </row>
    <row r="72" spans="1:26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2"/>
      <c r="R72" s="82"/>
      <c r="S72" s="85"/>
      <c r="T72" s="85"/>
      <c r="U72" s="82"/>
      <c r="V72" s="85"/>
      <c r="W72" s="85"/>
      <c r="X72" s="85"/>
      <c r="Y72" s="82"/>
      <c r="Z72" s="85"/>
    </row>
    <row r="73" spans="1:26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2"/>
      <c r="R73" s="82"/>
      <c r="S73" s="85"/>
      <c r="T73" s="85"/>
      <c r="U73" s="82"/>
      <c r="V73" s="85"/>
      <c r="W73" s="85"/>
      <c r="X73" s="85"/>
      <c r="Y73" s="82"/>
      <c r="Z73" s="85"/>
    </row>
    <row r="74" spans="1:26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2"/>
      <c r="R74" s="82"/>
      <c r="S74" s="85"/>
      <c r="T74" s="85"/>
      <c r="U74" s="82"/>
      <c r="V74" s="85"/>
      <c r="W74" s="85"/>
      <c r="X74" s="85"/>
      <c r="Y74" s="82"/>
      <c r="Z74" s="85"/>
    </row>
    <row r="75" spans="1:26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R75" s="82"/>
      <c r="S75" s="85"/>
      <c r="T75" s="85"/>
      <c r="U75" s="82"/>
      <c r="V75" s="85"/>
      <c r="W75" s="85"/>
      <c r="X75" s="85"/>
      <c r="Y75" s="82"/>
      <c r="Z75" s="85"/>
    </row>
    <row r="76" spans="1:2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2"/>
      <c r="R76" s="82"/>
      <c r="S76" s="85"/>
      <c r="T76" s="85"/>
      <c r="U76" s="82"/>
      <c r="V76" s="85"/>
      <c r="W76" s="85"/>
      <c r="X76" s="85"/>
      <c r="Y76" s="82"/>
      <c r="Z76" s="85"/>
    </row>
    <row r="77" spans="1:26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2"/>
      <c r="R77" s="82"/>
      <c r="S77" s="85"/>
      <c r="T77" s="85"/>
      <c r="U77" s="82"/>
      <c r="V77" s="85"/>
      <c r="W77" s="85"/>
      <c r="X77" s="85"/>
      <c r="Y77" s="82"/>
      <c r="Z77" s="85"/>
    </row>
    <row r="78" spans="1:26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2"/>
      <c r="R78" s="82"/>
      <c r="S78" s="85"/>
      <c r="T78" s="85"/>
      <c r="U78" s="82"/>
      <c r="V78" s="85"/>
      <c r="W78" s="85"/>
      <c r="X78" s="85"/>
      <c r="Y78" s="82"/>
      <c r="Z78" s="85"/>
    </row>
    <row r="79" spans="1:26">
      <c r="R79" s="82"/>
      <c r="S79" s="85"/>
      <c r="T79" s="85"/>
      <c r="U79" s="82"/>
      <c r="V79" s="85"/>
      <c r="W79" s="85"/>
      <c r="X79" s="85"/>
      <c r="Y79" s="82"/>
      <c r="Z79" s="85"/>
    </row>
    <row r="80" spans="1:26">
      <c r="V80" s="85"/>
      <c r="W80" s="85"/>
      <c r="X80" s="85"/>
      <c r="Y80" s="82"/>
      <c r="Z80" s="85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2" priority="10">
      <formula>SEARCH("No actualizado",$C8)&gt;0</formula>
    </cfRule>
    <cfRule type="expression" dxfId="31" priority="11">
      <formula>SEARCH("Actualizado",$C8)&gt;0</formula>
    </cfRule>
    <cfRule type="expression" dxfId="30" priority="12">
      <formula>SEARCH("Pendiente Actualizar",$C8)&gt;0</formula>
    </cfRule>
  </conditionalFormatting>
  <conditionalFormatting sqref="E19:E23">
    <cfRule type="expression" dxfId="29" priority="1">
      <formula>SEARCH("No monitoreado",$D19)&gt;0</formula>
    </cfRule>
    <cfRule type="expression" dxfId="28" priority="2">
      <formula>SEARCH("Monitoreo pendiente",$D19)&gt;0</formula>
    </cfRule>
    <cfRule type="expression" dxfId="27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800" t="s">
        <v>146</v>
      </c>
      <c r="C2" s="800"/>
      <c r="D2" s="800"/>
      <c r="E2" s="800"/>
      <c r="F2" s="800"/>
    </row>
    <row r="3" spans="1:6">
      <c r="B3" s="801" t="s">
        <v>147</v>
      </c>
      <c r="C3" s="801"/>
      <c r="D3" s="801"/>
      <c r="E3" s="801"/>
      <c r="F3" s="801"/>
    </row>
    <row r="4" spans="1:6">
      <c r="B4" s="76" t="s">
        <v>148</v>
      </c>
      <c r="C4" s="76" t="s">
        <v>149</v>
      </c>
      <c r="D4" s="76" t="s">
        <v>150</v>
      </c>
      <c r="E4" s="76" t="s">
        <v>151</v>
      </c>
      <c r="F4" s="76" t="s">
        <v>152</v>
      </c>
    </row>
    <row r="5" spans="1:6">
      <c r="A5" s="164"/>
      <c r="B5" s="76">
        <v>1</v>
      </c>
      <c r="C5" s="76">
        <v>2</v>
      </c>
      <c r="D5" s="76">
        <v>3</v>
      </c>
      <c r="E5" s="76">
        <v>4</v>
      </c>
      <c r="F5" s="76">
        <v>5</v>
      </c>
    </row>
    <row r="6" spans="1:6">
      <c r="A6" s="76">
        <v>5</v>
      </c>
      <c r="B6" s="171">
        <v>0</v>
      </c>
      <c r="C6" s="171">
        <v>0</v>
      </c>
      <c r="D6" s="172">
        <v>2</v>
      </c>
      <c r="E6" s="172">
        <v>0</v>
      </c>
      <c r="F6" s="172">
        <v>0</v>
      </c>
    </row>
    <row r="7" spans="1:6">
      <c r="A7" s="76">
        <v>4</v>
      </c>
      <c r="B7" s="173">
        <v>2</v>
      </c>
      <c r="C7" s="171">
        <v>12</v>
      </c>
      <c r="D7" s="171">
        <v>22</v>
      </c>
      <c r="E7" s="172">
        <v>19</v>
      </c>
      <c r="F7" s="172">
        <v>0</v>
      </c>
    </row>
    <row r="8" spans="1:6">
      <c r="A8" s="76">
        <v>3</v>
      </c>
      <c r="B8" s="174">
        <v>3</v>
      </c>
      <c r="C8" s="173">
        <v>32</v>
      </c>
      <c r="D8" s="171">
        <v>86</v>
      </c>
      <c r="E8" s="172">
        <v>48</v>
      </c>
      <c r="F8" s="172">
        <v>2</v>
      </c>
    </row>
    <row r="9" spans="1:6">
      <c r="A9" s="76">
        <v>2</v>
      </c>
      <c r="B9" s="174">
        <v>12</v>
      </c>
      <c r="C9" s="174">
        <v>58</v>
      </c>
      <c r="D9" s="173">
        <v>70</v>
      </c>
      <c r="E9" s="171">
        <v>31</v>
      </c>
      <c r="F9" s="172">
        <v>11</v>
      </c>
    </row>
    <row r="10" spans="1:6">
      <c r="A10" s="76">
        <v>1</v>
      </c>
      <c r="B10" s="174">
        <v>35</v>
      </c>
      <c r="C10" s="174">
        <v>19</v>
      </c>
      <c r="D10" s="173">
        <v>25</v>
      </c>
      <c r="E10" s="171">
        <v>21</v>
      </c>
      <c r="F10" s="171">
        <v>16</v>
      </c>
    </row>
    <row r="14" spans="1:6" ht="15.75">
      <c r="C14" s="216" t="s">
        <v>153</v>
      </c>
      <c r="D14" s="216" t="s">
        <v>147</v>
      </c>
      <c r="E14" s="217" t="s">
        <v>129</v>
      </c>
    </row>
    <row r="15" spans="1:6">
      <c r="C15" s="76">
        <v>1</v>
      </c>
      <c r="D15" s="76">
        <v>1</v>
      </c>
      <c r="E15" s="2">
        <v>29</v>
      </c>
    </row>
    <row r="16" spans="1:6">
      <c r="C16" s="76">
        <v>2</v>
      </c>
      <c r="D16" s="76">
        <v>1</v>
      </c>
      <c r="E16" s="2">
        <v>11</v>
      </c>
    </row>
    <row r="17" spans="3:8">
      <c r="C17" s="76">
        <v>3</v>
      </c>
      <c r="D17" s="76">
        <v>1</v>
      </c>
      <c r="E17" s="2">
        <v>3</v>
      </c>
    </row>
    <row r="18" spans="3:8">
      <c r="C18" s="76">
        <v>4</v>
      </c>
      <c r="D18" s="76">
        <v>1</v>
      </c>
      <c r="E18" s="2">
        <v>1</v>
      </c>
    </row>
    <row r="19" spans="3:8">
      <c r="C19" s="76">
        <v>5</v>
      </c>
      <c r="D19" s="76">
        <v>1</v>
      </c>
      <c r="E19" s="2">
        <v>0</v>
      </c>
    </row>
    <row r="20" spans="3:8">
      <c r="C20" s="76">
        <v>1</v>
      </c>
      <c r="D20" s="76">
        <v>2</v>
      </c>
      <c r="E20" s="2">
        <v>22</v>
      </c>
    </row>
    <row r="21" spans="3:8">
      <c r="C21" s="76">
        <v>2</v>
      </c>
      <c r="D21" s="76">
        <v>2</v>
      </c>
      <c r="E21" s="2">
        <v>55</v>
      </c>
    </row>
    <row r="22" spans="3:8">
      <c r="C22" s="76">
        <v>3</v>
      </c>
      <c r="D22" s="76">
        <v>2</v>
      </c>
      <c r="E22" s="2">
        <v>33</v>
      </c>
    </row>
    <row r="23" spans="3:8">
      <c r="C23" s="76">
        <v>4</v>
      </c>
      <c r="D23" s="76">
        <v>2</v>
      </c>
      <c r="E23" s="2">
        <v>14</v>
      </c>
    </row>
    <row r="24" spans="3:8">
      <c r="C24" s="76">
        <v>5</v>
      </c>
      <c r="D24" s="76">
        <v>2</v>
      </c>
      <c r="E24" s="2">
        <v>0</v>
      </c>
    </row>
    <row r="25" spans="3:8">
      <c r="C25" s="76">
        <v>1</v>
      </c>
      <c r="D25" s="76">
        <v>3</v>
      </c>
      <c r="E25" s="2">
        <v>25</v>
      </c>
    </row>
    <row r="26" spans="3:8">
      <c r="C26" s="76">
        <v>2</v>
      </c>
      <c r="D26" s="76">
        <v>3</v>
      </c>
      <c r="E26" s="2">
        <v>72</v>
      </c>
      <c r="G26" s="798" t="s">
        <v>153</v>
      </c>
      <c r="H26" s="799">
        <v>5</v>
      </c>
    </row>
    <row r="27" spans="3:8">
      <c r="C27" s="76">
        <v>3</v>
      </c>
      <c r="D27" s="76">
        <v>3</v>
      </c>
      <c r="E27" s="2">
        <v>96</v>
      </c>
      <c r="G27" s="798"/>
      <c r="H27" s="799"/>
    </row>
    <row r="28" spans="3:8">
      <c r="C28" s="76">
        <v>4</v>
      </c>
      <c r="D28" s="76">
        <v>3</v>
      </c>
      <c r="E28" s="2">
        <v>21</v>
      </c>
      <c r="G28" s="798"/>
      <c r="H28" s="799"/>
    </row>
    <row r="29" spans="3:8">
      <c r="C29" s="76">
        <v>5</v>
      </c>
      <c r="D29" s="76">
        <v>3</v>
      </c>
      <c r="E29" s="2">
        <v>2</v>
      </c>
      <c r="G29" s="798"/>
      <c r="H29" s="799"/>
    </row>
    <row r="30" spans="3:8">
      <c r="C30" s="76">
        <v>1</v>
      </c>
      <c r="D30" s="76">
        <v>4</v>
      </c>
      <c r="E30" s="2">
        <v>22</v>
      </c>
      <c r="G30" s="798"/>
      <c r="H30" s="799"/>
    </row>
    <row r="31" spans="3:8">
      <c r="C31" s="76">
        <v>2</v>
      </c>
      <c r="D31" s="76">
        <v>4</v>
      </c>
      <c r="E31" s="2">
        <v>31</v>
      </c>
      <c r="G31" s="798"/>
      <c r="H31" s="799">
        <v>4</v>
      </c>
    </row>
    <row r="32" spans="3:8">
      <c r="C32" s="76">
        <v>3</v>
      </c>
      <c r="D32" s="76">
        <v>4</v>
      </c>
      <c r="E32" s="2">
        <v>45</v>
      </c>
      <c r="G32" s="798"/>
      <c r="H32" s="799"/>
    </row>
    <row r="33" spans="3:8">
      <c r="C33" s="76">
        <v>4</v>
      </c>
      <c r="D33" s="76">
        <v>4</v>
      </c>
      <c r="E33" s="2">
        <v>18</v>
      </c>
      <c r="G33" s="798"/>
      <c r="H33" s="799"/>
    </row>
    <row r="34" spans="3:8">
      <c r="C34" s="76">
        <v>5</v>
      </c>
      <c r="D34" s="76">
        <v>4</v>
      </c>
      <c r="E34" s="2">
        <v>0</v>
      </c>
      <c r="G34" s="798"/>
      <c r="H34" s="799"/>
    </row>
    <row r="35" spans="3:8">
      <c r="C35" s="76">
        <v>1</v>
      </c>
      <c r="D35" s="76">
        <v>5</v>
      </c>
      <c r="E35" s="2">
        <v>14</v>
      </c>
      <c r="G35" s="798"/>
      <c r="H35" s="799"/>
    </row>
    <row r="36" spans="3:8">
      <c r="C36" s="76">
        <v>2</v>
      </c>
      <c r="D36" s="76">
        <v>5</v>
      </c>
      <c r="E36" s="2">
        <v>10</v>
      </c>
      <c r="G36" s="798"/>
      <c r="H36" s="799">
        <v>3</v>
      </c>
    </row>
    <row r="37" spans="3:8">
      <c r="C37" s="76">
        <v>3</v>
      </c>
      <c r="D37" s="76">
        <v>5</v>
      </c>
      <c r="E37" s="2">
        <v>2</v>
      </c>
      <c r="G37" s="798"/>
      <c r="H37" s="799"/>
    </row>
    <row r="38" spans="3:8">
      <c r="C38" s="76">
        <v>4</v>
      </c>
      <c r="D38" s="76">
        <v>5</v>
      </c>
      <c r="E38" s="2">
        <v>0</v>
      </c>
      <c r="G38" s="798"/>
      <c r="H38" s="799"/>
    </row>
    <row r="39" spans="3:8">
      <c r="C39" s="76">
        <v>5</v>
      </c>
      <c r="D39" s="76">
        <v>5</v>
      </c>
      <c r="E39" s="2">
        <v>0</v>
      </c>
      <c r="G39" s="798"/>
      <c r="H39" s="799"/>
    </row>
    <row r="40" spans="3:8">
      <c r="G40" s="798"/>
      <c r="H40" s="799"/>
    </row>
    <row r="41" spans="3:8">
      <c r="G41" s="798"/>
      <c r="H41" s="799">
        <v>2</v>
      </c>
    </row>
    <row r="42" spans="3:8">
      <c r="G42" s="798"/>
      <c r="H42" s="799"/>
    </row>
    <row r="43" spans="3:8">
      <c r="G43" s="798"/>
      <c r="H43" s="799"/>
    </row>
    <row r="44" spans="3:8">
      <c r="G44" s="798"/>
      <c r="H44" s="799"/>
    </row>
    <row r="45" spans="3:8">
      <c r="G45" s="798"/>
      <c r="H45" s="799"/>
    </row>
    <row r="46" spans="3:8">
      <c r="G46" s="798"/>
      <c r="H46" s="799">
        <v>1</v>
      </c>
    </row>
    <row r="47" spans="3:8">
      <c r="G47" s="798"/>
      <c r="H47" s="799"/>
    </row>
    <row r="48" spans="3:8">
      <c r="G48" s="798"/>
      <c r="H48" s="799"/>
    </row>
    <row r="49" spans="7:10">
      <c r="G49" s="798"/>
      <c r="H49" s="799"/>
    </row>
    <row r="50" spans="7:10">
      <c r="G50" s="798"/>
      <c r="H50" s="799"/>
    </row>
    <row r="55" spans="7:10">
      <c r="H55" s="175"/>
      <c r="I55" s="799"/>
      <c r="J55" s="798"/>
    </row>
    <row r="56" spans="7:10">
      <c r="H56" s="175"/>
      <c r="I56" s="799"/>
      <c r="J56" s="798"/>
    </row>
    <row r="57" spans="7:10">
      <c r="H57" s="175"/>
      <c r="I57" s="799"/>
      <c r="J57" s="798"/>
    </row>
    <row r="58" spans="7:10">
      <c r="H58" s="175"/>
      <c r="I58" s="799"/>
      <c r="J58" s="798"/>
    </row>
    <row r="59" spans="7:10">
      <c r="H59" s="175"/>
      <c r="I59" s="799"/>
      <c r="J59" s="798"/>
    </row>
    <row r="60" spans="7:10">
      <c r="H60" s="175"/>
      <c r="I60" s="799"/>
      <c r="J60" s="798"/>
    </row>
    <row r="61" spans="7:10">
      <c r="H61" s="175"/>
      <c r="I61" s="799"/>
      <c r="J61" s="798"/>
    </row>
    <row r="62" spans="7:10">
      <c r="H62" s="175"/>
      <c r="I62" s="799"/>
      <c r="J62" s="798"/>
    </row>
    <row r="63" spans="7:10">
      <c r="H63" s="175"/>
      <c r="I63" s="799"/>
      <c r="J63" s="798"/>
    </row>
    <row r="64" spans="7:10">
      <c r="H64" s="175"/>
      <c r="I64" s="799"/>
      <c r="J64" s="798"/>
    </row>
    <row r="65" spans="8:11">
      <c r="H65" s="175"/>
      <c r="I65" s="799"/>
      <c r="J65" s="798"/>
    </row>
    <row r="66" spans="8:11">
      <c r="H66" s="175"/>
      <c r="I66" s="799"/>
      <c r="J66" s="798"/>
    </row>
    <row r="67" spans="8:11">
      <c r="H67" s="175"/>
      <c r="I67" s="799"/>
      <c r="J67" s="798"/>
    </row>
    <row r="68" spans="8:11">
      <c r="H68" s="175"/>
      <c r="I68" s="799"/>
      <c r="J68" s="798"/>
    </row>
    <row r="69" spans="8:11">
      <c r="H69" s="175"/>
      <c r="I69" s="799"/>
      <c r="J69" s="798"/>
    </row>
    <row r="70" spans="8:11">
      <c r="H70" s="175"/>
      <c r="I70" s="799"/>
      <c r="J70" s="798"/>
      <c r="K70" s="798" t="s">
        <v>154</v>
      </c>
    </row>
    <row r="71" spans="8:11">
      <c r="H71" s="175"/>
      <c r="I71" s="799"/>
      <c r="J71" s="798"/>
      <c r="K71" s="798"/>
    </row>
    <row r="72" spans="8:11">
      <c r="H72" s="175"/>
      <c r="I72" s="799"/>
      <c r="J72" s="798"/>
      <c r="K72" s="798"/>
    </row>
    <row r="73" spans="8:11">
      <c r="H73" s="175"/>
      <c r="I73" s="799"/>
      <c r="J73" s="798"/>
      <c r="K73" s="798"/>
    </row>
    <row r="74" spans="8:11">
      <c r="H74" s="175"/>
      <c r="I74" s="799"/>
      <c r="J74" s="798"/>
      <c r="K74" s="798"/>
    </row>
    <row r="75" spans="8:11">
      <c r="H75" s="175"/>
      <c r="I75" s="799"/>
      <c r="J75" s="798"/>
      <c r="K75" s="798"/>
    </row>
    <row r="76" spans="8:11">
      <c r="H76" s="175"/>
      <c r="I76" s="799"/>
      <c r="J76" s="798"/>
      <c r="K76" s="798"/>
    </row>
    <row r="77" spans="8:11">
      <c r="H77" s="175"/>
      <c r="I77" s="799"/>
      <c r="J77" s="798"/>
      <c r="K77" s="798"/>
    </row>
    <row r="78" spans="8:11">
      <c r="H78" s="175"/>
      <c r="I78" s="799"/>
      <c r="J78" s="798"/>
      <c r="K78" s="798"/>
    </row>
    <row r="79" spans="8:11">
      <c r="H79" s="175"/>
      <c r="I79" s="799"/>
      <c r="J79" s="798"/>
      <c r="K79" s="798"/>
    </row>
    <row r="80" spans="8:11">
      <c r="K80" s="798"/>
    </row>
    <row r="81" spans="11:11">
      <c r="K81" s="798"/>
    </row>
    <row r="82" spans="11:11">
      <c r="K82" s="798"/>
    </row>
    <row r="83" spans="11:11">
      <c r="K83" s="798"/>
    </row>
    <row r="84" spans="11:11">
      <c r="K84" s="798"/>
    </row>
    <row r="85" spans="11:11">
      <c r="K85" s="798"/>
    </row>
    <row r="86" spans="11:11">
      <c r="K86" s="798"/>
    </row>
    <row r="87" spans="11:11">
      <c r="K87" s="798"/>
    </row>
    <row r="88" spans="11:11">
      <c r="K88" s="798"/>
    </row>
    <row r="89" spans="11:11">
      <c r="K89" s="798"/>
    </row>
    <row r="90" spans="11:11">
      <c r="K90" s="798"/>
    </row>
    <row r="91" spans="11:11">
      <c r="K91" s="798"/>
    </row>
    <row r="92" spans="11:11">
      <c r="K92" s="798"/>
    </row>
    <row r="93" spans="11:11">
      <c r="K93" s="798"/>
    </row>
    <row r="94" spans="11:11">
      <c r="K94" s="798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abSelected="1" topLeftCell="A12" zoomScale="70" zoomScaleNormal="70" workbookViewId="0">
      <selection activeCell="K15" sqref="K15:L15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32.28515625" customWidth="1"/>
    <col min="15" max="15" width="14.425781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5"/>
      <c r="B1" s="833" t="s">
        <v>160</v>
      </c>
      <c r="C1" s="834"/>
      <c r="D1" s="834"/>
      <c r="E1" s="834"/>
      <c r="F1" s="834"/>
      <c r="G1" s="834"/>
      <c r="H1" s="834"/>
      <c r="I1" s="834"/>
      <c r="J1" s="834"/>
      <c r="K1" s="834"/>
      <c r="L1" s="834"/>
      <c r="M1" s="834"/>
      <c r="N1" s="834"/>
      <c r="O1" s="835"/>
      <c r="P1" s="85"/>
      <c r="Q1" s="85"/>
      <c r="R1" s="85"/>
      <c r="S1" s="85"/>
      <c r="T1" s="85"/>
    </row>
    <row r="2" spans="1:20" ht="18.75" customHeight="1">
      <c r="A2" s="85"/>
      <c r="B2" s="821" t="s">
        <v>161</v>
      </c>
      <c r="C2" s="822"/>
      <c r="D2" s="822"/>
      <c r="E2" s="822"/>
      <c r="F2" s="822"/>
      <c r="G2" s="823" t="s">
        <v>338</v>
      </c>
      <c r="H2" s="823"/>
      <c r="I2" s="823"/>
      <c r="J2" s="823"/>
      <c r="K2" s="823"/>
      <c r="L2" s="823"/>
      <c r="M2" s="823"/>
      <c r="N2" s="823"/>
      <c r="O2" s="824"/>
      <c r="P2" s="85"/>
      <c r="Q2" s="85"/>
      <c r="R2" s="85"/>
      <c r="S2" s="85"/>
      <c r="T2" s="85"/>
    </row>
    <row r="3" spans="1:20" ht="28.5" customHeight="1" thickBot="1">
      <c r="A3" s="85"/>
      <c r="B3" s="825" t="s">
        <v>322</v>
      </c>
      <c r="C3" s="826"/>
      <c r="D3" s="826"/>
      <c r="E3" s="826"/>
      <c r="F3" s="826"/>
      <c r="G3" s="826"/>
      <c r="H3" s="827"/>
      <c r="I3" s="211"/>
      <c r="J3" s="212"/>
      <c r="K3" s="485"/>
      <c r="L3" s="210"/>
      <c r="M3" s="210"/>
      <c r="N3" s="210"/>
      <c r="O3" s="212"/>
      <c r="P3" s="85"/>
      <c r="Q3" s="85"/>
      <c r="R3" s="85"/>
      <c r="S3" s="85"/>
      <c r="T3" s="85"/>
    </row>
    <row r="4" spans="1:20" ht="27.75" customHeight="1">
      <c r="A4" s="85"/>
      <c r="B4" s="106"/>
      <c r="C4" s="93"/>
      <c r="D4" s="93"/>
      <c r="E4" s="86"/>
      <c r="F4" s="86"/>
      <c r="G4" s="86"/>
      <c r="H4" s="83"/>
      <c r="I4" s="91"/>
      <c r="J4" s="106"/>
      <c r="K4" s="843" t="s">
        <v>324</v>
      </c>
      <c r="L4" s="844"/>
      <c r="M4" s="844"/>
      <c r="N4" s="844"/>
      <c r="O4" s="845"/>
      <c r="P4" s="83"/>
      <c r="Q4" s="85"/>
      <c r="R4" s="85"/>
      <c r="S4" s="85"/>
      <c r="T4" s="85"/>
    </row>
    <row r="5" spans="1:20" ht="36" customHeight="1" thickBot="1">
      <c r="A5" s="85"/>
      <c r="B5" s="106"/>
      <c r="H5" s="82"/>
      <c r="I5" s="85"/>
      <c r="J5" s="213"/>
      <c r="K5" s="840" t="s">
        <v>163</v>
      </c>
      <c r="L5" s="839"/>
      <c r="M5" s="839" t="s">
        <v>321</v>
      </c>
      <c r="N5" s="839"/>
      <c r="O5" s="591" t="s">
        <v>165</v>
      </c>
      <c r="P5" s="83"/>
      <c r="Q5" s="85"/>
      <c r="R5" s="85"/>
      <c r="S5" s="85"/>
      <c r="T5" s="85"/>
    </row>
    <row r="6" spans="1:20" ht="58.5" customHeight="1">
      <c r="A6" s="85"/>
      <c r="B6" s="82"/>
      <c r="H6" s="82"/>
      <c r="I6" s="85"/>
      <c r="J6" s="82"/>
      <c r="K6" s="846" t="s">
        <v>415</v>
      </c>
      <c r="L6" s="838"/>
      <c r="M6" s="837" t="s">
        <v>422</v>
      </c>
      <c r="N6" s="838"/>
      <c r="O6" s="593" t="s">
        <v>140</v>
      </c>
      <c r="P6" s="83"/>
      <c r="Q6" s="85"/>
      <c r="R6" s="85"/>
      <c r="S6" s="85"/>
      <c r="T6" s="85"/>
    </row>
    <row r="7" spans="1:20" ht="53.25" customHeight="1">
      <c r="A7" s="85"/>
      <c r="C7" s="85"/>
      <c r="D7" s="85"/>
      <c r="E7" s="841"/>
      <c r="F7" s="842"/>
      <c r="G7" s="842"/>
      <c r="H7" s="842"/>
      <c r="I7" s="85"/>
      <c r="J7" s="106"/>
      <c r="K7" s="804" t="s">
        <v>415</v>
      </c>
      <c r="L7" s="803"/>
      <c r="M7" s="802" t="s">
        <v>423</v>
      </c>
      <c r="N7" s="803"/>
      <c r="O7" s="504" t="s">
        <v>140</v>
      </c>
      <c r="P7" s="83"/>
      <c r="Q7" s="85"/>
      <c r="R7" s="85"/>
      <c r="S7" s="85"/>
      <c r="T7" s="85"/>
    </row>
    <row r="8" spans="1:20" ht="50.25" customHeight="1">
      <c r="A8" s="82"/>
      <c r="B8" s="85"/>
      <c r="C8" s="85"/>
      <c r="D8" s="85"/>
      <c r="I8" s="85"/>
      <c r="J8" s="82"/>
      <c r="K8" s="804" t="s">
        <v>173</v>
      </c>
      <c r="L8" s="803"/>
      <c r="M8" s="802" t="s">
        <v>424</v>
      </c>
      <c r="N8" s="803"/>
      <c r="O8" s="504" t="s">
        <v>140</v>
      </c>
      <c r="P8" s="83"/>
      <c r="Q8" s="85"/>
      <c r="R8" s="85"/>
      <c r="S8" s="85"/>
      <c r="T8" s="85"/>
    </row>
    <row r="9" spans="1:20" ht="55.5" customHeight="1">
      <c r="A9" s="82"/>
      <c r="B9" s="85"/>
      <c r="C9" s="85"/>
      <c r="D9" s="85"/>
      <c r="I9" s="85"/>
      <c r="J9" s="106"/>
      <c r="K9" s="804" t="s">
        <v>173</v>
      </c>
      <c r="L9" s="803"/>
      <c r="M9" s="802" t="s">
        <v>425</v>
      </c>
      <c r="N9" s="803"/>
      <c r="O9" s="504" t="s">
        <v>140</v>
      </c>
      <c r="P9" s="83"/>
      <c r="Q9" s="85"/>
      <c r="R9" s="85"/>
      <c r="S9" s="85"/>
      <c r="T9" s="85"/>
    </row>
    <row r="10" spans="1:20" ht="51" customHeight="1">
      <c r="A10" s="82"/>
      <c r="B10" s="480" t="s">
        <v>334</v>
      </c>
      <c r="C10" s="480" t="s">
        <v>335</v>
      </c>
      <c r="D10" s="85"/>
      <c r="I10" s="85"/>
      <c r="J10" s="82"/>
      <c r="K10" s="804" t="s">
        <v>173</v>
      </c>
      <c r="L10" s="803"/>
      <c r="M10" s="802" t="s">
        <v>426</v>
      </c>
      <c r="N10" s="803"/>
      <c r="O10" s="504" t="s">
        <v>140</v>
      </c>
      <c r="P10" s="83"/>
      <c r="Q10" s="85"/>
      <c r="R10" s="85"/>
      <c r="S10" s="85"/>
      <c r="T10" s="85"/>
    </row>
    <row r="11" spans="1:20" ht="57" customHeight="1">
      <c r="A11" s="82"/>
      <c r="B11" s="590" t="s">
        <v>436</v>
      </c>
      <c r="C11" s="590" t="s">
        <v>437</v>
      </c>
      <c r="D11" s="92"/>
      <c r="F11" s="92"/>
      <c r="H11" s="90"/>
      <c r="I11" s="83"/>
      <c r="J11" s="106"/>
      <c r="K11" s="804" t="s">
        <v>420</v>
      </c>
      <c r="L11" s="803"/>
      <c r="M11" s="802" t="s">
        <v>427</v>
      </c>
      <c r="N11" s="803"/>
      <c r="O11" s="504" t="s">
        <v>140</v>
      </c>
      <c r="P11" s="83"/>
      <c r="Q11" s="85"/>
      <c r="R11" s="85"/>
      <c r="S11" s="85"/>
      <c r="T11" s="85"/>
    </row>
    <row r="12" spans="1:20" ht="49.5" customHeight="1">
      <c r="A12" s="82"/>
      <c r="B12" s="74" t="s">
        <v>437</v>
      </c>
      <c r="C12" s="74" t="s">
        <v>437</v>
      </c>
      <c r="D12" s="92"/>
      <c r="G12" s="92"/>
      <c r="I12" s="83"/>
      <c r="J12" s="106"/>
      <c r="K12" s="804" t="s">
        <v>420</v>
      </c>
      <c r="L12" s="803"/>
      <c r="M12" s="802" t="s">
        <v>428</v>
      </c>
      <c r="N12" s="803"/>
      <c r="O12" s="504" t="s">
        <v>435</v>
      </c>
      <c r="P12" s="83"/>
      <c r="Q12" s="85"/>
      <c r="R12" s="85"/>
      <c r="S12" s="85"/>
      <c r="T12" s="85"/>
    </row>
    <row r="13" spans="1:20" ht="55.5" customHeight="1">
      <c r="A13" s="82"/>
      <c r="D13" s="92"/>
      <c r="E13" s="836" t="s">
        <v>323</v>
      </c>
      <c r="F13" s="836"/>
      <c r="G13" s="836"/>
      <c r="H13" s="836"/>
      <c r="I13" s="83"/>
      <c r="J13" s="106"/>
      <c r="K13" s="804" t="s">
        <v>421</v>
      </c>
      <c r="L13" s="803"/>
      <c r="M13" s="802" t="s">
        <v>429</v>
      </c>
      <c r="N13" s="803"/>
      <c r="O13" s="504" t="s">
        <v>140</v>
      </c>
      <c r="P13" s="83"/>
      <c r="Q13" s="85"/>
      <c r="R13" s="85"/>
      <c r="S13" s="85"/>
      <c r="T13" s="85"/>
    </row>
    <row r="14" spans="1:20" ht="47.25" customHeight="1">
      <c r="A14" s="82"/>
      <c r="B14" s="811" t="s">
        <v>317</v>
      </c>
      <c r="C14" s="811"/>
      <c r="D14" s="92"/>
      <c r="E14" s="829" t="s">
        <v>163</v>
      </c>
      <c r="F14" s="829"/>
      <c r="G14" s="829"/>
      <c r="H14" s="473" t="s">
        <v>164</v>
      </c>
      <c r="I14" s="83"/>
      <c r="J14" s="106"/>
      <c r="K14" s="804" t="s">
        <v>421</v>
      </c>
      <c r="L14" s="803"/>
      <c r="M14" s="802" t="s">
        <v>430</v>
      </c>
      <c r="N14" s="803"/>
      <c r="O14" s="504" t="s">
        <v>140</v>
      </c>
      <c r="P14" s="83"/>
      <c r="Q14" s="85"/>
      <c r="R14" s="85"/>
      <c r="S14" s="85"/>
      <c r="T14" s="85"/>
    </row>
    <row r="15" spans="1:20" ht="44.25" customHeight="1">
      <c r="A15" s="82"/>
      <c r="B15" s="480" t="s">
        <v>162</v>
      </c>
      <c r="C15" s="480" t="s">
        <v>320</v>
      </c>
      <c r="D15" s="92"/>
      <c r="E15" s="815" t="s">
        <v>414</v>
      </c>
      <c r="F15" s="815"/>
      <c r="G15" s="815"/>
      <c r="H15" s="482">
        <v>2</v>
      </c>
      <c r="I15" s="83"/>
      <c r="J15" s="106"/>
      <c r="K15" s="804" t="s">
        <v>173</v>
      </c>
      <c r="L15" s="803"/>
      <c r="M15" s="802" t="s">
        <v>431</v>
      </c>
      <c r="N15" s="803"/>
      <c r="O15" s="504" t="s">
        <v>140</v>
      </c>
      <c r="P15" s="83"/>
      <c r="Q15" s="85"/>
      <c r="R15" s="85"/>
      <c r="S15" s="85"/>
      <c r="T15" s="85"/>
    </row>
    <row r="16" spans="1:20" ht="47.25" customHeight="1">
      <c r="A16" s="82"/>
      <c r="B16" s="481" t="s">
        <v>414</v>
      </c>
      <c r="C16" s="481">
        <v>2</v>
      </c>
      <c r="D16" s="92"/>
      <c r="E16" s="815" t="s">
        <v>415</v>
      </c>
      <c r="F16" s="815"/>
      <c r="G16" s="815"/>
      <c r="H16" s="482">
        <v>26</v>
      </c>
      <c r="I16" s="83"/>
      <c r="J16" s="106"/>
      <c r="K16" s="804" t="s">
        <v>173</v>
      </c>
      <c r="L16" s="803"/>
      <c r="M16" s="802" t="s">
        <v>432</v>
      </c>
      <c r="N16" s="803"/>
      <c r="O16" s="504" t="s">
        <v>140</v>
      </c>
      <c r="P16" s="83"/>
      <c r="Q16" s="85"/>
      <c r="R16" s="85"/>
      <c r="S16" s="85"/>
      <c r="T16" s="85"/>
    </row>
    <row r="17" spans="1:20" ht="46.5" customHeight="1">
      <c r="A17" s="82"/>
      <c r="B17" s="481" t="s">
        <v>415</v>
      </c>
      <c r="C17" s="481">
        <v>26</v>
      </c>
      <c r="D17" s="92"/>
      <c r="E17" s="815" t="s">
        <v>416</v>
      </c>
      <c r="F17" s="815"/>
      <c r="G17" s="815"/>
      <c r="H17" s="482">
        <v>5</v>
      </c>
      <c r="I17" s="83"/>
      <c r="J17" s="82"/>
      <c r="K17" s="804" t="s">
        <v>416</v>
      </c>
      <c r="L17" s="803"/>
      <c r="M17" s="802" t="s">
        <v>433</v>
      </c>
      <c r="N17" s="803"/>
      <c r="O17" s="505" t="s">
        <v>435</v>
      </c>
      <c r="P17" s="83"/>
      <c r="Q17" s="85"/>
      <c r="R17" s="85"/>
      <c r="S17" s="85"/>
      <c r="T17" s="85"/>
    </row>
    <row r="18" spans="1:20" ht="54.75" customHeight="1" thickBot="1">
      <c r="A18" s="82"/>
      <c r="B18" s="481" t="s">
        <v>416</v>
      </c>
      <c r="C18" s="481">
        <v>5</v>
      </c>
      <c r="D18" s="92"/>
      <c r="E18" s="815" t="s">
        <v>417</v>
      </c>
      <c r="F18" s="815"/>
      <c r="G18" s="815"/>
      <c r="H18" s="482">
        <v>31</v>
      </c>
      <c r="I18" s="83"/>
      <c r="J18" s="90"/>
      <c r="K18" s="820" t="s">
        <v>416</v>
      </c>
      <c r="L18" s="819"/>
      <c r="M18" s="818" t="s">
        <v>434</v>
      </c>
      <c r="N18" s="819"/>
      <c r="O18" s="506" t="s">
        <v>435</v>
      </c>
      <c r="P18" s="83"/>
      <c r="Q18" s="85"/>
      <c r="R18" s="85"/>
      <c r="S18" s="85"/>
      <c r="T18" s="85"/>
    </row>
    <row r="19" spans="1:20" ht="42" customHeight="1">
      <c r="A19" s="82"/>
      <c r="B19" s="481" t="s">
        <v>417</v>
      </c>
      <c r="C19" s="481">
        <v>31</v>
      </c>
      <c r="D19" s="92"/>
      <c r="E19" s="815" t="s">
        <v>418</v>
      </c>
      <c r="F19" s="815"/>
      <c r="G19" s="815"/>
      <c r="H19" s="482">
        <v>6</v>
      </c>
      <c r="I19" s="83"/>
      <c r="J19" s="82"/>
      <c r="K19" s="233"/>
      <c r="O19" s="357"/>
      <c r="P19" s="83"/>
      <c r="Q19" s="85"/>
      <c r="R19" s="85"/>
      <c r="S19" s="85"/>
      <c r="T19" s="85"/>
    </row>
    <row r="20" spans="1:20" ht="33.75" customHeight="1">
      <c r="A20" s="82"/>
      <c r="B20" s="481" t="s">
        <v>418</v>
      </c>
      <c r="C20" s="481">
        <v>6</v>
      </c>
      <c r="D20" s="92"/>
      <c r="E20" s="816" t="s">
        <v>419</v>
      </c>
      <c r="F20" s="816"/>
      <c r="G20" s="816"/>
      <c r="H20" s="483">
        <v>25</v>
      </c>
      <c r="I20" s="83"/>
      <c r="J20" s="106"/>
      <c r="K20" s="233"/>
      <c r="O20" s="357"/>
      <c r="P20" s="83"/>
      <c r="Q20" s="85"/>
      <c r="R20" s="85"/>
      <c r="S20" s="85"/>
      <c r="T20" s="85"/>
    </row>
    <row r="21" spans="1:20" ht="46.5" customHeight="1">
      <c r="A21" s="82"/>
      <c r="B21" s="481" t="s">
        <v>419</v>
      </c>
      <c r="C21" s="481">
        <v>25</v>
      </c>
      <c r="D21" s="101"/>
      <c r="E21" s="828" t="s">
        <v>10</v>
      </c>
      <c r="F21" s="828"/>
      <c r="G21" s="828"/>
      <c r="H21" s="484">
        <f>SUM(H15:H20)</f>
        <v>95</v>
      </c>
      <c r="I21" s="83"/>
      <c r="J21" s="106"/>
      <c r="K21" s="233"/>
      <c r="O21" s="357"/>
      <c r="P21" s="83"/>
      <c r="Q21" s="85"/>
      <c r="R21" s="85"/>
      <c r="S21" s="85"/>
      <c r="T21" s="85"/>
    </row>
    <row r="22" spans="1:20" ht="37.5" customHeight="1">
      <c r="A22" s="82"/>
      <c r="B22" s="484" t="s">
        <v>10</v>
      </c>
      <c r="C22" s="484">
        <f>SUM(C16:C21)</f>
        <v>95</v>
      </c>
      <c r="D22" s="92"/>
      <c r="E22" s="805" t="s">
        <v>319</v>
      </c>
      <c r="F22" s="806"/>
      <c r="G22" s="806"/>
      <c r="H22" s="807"/>
      <c r="I22" s="83"/>
      <c r="J22" s="82"/>
      <c r="K22" s="233"/>
      <c r="O22" s="357"/>
      <c r="P22" s="83"/>
      <c r="Q22" s="85"/>
      <c r="R22" s="82"/>
      <c r="S22" s="85"/>
      <c r="T22" s="85"/>
    </row>
    <row r="23" spans="1:20" ht="36.75" customHeight="1" thickBot="1">
      <c r="A23" s="82"/>
      <c r="D23" s="81"/>
      <c r="I23" s="86"/>
      <c r="J23" s="82"/>
      <c r="K23" s="233"/>
      <c r="L23" s="90"/>
      <c r="M23" s="109"/>
      <c r="O23" s="502"/>
      <c r="P23" s="83"/>
      <c r="Q23" s="85"/>
      <c r="R23" s="82"/>
      <c r="S23" s="85"/>
      <c r="T23" s="85"/>
    </row>
    <row r="24" spans="1:20" ht="25.5" customHeight="1">
      <c r="A24" s="82"/>
      <c r="B24" s="471"/>
      <c r="C24" s="471"/>
      <c r="D24" s="215"/>
      <c r="I24" s="93"/>
      <c r="J24" s="90"/>
      <c r="K24" s="238"/>
      <c r="L24" s="237"/>
      <c r="M24" s="85"/>
      <c r="N24" s="85"/>
      <c r="O24" s="503"/>
      <c r="P24" s="83"/>
      <c r="Q24" s="85"/>
      <c r="S24" s="85"/>
      <c r="T24" s="85"/>
    </row>
    <row r="25" spans="1:20" ht="25.5" customHeight="1" thickBot="1">
      <c r="A25" s="82"/>
      <c r="B25" s="472"/>
      <c r="C25" s="472"/>
      <c r="D25" s="234"/>
      <c r="J25" s="92"/>
      <c r="K25" s="594" t="s">
        <v>186</v>
      </c>
      <c r="L25" s="595"/>
      <c r="M25" s="596"/>
      <c r="N25" s="597"/>
      <c r="O25" s="598"/>
      <c r="P25" s="83"/>
      <c r="Q25" s="85"/>
      <c r="S25" s="85"/>
      <c r="T25" s="85"/>
    </row>
    <row r="26" spans="1:20" ht="25.5" customHeight="1">
      <c r="A26" s="82"/>
      <c r="B26" s="472"/>
      <c r="C26" s="472"/>
      <c r="D26" s="234"/>
      <c r="E26" s="475"/>
      <c r="F26" s="476"/>
      <c r="H26" s="817"/>
      <c r="I26" s="817"/>
      <c r="J26" s="474"/>
      <c r="K26" s="812" t="s">
        <v>318</v>
      </c>
      <c r="L26" s="813"/>
      <c r="M26" s="813"/>
      <c r="N26" s="814"/>
      <c r="O26" s="592"/>
      <c r="P26" s="83"/>
      <c r="Q26" s="85"/>
      <c r="S26" s="85"/>
      <c r="T26" s="85"/>
    </row>
    <row r="27" spans="1:20" ht="41.25" customHeight="1">
      <c r="A27" s="82"/>
      <c r="B27" s="472"/>
      <c r="C27" s="472"/>
      <c r="D27" s="234"/>
      <c r="E27" s="477"/>
      <c r="F27" s="477"/>
      <c r="H27" s="478"/>
      <c r="I27" s="479"/>
      <c r="J27" s="214"/>
      <c r="K27" s="808" t="s">
        <v>337</v>
      </c>
      <c r="L27" s="809"/>
      <c r="M27" s="809"/>
      <c r="N27" s="809"/>
      <c r="O27" s="810"/>
      <c r="P27" s="83"/>
      <c r="Q27" s="85"/>
      <c r="S27" s="85"/>
      <c r="T27" s="85"/>
    </row>
    <row r="28" spans="1:20" ht="44.25" customHeight="1" thickBot="1">
      <c r="A28" s="82"/>
      <c r="J28" s="81"/>
      <c r="K28" s="830" t="s">
        <v>336</v>
      </c>
      <c r="L28" s="831"/>
      <c r="M28" s="831"/>
      <c r="N28" s="831"/>
      <c r="O28" s="832"/>
      <c r="P28" s="85"/>
      <c r="Q28" s="85"/>
      <c r="R28" s="82"/>
      <c r="S28" s="85"/>
    </row>
    <row r="29" spans="1:20" ht="43.5" customHeight="1">
      <c r="A29" s="82"/>
      <c r="B29" s="107"/>
      <c r="C29" s="107"/>
      <c r="D29" s="85"/>
      <c r="E29" s="107"/>
      <c r="F29" s="107"/>
      <c r="G29" s="107"/>
      <c r="H29" s="107"/>
      <c r="I29" s="107"/>
      <c r="J29" s="85"/>
      <c r="K29" s="107"/>
      <c r="L29" s="107"/>
      <c r="M29" s="107"/>
      <c r="N29" s="107"/>
      <c r="O29" s="107"/>
      <c r="P29" s="83"/>
      <c r="Q29" s="85"/>
      <c r="R29" s="82"/>
      <c r="S29" s="85"/>
    </row>
    <row r="30" spans="1:20" ht="45" customHeight="1">
      <c r="A30" s="82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3"/>
      <c r="Q30" s="85"/>
      <c r="R30" s="85"/>
      <c r="S30" s="85"/>
    </row>
    <row r="31" spans="1:20">
      <c r="A31" s="82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3"/>
      <c r="Q31" s="85"/>
      <c r="R31" s="85"/>
      <c r="S31" s="85"/>
    </row>
    <row r="32" spans="1:20">
      <c r="A32" s="82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3"/>
      <c r="Q32" s="85"/>
      <c r="R32" s="85"/>
      <c r="S32" s="85"/>
    </row>
    <row r="33" spans="1:20">
      <c r="A33" s="82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3"/>
      <c r="Q33" s="85"/>
      <c r="R33" s="85"/>
      <c r="S33" s="85"/>
    </row>
    <row r="34" spans="1:20">
      <c r="A34" s="82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3"/>
      <c r="Q34" s="85"/>
      <c r="R34" s="85"/>
      <c r="S34" s="85"/>
    </row>
    <row r="35" spans="1:20">
      <c r="A35" s="82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3"/>
      <c r="Q35" s="85"/>
      <c r="R35" s="85"/>
      <c r="S35" s="85"/>
    </row>
    <row r="36" spans="1:20">
      <c r="A36" s="82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3"/>
      <c r="Q36" s="85"/>
      <c r="R36" s="85"/>
      <c r="S36" s="85"/>
    </row>
    <row r="37" spans="1:20">
      <c r="A37" s="82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3"/>
      <c r="Q37" s="85"/>
      <c r="R37" s="85"/>
      <c r="S37" s="85"/>
    </row>
    <row r="38" spans="1:20">
      <c r="A38" s="82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3"/>
      <c r="Q38" s="85"/>
      <c r="R38" s="85"/>
      <c r="S38" s="85"/>
      <c r="T38" s="85"/>
    </row>
    <row r="39" spans="1:20">
      <c r="A39" s="82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3"/>
      <c r="Q39" s="85"/>
      <c r="R39" s="85"/>
      <c r="S39" s="85"/>
      <c r="T39" s="85"/>
    </row>
    <row r="40" spans="1:20">
      <c r="A40" s="82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3"/>
      <c r="Q40" s="85"/>
      <c r="R40" s="85"/>
      <c r="S40" s="85"/>
      <c r="T40" s="85"/>
    </row>
    <row r="41" spans="1:20">
      <c r="A41" s="82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3"/>
      <c r="Q41" s="85"/>
      <c r="R41" s="85"/>
      <c r="S41" s="85"/>
      <c r="T41" s="85"/>
    </row>
    <row r="42" spans="1:20">
      <c r="A42" s="82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3"/>
      <c r="Q42" s="85"/>
      <c r="R42" s="85"/>
      <c r="S42" s="85"/>
      <c r="T42" s="85"/>
    </row>
    <row r="43" spans="1:20">
      <c r="A43" s="82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3"/>
      <c r="Q43" s="85"/>
      <c r="R43" s="85"/>
      <c r="S43" s="85"/>
      <c r="T43" s="85"/>
    </row>
    <row r="44" spans="1:20">
      <c r="A44" s="82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3"/>
      <c r="Q44" s="85"/>
      <c r="R44" s="85"/>
      <c r="S44" s="85"/>
      <c r="T44" s="85"/>
    </row>
    <row r="45" spans="1:20">
      <c r="A45" s="82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3"/>
      <c r="Q45" s="85"/>
      <c r="R45" s="85"/>
      <c r="S45" s="85"/>
      <c r="T45" s="85"/>
    </row>
    <row r="46" spans="1:20">
      <c r="A46" s="82"/>
      <c r="B46" s="85"/>
      <c r="C46" s="85"/>
      <c r="D46" s="85"/>
      <c r="G46" s="85"/>
      <c r="H46" s="85"/>
      <c r="I46" s="85"/>
      <c r="J46" s="85"/>
      <c r="K46" s="85"/>
      <c r="L46" s="85"/>
      <c r="M46" s="85"/>
      <c r="N46" s="85"/>
      <c r="O46" s="85"/>
      <c r="P46" s="83"/>
      <c r="Q46" s="85"/>
      <c r="R46" s="85"/>
      <c r="S46" s="85"/>
      <c r="T46" s="85"/>
    </row>
  </sheetData>
  <mergeCells count="49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12:N12"/>
    <mergeCell ref="M13:N13"/>
    <mergeCell ref="K13:L13"/>
    <mergeCell ref="K14:L14"/>
    <mergeCell ref="E22:H22"/>
  </mergeCells>
  <phoneticPr fontId="32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zoomScale="55" zoomScaleNormal="55" workbookViewId="0">
      <selection activeCell="F12" sqref="F12"/>
    </sheetView>
  </sheetViews>
  <sheetFormatPr baseColWidth="10" defaultRowHeight="15"/>
  <cols>
    <col min="1" max="1" width="23.5703125" customWidth="1"/>
    <col min="2" max="2" width="21.140625" customWidth="1"/>
    <col min="3" max="3" width="20.42578125" customWidth="1"/>
    <col min="4" max="4" width="25.42578125" customWidth="1"/>
    <col min="5" max="5" width="22" customWidth="1"/>
    <col min="6" max="6" width="11.42578125" customWidth="1"/>
    <col min="7" max="7" width="15.42578125" customWidth="1"/>
    <col min="8" max="8" width="23.28515625" customWidth="1"/>
    <col min="9" max="9" width="17.140625" customWidth="1"/>
    <col min="10" max="10" width="23.7109375" customWidth="1"/>
    <col min="11" max="11" width="28.28515625" customWidth="1"/>
    <col min="12" max="12" width="4.28515625" customWidth="1"/>
    <col min="13" max="13" width="19.5703125" customWidth="1"/>
    <col min="14" max="14" width="20.85546875" customWidth="1"/>
    <col min="15" max="15" width="4.7109375" customWidth="1"/>
  </cols>
  <sheetData>
    <row r="1" spans="1:15" ht="38.25" customHeight="1" thickBot="1">
      <c r="A1" s="849" t="s">
        <v>0</v>
      </c>
      <c r="B1" s="849"/>
      <c r="C1" s="849"/>
      <c r="D1" s="849"/>
      <c r="E1" s="849"/>
      <c r="F1" s="849"/>
      <c r="G1" s="849"/>
      <c r="H1" s="849"/>
      <c r="I1" s="849"/>
      <c r="J1" s="849"/>
      <c r="K1" s="849"/>
      <c r="L1" s="849"/>
      <c r="M1" s="849"/>
      <c r="N1" s="849"/>
      <c r="O1" s="850"/>
    </row>
    <row r="2" spans="1:15" ht="6.75" customHeight="1" thickBot="1">
      <c r="A2" s="851"/>
      <c r="B2" s="851"/>
      <c r="C2" s="851"/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2"/>
    </row>
    <row r="3" spans="1:15" ht="21" customHeight="1">
      <c r="A3" s="853" t="s">
        <v>190</v>
      </c>
      <c r="B3" s="853"/>
      <c r="C3" s="853"/>
      <c r="D3" s="853"/>
      <c r="E3" s="853"/>
      <c r="F3" s="853"/>
      <c r="G3" s="853"/>
      <c r="H3" s="853"/>
      <c r="I3" s="853"/>
      <c r="J3" s="853"/>
      <c r="K3" s="853"/>
      <c r="L3" s="853"/>
      <c r="M3" s="853"/>
      <c r="N3" s="853"/>
      <c r="O3" s="854"/>
    </row>
    <row r="4" spans="1:15" ht="24" customHeight="1" thickBot="1">
      <c r="A4" s="855" t="s">
        <v>332</v>
      </c>
      <c r="B4" s="855"/>
      <c r="C4" s="855"/>
      <c r="D4" s="855"/>
      <c r="E4" s="855"/>
      <c r="F4" s="855"/>
      <c r="G4" s="855"/>
      <c r="H4" s="855"/>
      <c r="I4" s="855"/>
      <c r="J4" s="855"/>
      <c r="K4" s="855"/>
      <c r="L4" s="855"/>
      <c r="M4" s="855"/>
      <c r="N4" s="855"/>
      <c r="O4" s="856"/>
    </row>
    <row r="5" spans="1:15" ht="14.25" customHeight="1" thickBot="1">
      <c r="A5" s="93"/>
      <c r="B5" s="527"/>
      <c r="C5" s="85"/>
      <c r="D5" s="528"/>
      <c r="E5" s="529"/>
      <c r="F5" s="83"/>
      <c r="G5" s="530"/>
      <c r="H5" s="528"/>
      <c r="I5" s="85"/>
      <c r="J5" s="857"/>
      <c r="K5" s="857"/>
      <c r="L5" s="536"/>
      <c r="M5" s="530"/>
      <c r="N5" s="537"/>
      <c r="O5" s="412"/>
    </row>
    <row r="6" spans="1:15" ht="51.75" customHeight="1">
      <c r="A6" s="138"/>
      <c r="B6" s="539" t="s">
        <v>197</v>
      </c>
      <c r="C6" s="92"/>
      <c r="D6" s="138"/>
      <c r="E6" s="541" t="s">
        <v>133</v>
      </c>
      <c r="F6" s="92"/>
      <c r="G6" s="138"/>
      <c r="H6" s="542" t="s">
        <v>134</v>
      </c>
      <c r="I6" s="92"/>
      <c r="J6" s="543"/>
      <c r="K6" s="542" t="s">
        <v>145</v>
      </c>
      <c r="L6" s="531"/>
      <c r="M6" s="138"/>
      <c r="N6" s="545" t="s">
        <v>331</v>
      </c>
      <c r="O6" s="235"/>
    </row>
    <row r="7" spans="1:15" ht="40.5" customHeight="1" thickBot="1">
      <c r="A7" s="140"/>
      <c r="B7" s="540">
        <f>SUM(E13:E15)</f>
        <v>64</v>
      </c>
      <c r="C7" s="92"/>
      <c r="D7" s="140"/>
      <c r="E7" s="540">
        <f>E13</f>
        <v>16</v>
      </c>
      <c r="F7" s="92"/>
      <c r="G7" s="140"/>
      <c r="H7" s="540">
        <v>10</v>
      </c>
      <c r="I7" s="92"/>
      <c r="J7" s="544"/>
      <c r="K7" s="540">
        <f>E15</f>
        <v>38</v>
      </c>
      <c r="L7" s="535"/>
      <c r="M7" s="140"/>
      <c r="N7" s="540">
        <f>F25</f>
        <v>20</v>
      </c>
      <c r="O7" s="412"/>
    </row>
    <row r="8" spans="1:15" ht="21" customHeight="1" thickBot="1">
      <c r="A8" s="109"/>
      <c r="B8" s="109"/>
      <c r="C8" s="93"/>
      <c r="D8" s="109"/>
      <c r="E8" s="109"/>
      <c r="F8" s="93"/>
      <c r="G8" s="107"/>
      <c r="H8" s="847"/>
      <c r="I8" s="848"/>
      <c r="J8" s="847"/>
      <c r="K8" s="847"/>
      <c r="L8" s="847"/>
      <c r="M8" s="847"/>
      <c r="N8" s="538"/>
      <c r="O8" s="412"/>
    </row>
    <row r="9" spans="1:15" ht="15" customHeight="1">
      <c r="A9" s="550" t="s">
        <v>192</v>
      </c>
      <c r="B9" s="858" t="s">
        <v>193</v>
      </c>
      <c r="C9" s="859"/>
      <c r="D9" s="859"/>
      <c r="E9" s="862" t="s">
        <v>129</v>
      </c>
      <c r="F9" s="83"/>
      <c r="G9" s="86"/>
      <c r="H9" s="509"/>
      <c r="I9" s="514"/>
      <c r="J9" s="514"/>
      <c r="K9" s="514"/>
      <c r="L9" s="514"/>
      <c r="M9" s="514"/>
      <c r="N9" s="514"/>
      <c r="O9" s="235"/>
    </row>
    <row r="10" spans="1:15" ht="16.5" customHeight="1" thickBot="1">
      <c r="A10" s="551"/>
      <c r="B10" s="860"/>
      <c r="C10" s="861"/>
      <c r="D10" s="861"/>
      <c r="E10" s="863"/>
      <c r="F10" s="83"/>
      <c r="G10" s="85"/>
      <c r="H10" s="85"/>
      <c r="I10" s="512"/>
      <c r="J10" s="512"/>
      <c r="K10" s="512"/>
      <c r="L10" s="512"/>
      <c r="M10" s="512"/>
      <c r="N10" s="512"/>
      <c r="O10" s="412"/>
    </row>
    <row r="11" spans="1:15" ht="15.75" customHeight="1">
      <c r="A11" s="551"/>
      <c r="B11" s="864" t="s">
        <v>194</v>
      </c>
      <c r="C11" s="866" t="s">
        <v>195</v>
      </c>
      <c r="D11" s="868" t="s">
        <v>196</v>
      </c>
      <c r="E11" s="863"/>
      <c r="F11" s="83"/>
      <c r="G11" s="85"/>
      <c r="H11" s="85"/>
      <c r="I11" s="512"/>
      <c r="J11" s="512"/>
      <c r="K11" s="512"/>
      <c r="L11" s="512"/>
      <c r="M11" s="512"/>
      <c r="N11" s="512"/>
      <c r="O11" s="412"/>
    </row>
    <row r="12" spans="1:15" ht="38.25" customHeight="1">
      <c r="A12" s="552"/>
      <c r="B12" s="865"/>
      <c r="C12" s="867"/>
      <c r="D12" s="868"/>
      <c r="E12" s="863"/>
      <c r="F12" s="83"/>
      <c r="G12" s="85"/>
      <c r="H12" s="85"/>
      <c r="I12" s="512"/>
      <c r="J12" s="512"/>
      <c r="K12" s="512"/>
      <c r="L12" s="512"/>
      <c r="M12" s="512"/>
      <c r="N12" s="512"/>
      <c r="O12" s="235"/>
    </row>
    <row r="13" spans="1:15" ht="21">
      <c r="A13" s="518" t="s">
        <v>133</v>
      </c>
      <c r="B13" s="517">
        <v>2</v>
      </c>
      <c r="C13" s="517">
        <v>14</v>
      </c>
      <c r="D13" s="517">
        <v>0</v>
      </c>
      <c r="E13" s="519">
        <f>SUM(B13:D13)</f>
        <v>16</v>
      </c>
      <c r="F13" s="83"/>
      <c r="G13" s="85"/>
      <c r="H13" s="85"/>
      <c r="I13" s="85"/>
      <c r="J13" s="515"/>
      <c r="K13" s="85"/>
      <c r="L13" s="85"/>
      <c r="M13" s="85"/>
      <c r="N13" s="85"/>
      <c r="O13" s="412"/>
    </row>
    <row r="14" spans="1:15" ht="21">
      <c r="A14" s="518" t="s">
        <v>134</v>
      </c>
      <c r="B14" s="517">
        <v>0</v>
      </c>
      <c r="C14" s="517">
        <v>10</v>
      </c>
      <c r="D14" s="517">
        <v>0</v>
      </c>
      <c r="E14" s="519">
        <f>SUM(B14:D14)</f>
        <v>10</v>
      </c>
      <c r="F14" s="83"/>
      <c r="G14" s="85"/>
      <c r="H14" s="85"/>
      <c r="I14" s="512"/>
      <c r="J14" s="512"/>
      <c r="K14" s="512"/>
      <c r="L14" s="512"/>
      <c r="M14" s="512"/>
      <c r="N14" s="512"/>
      <c r="O14" s="235"/>
    </row>
    <row r="15" spans="1:15" ht="21.75" thickBot="1">
      <c r="A15" s="520" t="s">
        <v>145</v>
      </c>
      <c r="B15" s="521">
        <v>0</v>
      </c>
      <c r="C15" s="521">
        <v>38</v>
      </c>
      <c r="D15" s="522">
        <v>0</v>
      </c>
      <c r="E15" s="523">
        <f>SUM(B15:D15)</f>
        <v>38</v>
      </c>
      <c r="F15" s="83"/>
      <c r="G15" s="85"/>
      <c r="H15" s="85"/>
      <c r="I15" s="512"/>
      <c r="J15" s="512"/>
      <c r="K15" s="512"/>
      <c r="L15" s="512"/>
      <c r="M15" s="512"/>
      <c r="N15" s="512"/>
      <c r="O15" s="235"/>
    </row>
    <row r="16" spans="1:15" ht="106.5" customHeight="1" thickBot="1">
      <c r="A16" s="511"/>
      <c r="B16" s="512"/>
      <c r="C16" s="85"/>
      <c r="D16" s="85"/>
      <c r="E16" s="92"/>
      <c r="F16" s="85"/>
      <c r="G16" s="108"/>
      <c r="H16" s="403"/>
      <c r="I16" s="403"/>
      <c r="J16" s="419"/>
      <c r="K16" s="84"/>
      <c r="L16" s="84"/>
      <c r="M16" s="84"/>
      <c r="N16" s="107"/>
      <c r="O16" s="168"/>
    </row>
    <row r="17" spans="1:15" ht="27" customHeight="1" thickBot="1">
      <c r="A17" s="511"/>
      <c r="B17" s="512"/>
      <c r="C17" s="85"/>
      <c r="D17" s="85"/>
      <c r="E17" s="92"/>
      <c r="F17" s="85"/>
      <c r="H17" s="871" t="s">
        <v>199</v>
      </c>
      <c r="I17" s="872"/>
      <c r="J17" s="873"/>
      <c r="K17" s="230"/>
      <c r="L17" s="230"/>
      <c r="M17" s="230"/>
      <c r="N17" s="85"/>
      <c r="O17" s="168"/>
    </row>
    <row r="18" spans="1:15" ht="15.75" customHeight="1" thickBot="1">
      <c r="A18" s="511"/>
      <c r="B18" s="512"/>
      <c r="C18" s="85"/>
      <c r="D18" s="85"/>
      <c r="E18" s="92"/>
      <c r="F18" s="85"/>
      <c r="G18" s="83"/>
      <c r="H18" s="400"/>
      <c r="I18" s="400"/>
      <c r="J18" s="400"/>
      <c r="K18" s="230"/>
      <c r="L18" s="230"/>
      <c r="M18" s="230"/>
      <c r="N18" s="85"/>
      <c r="O18" s="168"/>
    </row>
    <row r="19" spans="1:15" ht="24" customHeight="1" thickBot="1">
      <c r="A19" s="553"/>
      <c r="B19" s="554"/>
      <c r="C19" s="509"/>
      <c r="D19" s="85"/>
      <c r="E19" s="83"/>
      <c r="F19" s="108"/>
      <c r="G19" s="83"/>
      <c r="H19" s="196"/>
      <c r="I19" s="563" t="s">
        <v>327</v>
      </c>
      <c r="J19" s="547"/>
      <c r="K19" s="548"/>
      <c r="L19" s="395"/>
      <c r="M19" s="395"/>
      <c r="N19" s="107"/>
      <c r="O19" s="168"/>
    </row>
    <row r="20" spans="1:15" ht="29.25" customHeight="1" thickBot="1">
      <c r="A20" s="555" t="s">
        <v>194</v>
      </c>
      <c r="B20" s="554" t="s">
        <v>329</v>
      </c>
      <c r="C20" s="514" t="s">
        <v>330</v>
      </c>
      <c r="D20" s="85"/>
      <c r="E20" s="86"/>
      <c r="F20" s="86"/>
      <c r="H20" s="578" t="s">
        <v>90</v>
      </c>
      <c r="I20" s="562" t="s">
        <v>328</v>
      </c>
      <c r="J20" s="579" t="s">
        <v>91</v>
      </c>
      <c r="K20" s="549" t="s">
        <v>92</v>
      </c>
      <c r="L20" s="83"/>
      <c r="M20" s="85"/>
      <c r="N20" s="408"/>
      <c r="O20" s="168"/>
    </row>
    <row r="21" spans="1:15" ht="22.5" customHeight="1">
      <c r="A21" s="514">
        <f>SUM(B13:B15)</f>
        <v>2</v>
      </c>
      <c r="B21" s="556">
        <f>SUM(C13:C15)</f>
        <v>62</v>
      </c>
      <c r="C21" s="514">
        <f>SUM(D13:D15)</f>
        <v>0</v>
      </c>
      <c r="D21" s="85"/>
      <c r="E21" s="85"/>
      <c r="F21" s="85"/>
      <c r="G21" s="81"/>
      <c r="H21" s="564"/>
      <c r="I21" s="581"/>
      <c r="J21" s="557"/>
      <c r="K21" s="565"/>
      <c r="L21" s="83"/>
      <c r="M21" s="85"/>
      <c r="N21" s="83"/>
      <c r="O21" s="168"/>
    </row>
    <row r="22" spans="1:15" ht="25.5" customHeight="1" thickBot="1">
      <c r="A22" s="109"/>
      <c r="B22" s="109"/>
      <c r="C22" s="109"/>
      <c r="D22" s="109"/>
      <c r="E22" s="109"/>
      <c r="F22" s="109"/>
      <c r="G22" s="81"/>
      <c r="H22" s="566"/>
      <c r="I22" s="582"/>
      <c r="J22" s="558"/>
      <c r="K22" s="567"/>
      <c r="L22" s="532"/>
      <c r="M22" s="85"/>
      <c r="N22" s="83"/>
      <c r="O22" s="168"/>
    </row>
    <row r="23" spans="1:15" ht="27.75" customHeight="1" thickBot="1">
      <c r="A23" s="874" t="s">
        <v>200</v>
      </c>
      <c r="B23" s="878" t="s">
        <v>201</v>
      </c>
      <c r="C23" s="879"/>
      <c r="D23" s="879"/>
      <c r="E23" s="880"/>
      <c r="F23" s="876" t="s">
        <v>129</v>
      </c>
      <c r="G23" s="81"/>
      <c r="H23" s="566"/>
      <c r="I23" s="583"/>
      <c r="J23" s="559"/>
      <c r="K23" s="567"/>
      <c r="L23" s="533"/>
      <c r="M23" s="85"/>
      <c r="N23" s="83"/>
      <c r="O23" s="168"/>
    </row>
    <row r="24" spans="1:15" ht="42" customHeight="1" thickBot="1">
      <c r="A24" s="875"/>
      <c r="B24" s="881" t="s">
        <v>202</v>
      </c>
      <c r="C24" s="882"/>
      <c r="D24" s="524" t="s">
        <v>203</v>
      </c>
      <c r="E24" s="546" t="s">
        <v>204</v>
      </c>
      <c r="F24" s="877"/>
      <c r="G24" s="81"/>
      <c r="H24" s="566"/>
      <c r="I24" s="583"/>
      <c r="J24" s="559"/>
      <c r="K24" s="568"/>
      <c r="L24" s="533"/>
      <c r="M24" s="85"/>
      <c r="N24" s="83"/>
      <c r="O24" s="168"/>
    </row>
    <row r="25" spans="1:15" ht="24.75" customHeight="1">
      <c r="A25" s="516" t="s">
        <v>135</v>
      </c>
      <c r="B25" s="869">
        <v>4</v>
      </c>
      <c r="C25" s="869"/>
      <c r="D25" s="526">
        <v>16</v>
      </c>
      <c r="E25" s="526">
        <v>4</v>
      </c>
      <c r="F25" s="525">
        <f>SUM(B25:D25)</f>
        <v>20</v>
      </c>
      <c r="G25" s="81"/>
      <c r="H25" s="569"/>
      <c r="I25" s="584"/>
      <c r="J25" s="560"/>
      <c r="K25" s="570"/>
      <c r="L25" s="534"/>
      <c r="M25" s="85"/>
      <c r="N25" s="83"/>
      <c r="O25" s="168"/>
    </row>
    <row r="26" spans="1:15" ht="31.5" customHeight="1">
      <c r="B26" s="507"/>
      <c r="C26" s="507"/>
      <c r="F26" s="508"/>
      <c r="G26" s="106"/>
      <c r="H26" s="569"/>
      <c r="I26" s="584"/>
      <c r="J26" s="560"/>
      <c r="K26" s="570"/>
      <c r="L26" s="534"/>
      <c r="M26" s="85"/>
      <c r="N26" s="83"/>
      <c r="O26" s="168"/>
    </row>
    <row r="27" spans="1:15" ht="27" customHeight="1">
      <c r="A27" s="870"/>
      <c r="B27" s="870"/>
      <c r="C27" s="870"/>
      <c r="D27" s="870"/>
      <c r="E27" s="510"/>
      <c r="F27" s="513"/>
      <c r="G27" s="92"/>
      <c r="H27" s="571"/>
      <c r="I27" s="584"/>
      <c r="J27" s="560"/>
      <c r="K27" s="570"/>
      <c r="L27" s="534"/>
      <c r="M27" s="85"/>
      <c r="N27" s="83"/>
      <c r="O27" s="168"/>
    </row>
    <row r="28" spans="1:15" ht="23.25" customHeight="1">
      <c r="A28" s="85"/>
      <c r="B28" s="85"/>
      <c r="C28" s="85"/>
      <c r="D28" s="85"/>
      <c r="E28" s="85"/>
      <c r="F28" s="85"/>
      <c r="G28" s="92"/>
      <c r="H28" s="571"/>
      <c r="I28" s="584"/>
      <c r="J28" s="560"/>
      <c r="K28" s="570"/>
      <c r="L28" s="534"/>
      <c r="M28" s="85"/>
      <c r="N28" s="108"/>
      <c r="O28" s="168"/>
    </row>
    <row r="29" spans="1:15" ht="29.25" customHeight="1">
      <c r="A29" s="511"/>
      <c r="B29" s="512"/>
      <c r="C29" s="85"/>
      <c r="D29" s="85"/>
      <c r="E29" s="85"/>
      <c r="F29" s="85"/>
      <c r="H29" s="571"/>
      <c r="I29" s="584"/>
      <c r="J29" s="560"/>
      <c r="K29" s="570"/>
      <c r="L29" s="534"/>
      <c r="M29" s="85"/>
      <c r="N29" s="83"/>
      <c r="O29" s="168"/>
    </row>
    <row r="30" spans="1:15" ht="24.75" customHeight="1">
      <c r="A30" s="511"/>
      <c r="B30" s="512"/>
      <c r="C30" s="85"/>
      <c r="D30" s="85"/>
      <c r="E30" s="85"/>
      <c r="F30" s="85"/>
      <c r="G30" s="81"/>
      <c r="H30" s="571"/>
      <c r="I30" s="584"/>
      <c r="J30" s="560"/>
      <c r="K30" s="570"/>
      <c r="L30" s="534"/>
      <c r="M30" s="85"/>
      <c r="N30" s="83"/>
      <c r="O30" s="168"/>
    </row>
    <row r="31" spans="1:15" ht="24" customHeight="1">
      <c r="A31" s="511"/>
      <c r="B31" s="512"/>
      <c r="C31" s="85"/>
      <c r="D31" s="85"/>
      <c r="E31" s="85"/>
      <c r="F31" s="85"/>
      <c r="G31" s="81"/>
      <c r="H31" s="572"/>
      <c r="I31" s="583"/>
      <c r="J31" s="559"/>
      <c r="K31" s="568"/>
      <c r="L31" s="534"/>
      <c r="M31" s="85"/>
      <c r="N31" s="83"/>
      <c r="O31" s="168"/>
    </row>
    <row r="32" spans="1:15" ht="27.75" customHeight="1">
      <c r="A32" s="511"/>
      <c r="B32" s="512"/>
      <c r="C32" s="85"/>
      <c r="D32" s="85"/>
      <c r="E32" s="85"/>
      <c r="F32" s="85"/>
      <c r="G32" s="81"/>
      <c r="H32" s="572"/>
      <c r="I32" s="583"/>
      <c r="J32" s="559"/>
      <c r="K32" s="568"/>
      <c r="L32" s="534"/>
      <c r="M32" s="85"/>
      <c r="N32" s="83"/>
      <c r="O32" s="168"/>
    </row>
    <row r="33" spans="1:15" ht="22.5" customHeight="1">
      <c r="A33" s="511"/>
      <c r="B33" s="512"/>
      <c r="C33" s="85"/>
      <c r="D33" s="85"/>
      <c r="E33" s="85"/>
      <c r="F33" s="85"/>
      <c r="G33" s="81"/>
      <c r="H33" s="573"/>
      <c r="I33" s="585"/>
      <c r="J33" s="561"/>
      <c r="K33" s="574"/>
      <c r="L33" s="534"/>
      <c r="M33" s="85"/>
      <c r="N33" s="83"/>
      <c r="O33" s="168"/>
    </row>
    <row r="34" spans="1:15" ht="21" customHeight="1">
      <c r="A34" s="511"/>
      <c r="B34" s="512"/>
      <c r="C34" s="85"/>
      <c r="D34" s="85"/>
      <c r="E34" s="85"/>
      <c r="F34" s="85"/>
      <c r="G34" s="81"/>
      <c r="H34" s="573"/>
      <c r="I34" s="585"/>
      <c r="J34" s="561"/>
      <c r="K34" s="574"/>
      <c r="L34" s="534"/>
      <c r="M34" s="85"/>
      <c r="N34" s="83"/>
      <c r="O34" s="168"/>
    </row>
    <row r="35" spans="1:15" ht="21" customHeight="1">
      <c r="A35" s="511"/>
      <c r="B35" s="512"/>
      <c r="C35" s="85"/>
      <c r="D35" s="85"/>
      <c r="E35" s="85"/>
      <c r="F35" s="85"/>
      <c r="G35" s="92"/>
      <c r="H35" s="572"/>
      <c r="I35" s="583"/>
      <c r="J35" s="559"/>
      <c r="K35" s="568"/>
      <c r="L35" s="534"/>
      <c r="M35" s="85"/>
      <c r="N35" s="83"/>
      <c r="O35" s="168"/>
    </row>
    <row r="36" spans="1:15" ht="24" customHeight="1">
      <c r="A36" s="511"/>
      <c r="B36" s="512"/>
      <c r="C36" s="85"/>
      <c r="D36" s="85"/>
      <c r="E36" s="85"/>
      <c r="F36" s="85"/>
      <c r="H36" s="575"/>
      <c r="I36" s="584"/>
      <c r="J36" s="560"/>
      <c r="K36" s="574"/>
      <c r="L36" s="534"/>
      <c r="M36" s="85"/>
      <c r="N36" s="83"/>
      <c r="O36" s="168"/>
    </row>
    <row r="37" spans="1:15" ht="22.5" customHeight="1" thickBot="1">
      <c r="A37" s="511"/>
      <c r="B37" s="512"/>
      <c r="C37" s="85"/>
      <c r="D37" s="85"/>
      <c r="E37" s="85"/>
      <c r="F37" s="85"/>
      <c r="G37" s="81"/>
      <c r="H37" s="576"/>
      <c r="I37" s="586"/>
      <c r="J37" s="580"/>
      <c r="K37" s="577"/>
      <c r="L37" s="534"/>
      <c r="M37" s="85"/>
      <c r="N37" s="83"/>
      <c r="O37" s="168"/>
    </row>
  </sheetData>
  <mergeCells count="18">
    <mergeCell ref="B25:C25"/>
    <mergeCell ref="A27:D27"/>
    <mergeCell ref="H17:J17"/>
    <mergeCell ref="A23:A24"/>
    <mergeCell ref="F23:F24"/>
    <mergeCell ref="B23:E23"/>
    <mergeCell ref="B24:C24"/>
    <mergeCell ref="B9:D10"/>
    <mergeCell ref="E9:E12"/>
    <mergeCell ref="B11:B12"/>
    <mergeCell ref="C11:C12"/>
    <mergeCell ref="D11:D12"/>
    <mergeCell ref="H8:M8"/>
    <mergeCell ref="A1:O1"/>
    <mergeCell ref="A2:O2"/>
    <mergeCell ref="A3:O3"/>
    <mergeCell ref="A4:O4"/>
    <mergeCell ref="J5:K5"/>
  </mergeCells>
  <printOptions horizontalCentered="1"/>
  <pageMargins left="0" right="0" top="0" bottom="0" header="0" footer="0"/>
  <pageSetup paperSize="5" scale="6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16" t="s">
        <v>0</v>
      </c>
      <c r="B1" s="917"/>
      <c r="C1" s="917"/>
      <c r="D1" s="917"/>
      <c r="E1" s="917"/>
      <c r="F1" s="917"/>
      <c r="G1" s="917"/>
      <c r="H1" s="917"/>
      <c r="I1" s="917"/>
      <c r="J1" s="917"/>
      <c r="K1" s="917"/>
      <c r="L1" s="917"/>
      <c r="M1" s="917"/>
      <c r="N1" s="917"/>
      <c r="O1" s="917"/>
      <c r="P1" s="917"/>
      <c r="Q1" s="917"/>
      <c r="R1" s="917"/>
      <c r="S1" s="917"/>
      <c r="T1" s="917"/>
      <c r="U1" s="917"/>
      <c r="V1" s="917"/>
      <c r="W1" s="917"/>
      <c r="X1" s="917"/>
      <c r="Y1" s="917"/>
      <c r="Z1" s="917"/>
      <c r="AA1" s="917"/>
      <c r="AB1" s="917"/>
      <c r="AC1" s="917"/>
      <c r="AD1" s="917"/>
      <c r="AE1" s="917"/>
      <c r="AF1" s="917"/>
      <c r="AG1" s="917"/>
      <c r="AH1" s="917"/>
      <c r="AI1" s="918"/>
    </row>
    <row r="2" spans="1:36" ht="4.5" customHeight="1" thickBot="1">
      <c r="A2" s="936"/>
      <c r="B2" s="851"/>
      <c r="C2" s="851"/>
      <c r="D2" s="851"/>
      <c r="E2" s="851"/>
      <c r="F2" s="851"/>
      <c r="G2" s="851"/>
      <c r="H2" s="851"/>
      <c r="I2" s="851"/>
      <c r="J2" s="851"/>
      <c r="K2" s="851"/>
      <c r="L2" s="851"/>
      <c r="M2" s="851"/>
      <c r="N2" s="851"/>
      <c r="O2" s="851"/>
      <c r="P2" s="851"/>
      <c r="Q2" s="851"/>
      <c r="R2" s="851"/>
      <c r="S2" s="851"/>
      <c r="T2" s="851"/>
      <c r="U2" s="851"/>
      <c r="V2" s="851"/>
      <c r="W2" s="851"/>
      <c r="X2" s="851"/>
      <c r="Y2" s="851"/>
      <c r="Z2" s="851"/>
      <c r="AA2" s="851"/>
      <c r="AB2" s="851"/>
      <c r="AC2" s="851"/>
      <c r="AD2" s="851"/>
      <c r="AE2" s="851"/>
      <c r="AF2" s="851"/>
      <c r="AG2" s="851"/>
      <c r="AH2" s="851"/>
      <c r="AI2" s="852"/>
    </row>
    <row r="3" spans="1:36" ht="15.75">
      <c r="A3" s="952" t="s">
        <v>190</v>
      </c>
      <c r="B3" s="953"/>
      <c r="C3" s="953"/>
      <c r="D3" s="953"/>
      <c r="E3" s="953"/>
      <c r="F3" s="953"/>
      <c r="G3" s="953"/>
      <c r="H3" s="953"/>
      <c r="I3" s="953"/>
      <c r="J3" s="953"/>
      <c r="K3" s="953"/>
      <c r="L3" s="953"/>
      <c r="M3" s="953"/>
      <c r="N3" s="953"/>
      <c r="O3" s="953"/>
      <c r="P3" s="953"/>
      <c r="Q3" s="953"/>
      <c r="R3" s="953"/>
      <c r="S3" s="953"/>
      <c r="T3" s="953"/>
      <c r="U3" s="953"/>
      <c r="V3" s="953"/>
      <c r="W3" s="953"/>
      <c r="X3" s="953"/>
      <c r="Y3" s="953"/>
      <c r="Z3" s="953"/>
      <c r="AA3" s="953"/>
      <c r="AB3" s="953"/>
      <c r="AC3" s="953"/>
      <c r="AD3" s="953"/>
      <c r="AE3" s="953"/>
      <c r="AF3" s="953"/>
      <c r="AG3" s="953"/>
      <c r="AH3" s="953"/>
      <c r="AI3" s="954"/>
      <c r="AJ3" s="101"/>
    </row>
    <row r="4" spans="1:36" ht="19.5" customHeight="1" thickBot="1">
      <c r="A4" s="949" t="s">
        <v>191</v>
      </c>
      <c r="B4" s="950"/>
      <c r="C4" s="950"/>
      <c r="D4" s="950"/>
      <c r="E4" s="950"/>
      <c r="F4" s="950"/>
      <c r="G4" s="950"/>
      <c r="H4" s="950"/>
      <c r="I4" s="950"/>
      <c r="J4" s="950"/>
      <c r="K4" s="950"/>
      <c r="L4" s="950"/>
      <c r="M4" s="950"/>
      <c r="N4" s="950"/>
      <c r="O4" s="950"/>
      <c r="P4" s="950"/>
      <c r="Q4" s="950"/>
      <c r="R4" s="950"/>
      <c r="S4" s="950"/>
      <c r="T4" s="950"/>
      <c r="U4" s="950"/>
      <c r="V4" s="950"/>
      <c r="W4" s="950"/>
      <c r="X4" s="950"/>
      <c r="Y4" s="950"/>
      <c r="Z4" s="950"/>
      <c r="AA4" s="950"/>
      <c r="AB4" s="950"/>
      <c r="AC4" s="950"/>
      <c r="AD4" s="950"/>
      <c r="AE4" s="950"/>
      <c r="AF4" s="950"/>
      <c r="AG4" s="950"/>
      <c r="AH4" s="950"/>
      <c r="AI4" s="951"/>
    </row>
    <row r="5" spans="1:36" ht="11.25" customHeight="1" thickBot="1">
      <c r="A5" s="233"/>
      <c r="B5" s="107"/>
      <c r="D5" s="361"/>
      <c r="E5" s="361"/>
      <c r="F5" s="361"/>
      <c r="G5" s="361"/>
      <c r="H5" s="90"/>
      <c r="I5" s="363"/>
      <c r="J5" s="364"/>
      <c r="L5" s="363"/>
      <c r="M5" s="107"/>
      <c r="N5" s="364"/>
      <c r="P5" s="363"/>
      <c r="Q5" s="363"/>
      <c r="R5" s="363"/>
      <c r="S5" s="107"/>
      <c r="U5" s="363"/>
      <c r="V5" s="363"/>
      <c r="W5" s="364"/>
      <c r="X5" s="364"/>
      <c r="Y5" s="364"/>
      <c r="Z5" s="364"/>
      <c r="AA5" s="109"/>
      <c r="AB5" s="109"/>
      <c r="AC5" s="109"/>
      <c r="AD5" s="109"/>
      <c r="AE5" s="107"/>
      <c r="AF5" s="364"/>
      <c r="AH5" s="90"/>
      <c r="AI5" s="411"/>
    </row>
    <row r="6" spans="1:36" ht="9.75" customHeight="1">
      <c r="A6" s="139"/>
      <c r="C6" s="154"/>
      <c r="D6" s="127"/>
      <c r="E6" s="964" t="s">
        <v>197</v>
      </c>
      <c r="F6" s="965"/>
      <c r="G6" s="966"/>
      <c r="H6" s="362"/>
      <c r="I6" s="232"/>
      <c r="J6" s="937" t="s">
        <v>133</v>
      </c>
      <c r="K6" s="938"/>
      <c r="L6" s="939"/>
      <c r="M6" s="365"/>
      <c r="N6" s="232"/>
      <c r="O6" s="368"/>
      <c r="P6" s="368"/>
      <c r="Q6" s="958" t="s">
        <v>134</v>
      </c>
      <c r="R6" s="959"/>
      <c r="S6" s="366"/>
      <c r="T6" s="232"/>
      <c r="U6" s="368"/>
      <c r="V6" s="368"/>
      <c r="W6" s="937" t="s">
        <v>145</v>
      </c>
      <c r="X6" s="938"/>
      <c r="Y6" s="938"/>
      <c r="Z6" s="939"/>
      <c r="AA6" s="404"/>
      <c r="AB6" s="232"/>
      <c r="AC6" s="368"/>
      <c r="AD6" s="930" t="s">
        <v>135</v>
      </c>
      <c r="AE6" s="931"/>
      <c r="AF6" s="932"/>
      <c r="AG6" s="139"/>
      <c r="AH6" s="392"/>
      <c r="AI6" s="412"/>
    </row>
    <row r="7" spans="1:36" ht="15.75" customHeight="1">
      <c r="A7" s="139"/>
      <c r="B7" s="103"/>
      <c r="C7" s="24"/>
      <c r="E7" s="967"/>
      <c r="F7" s="968"/>
      <c r="G7" s="969"/>
      <c r="H7" s="362"/>
      <c r="I7" s="236"/>
      <c r="J7" s="955"/>
      <c r="K7" s="956"/>
      <c r="L7" s="957"/>
      <c r="M7" s="365"/>
      <c r="N7" s="236"/>
      <c r="O7" s="360"/>
      <c r="P7" s="367"/>
      <c r="Q7" s="825"/>
      <c r="R7" s="960"/>
      <c r="S7" s="366"/>
      <c r="T7" s="236"/>
      <c r="U7" s="360"/>
      <c r="V7" s="367"/>
      <c r="W7" s="940"/>
      <c r="X7" s="941"/>
      <c r="Y7" s="941"/>
      <c r="Z7" s="942"/>
      <c r="AA7" s="404"/>
      <c r="AB7" s="236"/>
      <c r="AC7" s="360"/>
      <c r="AD7" s="933"/>
      <c r="AE7" s="934"/>
      <c r="AF7" s="935"/>
      <c r="AG7" s="139"/>
      <c r="AH7" s="392"/>
      <c r="AI7" s="412"/>
    </row>
    <row r="8" spans="1:36" ht="12.75" customHeight="1">
      <c r="A8" s="139"/>
      <c r="B8" s="369"/>
      <c r="C8" s="209"/>
      <c r="E8" s="943">
        <v>64</v>
      </c>
      <c r="F8" s="944"/>
      <c r="G8" s="970"/>
      <c r="H8" s="155"/>
      <c r="I8" s="139"/>
      <c r="J8" s="82"/>
      <c r="K8" s="974">
        <v>16</v>
      </c>
      <c r="L8" s="975"/>
      <c r="M8" s="365"/>
      <c r="N8" s="139"/>
      <c r="O8" s="82"/>
      <c r="P8" s="943">
        <v>10</v>
      </c>
      <c r="Q8" s="944"/>
      <c r="R8" s="945"/>
      <c r="S8" s="366"/>
      <c r="T8" s="139"/>
      <c r="U8" s="82"/>
      <c r="V8" s="943">
        <v>38</v>
      </c>
      <c r="W8" s="944"/>
      <c r="X8" s="944"/>
      <c r="Y8" s="944"/>
      <c r="Z8" s="945"/>
      <c r="AA8" s="405"/>
      <c r="AB8" s="139"/>
      <c r="AC8" s="82"/>
      <c r="AD8" s="943">
        <v>20</v>
      </c>
      <c r="AE8" s="944"/>
      <c r="AF8" s="945"/>
      <c r="AG8" s="139"/>
      <c r="AH8" s="393"/>
      <c r="AI8" s="235"/>
    </row>
    <row r="9" spans="1:36" ht="13.5" customHeight="1" thickBot="1">
      <c r="A9" s="233"/>
      <c r="B9" s="103"/>
      <c r="C9" s="147"/>
      <c r="D9" s="358"/>
      <c r="E9" s="971"/>
      <c r="F9" s="972"/>
      <c r="G9" s="973"/>
      <c r="I9" s="140"/>
      <c r="J9" s="359"/>
      <c r="K9" s="976"/>
      <c r="L9" s="977"/>
      <c r="M9" s="366"/>
      <c r="N9" s="140"/>
      <c r="O9" s="359"/>
      <c r="P9" s="946"/>
      <c r="Q9" s="947"/>
      <c r="R9" s="948"/>
      <c r="S9" s="366"/>
      <c r="T9" s="140"/>
      <c r="U9" s="359"/>
      <c r="V9" s="946"/>
      <c r="W9" s="947"/>
      <c r="X9" s="947"/>
      <c r="Y9" s="947"/>
      <c r="Z9" s="948"/>
      <c r="AA9" s="405"/>
      <c r="AB9" s="140"/>
      <c r="AC9" s="359"/>
      <c r="AD9" s="946"/>
      <c r="AE9" s="947"/>
      <c r="AF9" s="948"/>
      <c r="AG9" s="406"/>
      <c r="AH9" s="393"/>
      <c r="AI9" s="168"/>
    </row>
    <row r="10" spans="1:36" ht="13.5" customHeight="1" thickBot="1">
      <c r="A10" s="139"/>
      <c r="B10" s="106"/>
      <c r="C10" s="110"/>
      <c r="D10" s="109"/>
      <c r="E10" s="441"/>
      <c r="F10" s="441"/>
      <c r="G10" s="441"/>
      <c r="H10" s="85"/>
      <c r="I10" s="167"/>
      <c r="K10" s="440"/>
      <c r="L10" s="440"/>
      <c r="M10" s="83"/>
      <c r="N10" s="439"/>
      <c r="O10" s="167"/>
      <c r="P10" s="437"/>
      <c r="Q10" s="435"/>
      <c r="R10" s="445"/>
      <c r="S10" s="106"/>
      <c r="T10" s="418"/>
      <c r="U10" s="371"/>
      <c r="V10" s="446"/>
      <c r="W10" s="435"/>
      <c r="X10" s="445"/>
      <c r="Y10" s="446"/>
      <c r="Z10" s="446"/>
      <c r="AA10" s="436"/>
      <c r="AB10" s="371"/>
      <c r="AD10" s="446"/>
      <c r="AE10" s="446"/>
      <c r="AF10" s="435"/>
      <c r="AG10" s="93"/>
      <c r="AH10" s="447"/>
      <c r="AI10" s="168"/>
    </row>
    <row r="11" spans="1:36" ht="26.25" customHeight="1" thickBot="1">
      <c r="A11" s="305"/>
      <c r="B11" s="151"/>
      <c r="C11" s="151"/>
      <c r="D11" s="151"/>
      <c r="E11" s="358"/>
      <c r="F11" s="151"/>
      <c r="G11" s="358"/>
      <c r="H11" s="151"/>
      <c r="I11" s="358"/>
      <c r="J11" s="151"/>
      <c r="K11" s="151"/>
      <c r="L11" s="151"/>
      <c r="M11" s="151"/>
      <c r="N11" s="151"/>
      <c r="O11" s="85"/>
      <c r="Q11" s="883" t="s">
        <v>205</v>
      </c>
      <c r="R11" s="884"/>
      <c r="S11" s="884"/>
      <c r="T11" s="884"/>
      <c r="U11" s="884"/>
      <c r="V11" s="884"/>
      <c r="W11" s="884"/>
      <c r="X11" s="884"/>
      <c r="Y11" s="884"/>
      <c r="Z11" s="884"/>
      <c r="AA11" s="884"/>
      <c r="AB11" s="884"/>
      <c r="AC11" s="884"/>
      <c r="AD11" s="884"/>
      <c r="AE11" s="884"/>
      <c r="AF11" s="444">
        <v>2025</v>
      </c>
      <c r="AG11" s="455"/>
      <c r="AH11" s="438"/>
      <c r="AI11" s="412"/>
    </row>
    <row r="12" spans="1:36" ht="15" customHeight="1">
      <c r="A12" s="413"/>
      <c r="B12" s="897" t="s">
        <v>192</v>
      </c>
      <c r="C12" s="898"/>
      <c r="D12" s="898"/>
      <c r="E12" s="899"/>
      <c r="F12" s="887" t="s">
        <v>193</v>
      </c>
      <c r="G12" s="888"/>
      <c r="H12" s="888"/>
      <c r="I12" s="888"/>
      <c r="J12" s="888"/>
      <c r="K12" s="888"/>
      <c r="L12" s="888"/>
      <c r="M12" s="887" t="s">
        <v>129</v>
      </c>
      <c r="N12" s="891"/>
      <c r="O12" s="372"/>
      <c r="P12" s="82"/>
      <c r="Q12" s="442"/>
      <c r="R12" s="443"/>
      <c r="S12" s="433">
        <v>0</v>
      </c>
      <c r="T12" s="434">
        <v>1</v>
      </c>
      <c r="U12" s="434">
        <v>2</v>
      </c>
      <c r="V12" s="433">
        <v>3</v>
      </c>
      <c r="W12" s="434">
        <v>4</v>
      </c>
      <c r="X12" s="434">
        <v>5</v>
      </c>
      <c r="Y12" s="433">
        <v>6</v>
      </c>
      <c r="Z12" s="434">
        <v>7</v>
      </c>
      <c r="AA12" s="434">
        <v>8</v>
      </c>
      <c r="AB12" s="433">
        <v>9</v>
      </c>
      <c r="AC12" s="434">
        <v>10</v>
      </c>
      <c r="AD12" s="434">
        <v>11</v>
      </c>
      <c r="AE12" s="433">
        <v>12</v>
      </c>
      <c r="AF12" s="451">
        <v>13</v>
      </c>
      <c r="AG12" s="420"/>
      <c r="AH12" s="456"/>
      <c r="AI12" s="235"/>
    </row>
    <row r="13" spans="1:36" ht="15.75" customHeight="1" thickBot="1">
      <c r="A13" s="233"/>
      <c r="B13" s="900"/>
      <c r="C13" s="901"/>
      <c r="D13" s="901"/>
      <c r="E13" s="902"/>
      <c r="F13" s="889"/>
      <c r="G13" s="890"/>
      <c r="H13" s="890"/>
      <c r="I13" s="890"/>
      <c r="J13" s="890"/>
      <c r="K13" s="890"/>
      <c r="L13" s="890"/>
      <c r="M13" s="892"/>
      <c r="N13" s="893"/>
      <c r="O13" s="372"/>
      <c r="P13" s="82"/>
      <c r="Q13" s="427"/>
      <c r="R13" s="417"/>
      <c r="S13" s="432">
        <f>IF(INT($J$18*14/64 - S$12) = 0,$J$18, INT($J$18*14/64 - S$12))</f>
        <v>5</v>
      </c>
      <c r="T13" s="432">
        <f t="shared" ref="T13:AF13" si="0">IF(INT($J$18*14/64 - T$12) = 0,$J$18, INT($J$18*14/64 - T$12))</f>
        <v>4</v>
      </c>
      <c r="U13" s="432">
        <f t="shared" si="0"/>
        <v>3</v>
      </c>
      <c r="V13" s="432">
        <f t="shared" si="0"/>
        <v>2</v>
      </c>
      <c r="W13" s="432">
        <f t="shared" si="0"/>
        <v>1</v>
      </c>
      <c r="X13" s="432">
        <f t="shared" si="0"/>
        <v>25</v>
      </c>
      <c r="Y13" s="432">
        <f t="shared" si="0"/>
        <v>-1</v>
      </c>
      <c r="Z13" s="432">
        <f t="shared" si="0"/>
        <v>-2</v>
      </c>
      <c r="AA13" s="432">
        <f t="shared" si="0"/>
        <v>-3</v>
      </c>
      <c r="AB13" s="432">
        <f t="shared" si="0"/>
        <v>-4</v>
      </c>
      <c r="AC13" s="432">
        <f t="shared" si="0"/>
        <v>-5</v>
      </c>
      <c r="AD13" s="432">
        <f t="shared" si="0"/>
        <v>-6</v>
      </c>
      <c r="AE13" s="432">
        <f t="shared" si="0"/>
        <v>-7</v>
      </c>
      <c r="AF13" s="450">
        <f t="shared" si="0"/>
        <v>-8</v>
      </c>
      <c r="AG13" s="417"/>
      <c r="AH13" s="456"/>
      <c r="AI13" s="412"/>
    </row>
    <row r="14" spans="1:36" ht="13.5" customHeight="1">
      <c r="A14" s="413"/>
      <c r="B14" s="900"/>
      <c r="C14" s="901"/>
      <c r="D14" s="901"/>
      <c r="E14" s="902"/>
      <c r="F14" s="906" t="s">
        <v>194</v>
      </c>
      <c r="G14" s="907"/>
      <c r="H14" s="910" t="s">
        <v>195</v>
      </c>
      <c r="I14" s="911"/>
      <c r="J14" s="914" t="s">
        <v>196</v>
      </c>
      <c r="K14" s="915"/>
      <c r="L14" s="915"/>
      <c r="M14" s="892"/>
      <c r="N14" s="893"/>
      <c r="O14" s="372"/>
      <c r="P14" s="82"/>
      <c r="Q14" s="427"/>
      <c r="R14" s="421" t="s">
        <v>145</v>
      </c>
      <c r="S14" s="430">
        <f>IF(INT($H$18*14/64 - S$12) = 0,$H$18, INT($H$18*14/64 - S$12))</f>
        <v>8</v>
      </c>
      <c r="T14" s="430">
        <f t="shared" ref="T14:AF14" si="1">IF(INT($H$18*14/64 - T$12) = 0,$H$18, INT($H$18*14/64 - T$12))</f>
        <v>7</v>
      </c>
      <c r="U14" s="430">
        <f t="shared" si="1"/>
        <v>6</v>
      </c>
      <c r="V14" s="430">
        <f t="shared" si="1"/>
        <v>5</v>
      </c>
      <c r="W14" s="430">
        <f t="shared" si="1"/>
        <v>4</v>
      </c>
      <c r="X14" s="430">
        <f t="shared" si="1"/>
        <v>3</v>
      </c>
      <c r="Y14" s="430">
        <f t="shared" si="1"/>
        <v>2</v>
      </c>
      <c r="Z14" s="430">
        <f t="shared" si="1"/>
        <v>1</v>
      </c>
      <c r="AA14" s="430">
        <f t="shared" si="1"/>
        <v>38</v>
      </c>
      <c r="AB14" s="430">
        <f t="shared" si="1"/>
        <v>-1</v>
      </c>
      <c r="AC14" s="430">
        <f t="shared" si="1"/>
        <v>-2</v>
      </c>
      <c r="AD14" s="430">
        <f t="shared" si="1"/>
        <v>-3</v>
      </c>
      <c r="AE14" s="430">
        <f t="shared" si="1"/>
        <v>-4</v>
      </c>
      <c r="AF14" s="430">
        <f t="shared" si="1"/>
        <v>-5</v>
      </c>
      <c r="AG14" s="417"/>
      <c r="AH14" s="456"/>
      <c r="AI14" s="412"/>
    </row>
    <row r="15" spans="1:36" ht="15" customHeight="1">
      <c r="A15" s="413"/>
      <c r="B15" s="903"/>
      <c r="C15" s="904"/>
      <c r="D15" s="904"/>
      <c r="E15" s="905"/>
      <c r="F15" s="908"/>
      <c r="G15" s="909"/>
      <c r="H15" s="912"/>
      <c r="I15" s="913"/>
      <c r="J15" s="914"/>
      <c r="K15" s="915"/>
      <c r="L15" s="915"/>
      <c r="M15" s="892"/>
      <c r="N15" s="893"/>
      <c r="P15" s="82"/>
      <c r="Q15" s="427"/>
      <c r="R15" s="417"/>
      <c r="S15" s="432">
        <f>IF(INT($F$18*14/64 - S$12) = 0,$F$18, INT($F$18*14/64 - S$12))</f>
        <v>2</v>
      </c>
      <c r="T15" s="432">
        <f t="shared" ref="T15:AF15" si="2">IF(INT($F$18*14/64 - T$12) = 0,$F$18, INT($F$18*14/64 - T$12))</f>
        <v>1</v>
      </c>
      <c r="U15" s="432">
        <f t="shared" si="2"/>
        <v>10</v>
      </c>
      <c r="V15" s="432">
        <f t="shared" si="2"/>
        <v>-1</v>
      </c>
      <c r="W15" s="432">
        <f t="shared" si="2"/>
        <v>-2</v>
      </c>
      <c r="X15" s="432">
        <f t="shared" si="2"/>
        <v>-3</v>
      </c>
      <c r="Y15" s="432">
        <f t="shared" si="2"/>
        <v>-4</v>
      </c>
      <c r="Z15" s="432">
        <f t="shared" si="2"/>
        <v>-5</v>
      </c>
      <c r="AA15" s="432">
        <f t="shared" si="2"/>
        <v>-6</v>
      </c>
      <c r="AB15" s="432">
        <f t="shared" si="2"/>
        <v>-7</v>
      </c>
      <c r="AC15" s="432">
        <f t="shared" si="2"/>
        <v>-8</v>
      </c>
      <c r="AD15" s="432">
        <f t="shared" si="2"/>
        <v>-9</v>
      </c>
      <c r="AE15" s="432">
        <f t="shared" si="2"/>
        <v>-10</v>
      </c>
      <c r="AF15" s="450">
        <f t="shared" si="2"/>
        <v>-11</v>
      </c>
      <c r="AG15" s="417"/>
      <c r="AH15" s="456"/>
      <c r="AI15" s="235"/>
    </row>
    <row r="16" spans="1:36" ht="15.75">
      <c r="A16" s="233"/>
      <c r="B16" s="894" t="s">
        <v>133</v>
      </c>
      <c r="C16" s="895"/>
      <c r="D16" s="895"/>
      <c r="E16" s="895"/>
      <c r="F16" s="801">
        <v>2</v>
      </c>
      <c r="G16" s="801"/>
      <c r="H16" s="801">
        <v>14</v>
      </c>
      <c r="I16" s="801"/>
      <c r="J16" s="801">
        <v>0</v>
      </c>
      <c r="K16" s="801"/>
      <c r="L16" s="801"/>
      <c r="M16" s="801">
        <v>16</v>
      </c>
      <c r="N16" s="896"/>
      <c r="O16" s="372"/>
      <c r="P16" s="82"/>
      <c r="Q16" s="427"/>
      <c r="R16" s="417"/>
      <c r="S16" s="422"/>
      <c r="T16" s="417"/>
      <c r="U16" s="417"/>
      <c r="V16" s="417"/>
      <c r="W16" s="423"/>
      <c r="X16" s="417"/>
      <c r="Y16" s="417"/>
      <c r="Z16" s="417"/>
      <c r="AA16" s="417"/>
      <c r="AB16" s="417"/>
      <c r="AC16" s="417"/>
      <c r="AD16" s="417"/>
      <c r="AE16" s="417"/>
      <c r="AF16" s="449"/>
      <c r="AG16" s="417"/>
      <c r="AH16" s="456"/>
      <c r="AI16" s="412"/>
    </row>
    <row r="17" spans="1:36" ht="15.75">
      <c r="A17" s="413"/>
      <c r="B17" s="894" t="s">
        <v>134</v>
      </c>
      <c r="C17" s="895"/>
      <c r="D17" s="895"/>
      <c r="E17" s="895"/>
      <c r="F17" s="801">
        <v>0</v>
      </c>
      <c r="G17" s="801"/>
      <c r="H17" s="801">
        <v>10</v>
      </c>
      <c r="I17" s="801"/>
      <c r="J17" s="801">
        <v>0</v>
      </c>
      <c r="K17" s="801"/>
      <c r="L17" s="801"/>
      <c r="M17" s="801">
        <v>10</v>
      </c>
      <c r="N17" s="896"/>
      <c r="O17" s="119"/>
      <c r="P17" s="82"/>
      <c r="Q17" s="424"/>
      <c r="R17" s="429"/>
      <c r="S17" s="432">
        <f>IF(INT($J$17*14/64 - S$12) = 0,$J$17, INT($J$17*14/64 - S$12))</f>
        <v>0</v>
      </c>
      <c r="T17" s="432">
        <f t="shared" ref="T17:AF17" si="3">IF(INT($J$17*14/64 - T$12) = 0,$J$17, INT($J$17*14/64 - T$12))</f>
        <v>-1</v>
      </c>
      <c r="U17" s="432">
        <f t="shared" si="3"/>
        <v>-2</v>
      </c>
      <c r="V17" s="432">
        <f t="shared" si="3"/>
        <v>-3</v>
      </c>
      <c r="W17" s="432">
        <f t="shared" si="3"/>
        <v>-4</v>
      </c>
      <c r="X17" s="432">
        <f t="shared" si="3"/>
        <v>-5</v>
      </c>
      <c r="Y17" s="432">
        <f t="shared" si="3"/>
        <v>-6</v>
      </c>
      <c r="Z17" s="432">
        <f t="shared" si="3"/>
        <v>-7</v>
      </c>
      <c r="AA17" s="432">
        <f t="shared" si="3"/>
        <v>-8</v>
      </c>
      <c r="AB17" s="432">
        <f t="shared" si="3"/>
        <v>-9</v>
      </c>
      <c r="AC17" s="432">
        <f t="shared" si="3"/>
        <v>-10</v>
      </c>
      <c r="AD17" s="432">
        <f t="shared" si="3"/>
        <v>-11</v>
      </c>
      <c r="AE17" s="432">
        <f t="shared" si="3"/>
        <v>-12</v>
      </c>
      <c r="AF17" s="450">
        <f t="shared" si="3"/>
        <v>-13</v>
      </c>
      <c r="AG17" s="417"/>
      <c r="AH17" s="456"/>
      <c r="AI17" s="235"/>
    </row>
    <row r="18" spans="1:36" ht="16.5" thickBot="1">
      <c r="A18" s="233"/>
      <c r="B18" s="978" t="s">
        <v>145</v>
      </c>
      <c r="C18" s="979"/>
      <c r="D18" s="979"/>
      <c r="E18" s="979"/>
      <c r="F18" s="885">
        <v>10</v>
      </c>
      <c r="G18" s="885"/>
      <c r="H18" s="885">
        <v>38</v>
      </c>
      <c r="I18" s="885"/>
      <c r="J18" s="961">
        <v>25</v>
      </c>
      <c r="K18" s="962"/>
      <c r="L18" s="963"/>
      <c r="M18" s="885">
        <v>38</v>
      </c>
      <c r="N18" s="886"/>
      <c r="O18" s="158"/>
      <c r="P18" s="84"/>
      <c r="Q18" s="427"/>
      <c r="R18" s="428" t="s">
        <v>134</v>
      </c>
      <c r="S18" s="430">
        <f>IF(INT($H$17*14/64 - S$12) = 0,$H$17, INT($H$17*14/64 - S$12))</f>
        <v>2</v>
      </c>
      <c r="T18" s="430">
        <f t="shared" ref="T18:AF18" si="4">IF(INT($H$17*14/64 - T$12) = 0,$H$17, INT($H$17*14/64 - T$12))</f>
        <v>1</v>
      </c>
      <c r="U18" s="430">
        <f t="shared" si="4"/>
        <v>10</v>
      </c>
      <c r="V18" s="430">
        <f t="shared" si="4"/>
        <v>-1</v>
      </c>
      <c r="W18" s="430">
        <f t="shared" si="4"/>
        <v>-2</v>
      </c>
      <c r="X18" s="430">
        <f t="shared" si="4"/>
        <v>-3</v>
      </c>
      <c r="Y18" s="430">
        <f t="shared" si="4"/>
        <v>-4</v>
      </c>
      <c r="Z18" s="430">
        <f t="shared" si="4"/>
        <v>-5</v>
      </c>
      <c r="AA18" s="430">
        <f t="shared" si="4"/>
        <v>-6</v>
      </c>
      <c r="AB18" s="430">
        <f t="shared" si="4"/>
        <v>-7</v>
      </c>
      <c r="AC18" s="430">
        <f t="shared" si="4"/>
        <v>-8</v>
      </c>
      <c r="AD18" s="430">
        <f t="shared" si="4"/>
        <v>-9</v>
      </c>
      <c r="AE18" s="430">
        <f t="shared" si="4"/>
        <v>-10</v>
      </c>
      <c r="AF18" s="430">
        <f t="shared" si="4"/>
        <v>-11</v>
      </c>
      <c r="AG18" s="417"/>
      <c r="AH18" s="456"/>
      <c r="AI18" s="235"/>
    </row>
    <row r="19" spans="1:36" ht="14.25" customHeight="1">
      <c r="A19" s="236"/>
      <c r="B19" s="128"/>
      <c r="C19" s="370"/>
      <c r="D19" s="370"/>
      <c r="E19" s="370"/>
      <c r="F19" s="110"/>
      <c r="G19" s="110"/>
      <c r="I19" s="370"/>
      <c r="J19" s="110"/>
      <c r="K19" s="370"/>
      <c r="L19" s="370"/>
      <c r="M19" s="110"/>
      <c r="N19" s="127"/>
      <c r="O19" s="85"/>
      <c r="P19" s="82"/>
      <c r="Q19" s="427"/>
      <c r="R19" s="11"/>
      <c r="S19" s="432">
        <f>IF(INT($F$17*14/64 - S$12) = 0,$F$17, INT($F$17*14/64 - S$12))</f>
        <v>0</v>
      </c>
      <c r="T19" s="432">
        <f t="shared" ref="T19:AF19" si="5">IF(INT($F$17*14/64 - T$12) = 0,$F$17, INT($F$17*14/64 - T$12))</f>
        <v>-1</v>
      </c>
      <c r="U19" s="432">
        <f t="shared" si="5"/>
        <v>-2</v>
      </c>
      <c r="V19" s="432">
        <f t="shared" si="5"/>
        <v>-3</v>
      </c>
      <c r="W19" s="432">
        <f t="shared" si="5"/>
        <v>-4</v>
      </c>
      <c r="X19" s="432">
        <f t="shared" si="5"/>
        <v>-5</v>
      </c>
      <c r="Y19" s="432">
        <f t="shared" si="5"/>
        <v>-6</v>
      </c>
      <c r="Z19" s="432">
        <f t="shared" si="5"/>
        <v>-7</v>
      </c>
      <c r="AA19" s="432">
        <f t="shared" si="5"/>
        <v>-8</v>
      </c>
      <c r="AB19" s="432">
        <f t="shared" si="5"/>
        <v>-9</v>
      </c>
      <c r="AC19" s="432">
        <f t="shared" si="5"/>
        <v>-10</v>
      </c>
      <c r="AD19" s="432">
        <f t="shared" si="5"/>
        <v>-11</v>
      </c>
      <c r="AE19" s="432">
        <f t="shared" si="5"/>
        <v>-12</v>
      </c>
      <c r="AF19" s="450">
        <f t="shared" si="5"/>
        <v>-13</v>
      </c>
      <c r="AG19" s="417"/>
      <c r="AH19" s="456"/>
      <c r="AI19" s="412"/>
    </row>
    <row r="20" spans="1:36">
      <c r="A20" s="233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3"/>
      <c r="P20" s="82"/>
      <c r="Q20" s="424"/>
      <c r="R20" s="11"/>
      <c r="S20" s="417"/>
      <c r="T20" s="417"/>
      <c r="U20" s="417"/>
      <c r="V20" s="417"/>
      <c r="W20" s="417"/>
      <c r="X20" s="417"/>
      <c r="Y20" s="417"/>
      <c r="Z20" s="417"/>
      <c r="AA20" s="417"/>
      <c r="AB20" s="417"/>
      <c r="AC20" s="417"/>
      <c r="AD20" s="417"/>
      <c r="AE20" s="417"/>
      <c r="AF20" s="449"/>
      <c r="AG20" s="417"/>
      <c r="AH20" s="456"/>
      <c r="AI20" s="414"/>
    </row>
    <row r="21" spans="1:36">
      <c r="A21" s="139"/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6"/>
      <c r="P21" s="106"/>
      <c r="Q21" s="426"/>
      <c r="R21" s="416"/>
      <c r="S21" s="431">
        <f>IF(INT($J$16*14/64 - S$12) = 0,$J$16, INT($J$16*14/64 - S$12))</f>
        <v>0</v>
      </c>
      <c r="T21" s="431">
        <f t="shared" ref="T21:AF21" si="6">IF(INT($J$16*14/64 - T$12) = 0,$J$16, INT($J$16*14/64 - T$12))</f>
        <v>-1</v>
      </c>
      <c r="U21" s="431">
        <f t="shared" si="6"/>
        <v>-2</v>
      </c>
      <c r="V21" s="431">
        <f t="shared" si="6"/>
        <v>-3</v>
      </c>
      <c r="W21" s="431">
        <f t="shared" si="6"/>
        <v>-4</v>
      </c>
      <c r="X21" s="431">
        <f t="shared" si="6"/>
        <v>-5</v>
      </c>
      <c r="Y21" s="431">
        <f t="shared" si="6"/>
        <v>-6</v>
      </c>
      <c r="Z21" s="431">
        <f t="shared" si="6"/>
        <v>-7</v>
      </c>
      <c r="AA21" s="431">
        <f t="shared" si="6"/>
        <v>-8</v>
      </c>
      <c r="AB21" s="431">
        <f t="shared" si="6"/>
        <v>-9</v>
      </c>
      <c r="AC21" s="431">
        <f t="shared" si="6"/>
        <v>-10</v>
      </c>
      <c r="AD21" s="431">
        <f t="shared" si="6"/>
        <v>-11</v>
      </c>
      <c r="AE21" s="431">
        <f t="shared" si="6"/>
        <v>-12</v>
      </c>
      <c r="AF21" s="452">
        <f t="shared" si="6"/>
        <v>-13</v>
      </c>
      <c r="AG21" s="417"/>
      <c r="AH21" s="456"/>
      <c r="AI21" s="357"/>
    </row>
    <row r="22" spans="1:36" ht="15.75">
      <c r="A22" s="306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3"/>
      <c r="P22" s="82"/>
      <c r="Q22" s="427"/>
      <c r="R22" s="428" t="s">
        <v>133</v>
      </c>
      <c r="S22" s="430">
        <f>IF(INT($H$16*14/64 - S$12) = 0,$H$16, INT($H$16*14/64 - S$12))</f>
        <v>3</v>
      </c>
      <c r="T22" s="430">
        <f t="shared" ref="T22:AF22" si="7">IF(INT($H$16*14/64 - T$12) = 0,$H$16, INT($H$16*14/64 - T$12))</f>
        <v>2</v>
      </c>
      <c r="U22" s="430">
        <f t="shared" si="7"/>
        <v>1</v>
      </c>
      <c r="V22" s="430">
        <f t="shared" si="7"/>
        <v>14</v>
      </c>
      <c r="W22" s="430">
        <f t="shared" si="7"/>
        <v>-1</v>
      </c>
      <c r="X22" s="430">
        <f t="shared" si="7"/>
        <v>-2</v>
      </c>
      <c r="Y22" s="430">
        <f t="shared" si="7"/>
        <v>-3</v>
      </c>
      <c r="Z22" s="430">
        <f t="shared" si="7"/>
        <v>-4</v>
      </c>
      <c r="AA22" s="430">
        <f t="shared" si="7"/>
        <v>-5</v>
      </c>
      <c r="AB22" s="430">
        <f t="shared" si="7"/>
        <v>-6</v>
      </c>
      <c r="AC22" s="430">
        <f t="shared" si="7"/>
        <v>-7</v>
      </c>
      <c r="AD22" s="430">
        <f t="shared" si="7"/>
        <v>-8</v>
      </c>
      <c r="AE22" s="430">
        <f t="shared" si="7"/>
        <v>-9</v>
      </c>
      <c r="AF22" s="430">
        <f t="shared" si="7"/>
        <v>-10</v>
      </c>
      <c r="AG22" s="417"/>
      <c r="AH22" s="456"/>
      <c r="AI22" s="235"/>
    </row>
    <row r="23" spans="1:36" ht="15.75">
      <c r="A23" s="139"/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3"/>
      <c r="P23" s="82"/>
      <c r="Q23" s="427"/>
      <c r="R23" s="417"/>
      <c r="S23" s="432">
        <f>IF(INT($F$16*14/64 - S$12) = 0,$F$16, INT($F$16*14/64 - S$12))</f>
        <v>2</v>
      </c>
      <c r="T23" s="432">
        <f t="shared" ref="T23:AF23" si="8">IF(INT($F$16*14/64 - T$12) = 0,$F$16, INT($F$16*14/64 - T$12))</f>
        <v>-1</v>
      </c>
      <c r="U23" s="432">
        <f t="shared" si="8"/>
        <v>-2</v>
      </c>
      <c r="V23" s="432">
        <f t="shared" si="8"/>
        <v>-3</v>
      </c>
      <c r="W23" s="432">
        <f t="shared" si="8"/>
        <v>-4</v>
      </c>
      <c r="X23" s="432">
        <f t="shared" si="8"/>
        <v>-5</v>
      </c>
      <c r="Y23" s="432">
        <f t="shared" si="8"/>
        <v>-6</v>
      </c>
      <c r="Z23" s="432">
        <f t="shared" si="8"/>
        <v>-7</v>
      </c>
      <c r="AA23" s="432">
        <f t="shared" si="8"/>
        <v>-8</v>
      </c>
      <c r="AB23" s="432">
        <f t="shared" si="8"/>
        <v>-9</v>
      </c>
      <c r="AC23" s="432">
        <f t="shared" si="8"/>
        <v>-10</v>
      </c>
      <c r="AD23" s="432">
        <f t="shared" si="8"/>
        <v>-11</v>
      </c>
      <c r="AE23" s="432">
        <f t="shared" si="8"/>
        <v>-12</v>
      </c>
      <c r="AF23" s="432">
        <f t="shared" si="8"/>
        <v>-13</v>
      </c>
      <c r="AG23" s="417"/>
      <c r="AH23" s="456"/>
      <c r="AI23" s="235"/>
    </row>
    <row r="24" spans="1:36">
      <c r="A24" s="139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3"/>
      <c r="P24" s="106"/>
      <c r="Q24" s="427"/>
      <c r="R24" s="417"/>
      <c r="S24" s="454"/>
      <c r="T24" s="454"/>
      <c r="U24" s="454"/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22"/>
      <c r="AG24" s="417"/>
      <c r="AH24" s="456"/>
      <c r="AI24" s="412"/>
    </row>
    <row r="25" spans="1:36" ht="15.75" thickBot="1">
      <c r="A25" s="139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108"/>
      <c r="P25" s="106"/>
      <c r="Q25" s="448"/>
      <c r="R25" s="425"/>
      <c r="S25" s="425"/>
      <c r="T25" s="425"/>
      <c r="U25" s="425"/>
      <c r="V25" s="425"/>
      <c r="W25" s="425"/>
      <c r="X25" s="425"/>
      <c r="Y25" s="425"/>
      <c r="Z25" s="425"/>
      <c r="AA25" s="425"/>
      <c r="AB25" s="425"/>
      <c r="AC25" s="425"/>
      <c r="AD25" s="425"/>
      <c r="AE25" s="425"/>
      <c r="AF25" s="453"/>
      <c r="AG25" s="457"/>
      <c r="AH25" s="458"/>
      <c r="AI25" s="412"/>
    </row>
    <row r="26" spans="1:36" ht="11.25" customHeight="1" thickBot="1">
      <c r="A26" s="139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108"/>
      <c r="P26" s="85"/>
      <c r="Q26" s="403"/>
      <c r="S26" s="403"/>
      <c r="T26" s="403"/>
      <c r="U26" s="403"/>
      <c r="V26" s="403"/>
      <c r="W26" s="419"/>
      <c r="X26" s="107"/>
      <c r="Z26" s="84"/>
      <c r="AA26" s="84"/>
      <c r="AB26" s="84"/>
      <c r="AC26" s="84"/>
      <c r="AD26" s="84"/>
      <c r="AE26" s="84"/>
      <c r="AF26" s="107"/>
      <c r="AG26" s="107"/>
      <c r="AH26" s="107"/>
      <c r="AI26" s="168"/>
    </row>
    <row r="27" spans="1:36" ht="24" customHeight="1" thickBot="1">
      <c r="A27" s="233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P27" s="398"/>
      <c r="Q27" s="919" t="s">
        <v>199</v>
      </c>
      <c r="R27" s="920"/>
      <c r="S27" s="920"/>
      <c r="T27" s="920"/>
      <c r="U27" s="920"/>
      <c r="V27" s="920"/>
      <c r="W27" s="921"/>
      <c r="X27" s="402"/>
      <c r="Y27" s="394"/>
      <c r="Z27" s="230"/>
      <c r="AA27" s="230"/>
      <c r="AB27" s="230"/>
      <c r="AC27" s="230"/>
      <c r="AD27" s="230"/>
      <c r="AE27" s="85"/>
      <c r="AF27" s="85"/>
      <c r="AG27" s="85"/>
      <c r="AH27" s="85"/>
      <c r="AI27" s="168"/>
    </row>
    <row r="28" spans="1:36" ht="10.5" customHeight="1" thickBot="1">
      <c r="A28" s="139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3"/>
      <c r="P28" s="106"/>
      <c r="Q28" s="400"/>
      <c r="R28" s="401"/>
      <c r="S28" s="399"/>
      <c r="T28" s="400"/>
      <c r="U28" s="229"/>
      <c r="V28" s="400"/>
      <c r="W28" s="400"/>
      <c r="X28" s="230"/>
      <c r="Y28" s="230"/>
      <c r="Z28" s="230"/>
      <c r="AA28" s="230"/>
      <c r="AB28" s="230"/>
      <c r="AC28" s="230"/>
      <c r="AD28" s="230"/>
      <c r="AE28" s="85"/>
      <c r="AF28" s="85"/>
      <c r="AG28" s="85"/>
      <c r="AH28" s="85"/>
      <c r="AI28" s="168"/>
      <c r="AJ28" s="407"/>
    </row>
    <row r="29" spans="1:36" ht="15.75" thickBot="1">
      <c r="A29" s="287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3"/>
      <c r="P29" s="85"/>
      <c r="Q29" s="395"/>
      <c r="R29" s="196"/>
      <c r="S29" s="196"/>
      <c r="T29" s="924" t="s">
        <v>198</v>
      </c>
      <c r="U29" s="925"/>
      <c r="V29" s="926"/>
      <c r="W29" s="408"/>
      <c r="X29" s="395"/>
      <c r="Y29" s="196"/>
      <c r="Z29" s="395"/>
      <c r="AA29" s="229"/>
      <c r="AB29" s="196"/>
      <c r="AC29" s="395"/>
      <c r="AD29" s="229"/>
      <c r="AE29" s="395"/>
      <c r="AF29" s="107"/>
      <c r="AG29" s="107"/>
      <c r="AH29" s="85"/>
      <c r="AI29" s="168"/>
    </row>
    <row r="30" spans="1:36" ht="33" customHeight="1" thickBot="1">
      <c r="A30" s="236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91"/>
      <c r="Q30" s="922" t="s">
        <v>90</v>
      </c>
      <c r="R30" s="923"/>
      <c r="S30" s="923"/>
      <c r="T30" s="927"/>
      <c r="U30" s="928"/>
      <c r="V30" s="929"/>
      <c r="W30" s="922" t="s">
        <v>91</v>
      </c>
      <c r="X30" s="923"/>
      <c r="Y30" s="923"/>
      <c r="Z30" s="1002" t="s">
        <v>92</v>
      </c>
      <c r="AA30" s="923"/>
      <c r="AB30" s="1011"/>
      <c r="AC30" s="1002" t="s">
        <v>93</v>
      </c>
      <c r="AD30" s="923"/>
      <c r="AE30" s="1003"/>
      <c r="AF30" s="396"/>
      <c r="AG30" s="230"/>
      <c r="AH30" s="85"/>
      <c r="AI30" s="168"/>
    </row>
    <row r="31" spans="1:36" ht="15" customHeight="1">
      <c r="A31" s="233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6"/>
      <c r="P31" s="106"/>
      <c r="Q31" s="1049"/>
      <c r="R31" s="1050"/>
      <c r="S31" s="1051"/>
      <c r="T31" s="1052"/>
      <c r="U31" s="1053"/>
      <c r="V31" s="1054"/>
      <c r="W31" s="1038"/>
      <c r="X31" s="1039"/>
      <c r="Y31" s="1039"/>
      <c r="Z31" s="1004"/>
      <c r="AA31" s="1005"/>
      <c r="AB31" s="1012"/>
      <c r="AC31" s="1004"/>
      <c r="AD31" s="1005"/>
      <c r="AE31" s="1006"/>
      <c r="AF31" s="397"/>
      <c r="AG31" s="85"/>
      <c r="AH31" s="85"/>
      <c r="AI31" s="168"/>
    </row>
    <row r="32" spans="1:36" ht="14.25" customHeight="1" thickBot="1">
      <c r="A32" s="139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86"/>
      <c r="P32" s="82"/>
      <c r="Q32" s="989"/>
      <c r="R32" s="990"/>
      <c r="S32" s="991"/>
      <c r="T32" s="999"/>
      <c r="U32" s="1000"/>
      <c r="V32" s="1001"/>
      <c r="W32" s="997"/>
      <c r="X32" s="998"/>
      <c r="Y32" s="998"/>
      <c r="Z32" s="1007"/>
      <c r="AA32" s="1008"/>
      <c r="AB32" s="1013"/>
      <c r="AC32" s="1007"/>
      <c r="AD32" s="1008"/>
      <c r="AE32" s="1009"/>
      <c r="AF32" s="83"/>
      <c r="AG32" s="85"/>
      <c r="AH32" s="85"/>
      <c r="AI32" s="168"/>
    </row>
    <row r="33" spans="1:35" ht="19.5" thickBot="1">
      <c r="A33" s="233"/>
      <c r="B33" s="1018" t="s">
        <v>200</v>
      </c>
      <c r="C33" s="1019"/>
      <c r="D33" s="1019"/>
      <c r="E33" s="1020"/>
      <c r="F33" s="1065" t="s">
        <v>201</v>
      </c>
      <c r="G33" s="1066"/>
      <c r="H33" s="1066"/>
      <c r="I33" s="1066"/>
      <c r="J33" s="1066"/>
      <c r="K33" s="1066"/>
      <c r="L33" s="1067"/>
      <c r="M33" s="1018" t="s">
        <v>129</v>
      </c>
      <c r="N33" s="1020"/>
      <c r="O33" s="81"/>
      <c r="P33" s="106"/>
      <c r="Q33" s="989"/>
      <c r="R33" s="990"/>
      <c r="S33" s="991"/>
      <c r="T33" s="999"/>
      <c r="U33" s="1000"/>
      <c r="V33" s="1001"/>
      <c r="W33" s="997"/>
      <c r="X33" s="998"/>
      <c r="Y33" s="998"/>
      <c r="Z33" s="1007"/>
      <c r="AA33" s="1008"/>
      <c r="AB33" s="1013"/>
      <c r="AC33" s="1007"/>
      <c r="AD33" s="1008"/>
      <c r="AE33" s="1009"/>
      <c r="AF33" s="83"/>
      <c r="AG33" s="85"/>
      <c r="AH33" s="85"/>
      <c r="AI33" s="168"/>
    </row>
    <row r="34" spans="1:35" ht="30.75" customHeight="1" thickBot="1">
      <c r="A34" s="236"/>
      <c r="B34" s="1021"/>
      <c r="C34" s="1022"/>
      <c r="D34" s="1022"/>
      <c r="E34" s="1023"/>
      <c r="F34" s="1024" t="s">
        <v>202</v>
      </c>
      <c r="G34" s="1025"/>
      <c r="H34" s="1026"/>
      <c r="I34" s="1027" t="s">
        <v>203</v>
      </c>
      <c r="J34" s="1028"/>
      <c r="K34" s="1063" t="s">
        <v>204</v>
      </c>
      <c r="L34" s="1064"/>
      <c r="M34" s="1021"/>
      <c r="N34" s="1023"/>
      <c r="O34" s="81"/>
      <c r="P34" s="106"/>
      <c r="Q34" s="989"/>
      <c r="R34" s="990"/>
      <c r="S34" s="991"/>
      <c r="T34" s="999"/>
      <c r="U34" s="1000"/>
      <c r="V34" s="1001"/>
      <c r="W34" s="997"/>
      <c r="X34" s="998"/>
      <c r="Y34" s="998"/>
      <c r="Z34" s="1007"/>
      <c r="AA34" s="1008"/>
      <c r="AB34" s="1013"/>
      <c r="AC34" s="1007"/>
      <c r="AD34" s="1008"/>
      <c r="AE34" s="1009"/>
      <c r="AF34" s="83"/>
      <c r="AG34" s="85"/>
      <c r="AH34" s="85"/>
      <c r="AI34" s="168"/>
    </row>
    <row r="35" spans="1:35" ht="22.5" customHeight="1">
      <c r="A35" s="415"/>
      <c r="B35" s="1037" t="s">
        <v>135</v>
      </c>
      <c r="C35" s="1037"/>
      <c r="D35" s="1037"/>
      <c r="E35" s="1037"/>
      <c r="F35" s="1037">
        <v>4</v>
      </c>
      <c r="G35" s="1037"/>
      <c r="H35" s="1037"/>
      <c r="I35" s="1037">
        <v>10</v>
      </c>
      <c r="J35" s="1037"/>
      <c r="K35" s="1037">
        <v>0</v>
      </c>
      <c r="L35" s="1037"/>
      <c r="M35" s="1037">
        <v>20</v>
      </c>
      <c r="N35" s="1037"/>
      <c r="O35" s="86"/>
      <c r="P35" s="82"/>
      <c r="Q35" s="986"/>
      <c r="R35" s="987"/>
      <c r="S35" s="988"/>
      <c r="T35" s="992"/>
      <c r="U35" s="993"/>
      <c r="V35" s="994"/>
      <c r="W35" s="995"/>
      <c r="X35" s="996"/>
      <c r="Y35" s="996"/>
      <c r="Z35" s="980"/>
      <c r="AA35" s="981"/>
      <c r="AB35" s="1010"/>
      <c r="AC35" s="980"/>
      <c r="AD35" s="981"/>
      <c r="AE35" s="982"/>
      <c r="AF35" s="83"/>
      <c r="AG35" s="85"/>
      <c r="AH35" s="85"/>
      <c r="AI35" s="168"/>
    </row>
    <row r="36" spans="1:35">
      <c r="A36" s="406"/>
      <c r="C36" s="409"/>
      <c r="E36" s="409"/>
      <c r="F36" s="409"/>
      <c r="H36" s="409"/>
      <c r="I36" s="409"/>
      <c r="K36" s="409"/>
      <c r="L36" s="410"/>
      <c r="M36" s="410"/>
      <c r="N36" s="409"/>
      <c r="O36" s="93"/>
      <c r="Q36" s="986"/>
      <c r="R36" s="987"/>
      <c r="S36" s="988"/>
      <c r="T36" s="992"/>
      <c r="U36" s="993"/>
      <c r="V36" s="994"/>
      <c r="W36" s="995"/>
      <c r="X36" s="996"/>
      <c r="Y36" s="996"/>
      <c r="Z36" s="980"/>
      <c r="AA36" s="981"/>
      <c r="AB36" s="1010"/>
      <c r="AC36" s="980"/>
      <c r="AD36" s="981"/>
      <c r="AE36" s="982"/>
      <c r="AF36" s="83"/>
      <c r="AG36" s="85"/>
      <c r="AH36" s="85"/>
      <c r="AI36" s="168"/>
    </row>
    <row r="37" spans="1:35">
      <c r="A37" s="139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3"/>
      <c r="P37" s="82"/>
      <c r="Q37" s="986"/>
      <c r="R37" s="987"/>
      <c r="S37" s="988"/>
      <c r="T37" s="992"/>
      <c r="U37" s="993"/>
      <c r="V37" s="994"/>
      <c r="W37" s="995"/>
      <c r="X37" s="996"/>
      <c r="Y37" s="996"/>
      <c r="Z37" s="980"/>
      <c r="AA37" s="981"/>
      <c r="AB37" s="1010"/>
      <c r="AC37" s="980"/>
      <c r="AD37" s="981"/>
      <c r="AE37" s="982"/>
      <c r="AF37" s="83"/>
      <c r="AG37" s="85"/>
      <c r="AH37" s="85"/>
      <c r="AI37" s="168"/>
    </row>
    <row r="38" spans="1:35">
      <c r="A38" s="139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3"/>
      <c r="P38" s="82"/>
      <c r="Q38" s="986"/>
      <c r="R38" s="987"/>
      <c r="S38" s="988"/>
      <c r="T38" s="992"/>
      <c r="U38" s="993"/>
      <c r="V38" s="994"/>
      <c r="W38" s="995"/>
      <c r="X38" s="996"/>
      <c r="Y38" s="996"/>
      <c r="Z38" s="980"/>
      <c r="AA38" s="981"/>
      <c r="AB38" s="1010"/>
      <c r="AC38" s="980"/>
      <c r="AD38" s="981"/>
      <c r="AE38" s="982"/>
      <c r="AF38" s="108"/>
      <c r="AG38" s="107"/>
      <c r="AH38" s="85"/>
      <c r="AI38" s="168"/>
    </row>
    <row r="39" spans="1:35">
      <c r="A39" s="139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P39" s="82"/>
      <c r="Q39" s="986"/>
      <c r="R39" s="987"/>
      <c r="S39" s="988"/>
      <c r="T39" s="992"/>
      <c r="U39" s="993"/>
      <c r="V39" s="994"/>
      <c r="W39" s="995"/>
      <c r="X39" s="996"/>
      <c r="Y39" s="996"/>
      <c r="Z39" s="980"/>
      <c r="AA39" s="981"/>
      <c r="AB39" s="1010"/>
      <c r="AC39" s="980"/>
      <c r="AD39" s="981"/>
      <c r="AE39" s="982"/>
      <c r="AF39" s="83"/>
      <c r="AG39" s="85"/>
      <c r="AH39" s="85"/>
      <c r="AI39" s="168"/>
    </row>
    <row r="40" spans="1:35">
      <c r="A40" s="139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6"/>
      <c r="P40" s="90"/>
      <c r="Q40" s="986"/>
      <c r="R40" s="987"/>
      <c r="S40" s="988"/>
      <c r="T40" s="992"/>
      <c r="U40" s="993"/>
      <c r="V40" s="994"/>
      <c r="W40" s="995"/>
      <c r="X40" s="996"/>
      <c r="Y40" s="996"/>
      <c r="Z40" s="980"/>
      <c r="AA40" s="981"/>
      <c r="AB40" s="1010"/>
      <c r="AC40" s="980"/>
      <c r="AD40" s="981"/>
      <c r="AE40" s="982"/>
      <c r="AF40" s="83"/>
      <c r="AG40" s="85"/>
      <c r="AH40" s="85"/>
      <c r="AI40" s="168"/>
    </row>
    <row r="41" spans="1:35">
      <c r="A41" s="139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1"/>
      <c r="P41" s="82"/>
      <c r="Q41" s="989"/>
      <c r="R41" s="990"/>
      <c r="S41" s="991"/>
      <c r="T41" s="999"/>
      <c r="U41" s="1000"/>
      <c r="V41" s="1001"/>
      <c r="W41" s="997"/>
      <c r="X41" s="998"/>
      <c r="Y41" s="998"/>
      <c r="Z41" s="1007"/>
      <c r="AA41" s="1008"/>
      <c r="AB41" s="1013"/>
      <c r="AC41" s="1007"/>
      <c r="AD41" s="1008"/>
      <c r="AE41" s="1009"/>
      <c r="AF41" s="83"/>
      <c r="AG41" s="85"/>
      <c r="AH41" s="85"/>
      <c r="AI41" s="168"/>
    </row>
    <row r="42" spans="1:35">
      <c r="A42" s="139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3"/>
      <c r="P42" s="82"/>
      <c r="Q42" s="989"/>
      <c r="R42" s="990"/>
      <c r="S42" s="991"/>
      <c r="T42" s="999"/>
      <c r="U42" s="1000"/>
      <c r="V42" s="1001"/>
      <c r="W42" s="997"/>
      <c r="X42" s="998"/>
      <c r="Y42" s="998"/>
      <c r="Z42" s="1007"/>
      <c r="AA42" s="1008"/>
      <c r="AB42" s="1013"/>
      <c r="AC42" s="1007"/>
      <c r="AD42" s="1008"/>
      <c r="AE42" s="1009"/>
      <c r="AF42" s="83"/>
      <c r="AG42" s="85"/>
      <c r="AH42" s="85"/>
      <c r="AI42" s="168"/>
    </row>
    <row r="43" spans="1:35">
      <c r="A43" s="139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P43" s="82"/>
      <c r="Q43" s="983"/>
      <c r="R43" s="984"/>
      <c r="S43" s="985"/>
      <c r="T43" s="992"/>
      <c r="U43" s="993"/>
      <c r="V43" s="994"/>
      <c r="W43" s="995"/>
      <c r="X43" s="996"/>
      <c r="Y43" s="996"/>
      <c r="Z43" s="980"/>
      <c r="AA43" s="981"/>
      <c r="AB43" s="1010"/>
      <c r="AC43" s="980"/>
      <c r="AD43" s="981"/>
      <c r="AE43" s="982"/>
      <c r="AF43" s="83"/>
      <c r="AG43" s="85"/>
      <c r="AH43" s="85"/>
      <c r="AI43" s="168"/>
    </row>
    <row r="44" spans="1:35">
      <c r="A44" s="139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1"/>
      <c r="P44" s="106"/>
      <c r="Q44" s="983"/>
      <c r="R44" s="984"/>
      <c r="S44" s="985"/>
      <c r="T44" s="992"/>
      <c r="U44" s="993"/>
      <c r="V44" s="994"/>
      <c r="W44" s="995"/>
      <c r="X44" s="996"/>
      <c r="Y44" s="996"/>
      <c r="Z44" s="980"/>
      <c r="AA44" s="981"/>
      <c r="AB44" s="1010"/>
      <c r="AC44" s="980"/>
      <c r="AD44" s="981"/>
      <c r="AE44" s="982"/>
      <c r="AF44" s="83"/>
      <c r="AG44" s="85"/>
      <c r="AH44" s="85"/>
      <c r="AI44" s="168"/>
    </row>
    <row r="45" spans="1:35">
      <c r="A45" s="139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6"/>
      <c r="P45" s="106"/>
      <c r="Q45" s="1058"/>
      <c r="R45" s="1059"/>
      <c r="S45" s="1060"/>
      <c r="T45" s="1046"/>
      <c r="U45" s="1047"/>
      <c r="V45" s="1048"/>
      <c r="W45" s="1035"/>
      <c r="X45" s="1036"/>
      <c r="Y45" s="1036"/>
      <c r="Z45" s="1029"/>
      <c r="AA45" s="1030"/>
      <c r="AB45" s="1034"/>
      <c r="AC45" s="1029"/>
      <c r="AD45" s="1030"/>
      <c r="AE45" s="1031"/>
      <c r="AF45" s="83"/>
      <c r="AG45" s="85"/>
      <c r="AH45" s="85"/>
      <c r="AI45" s="168"/>
    </row>
    <row r="46" spans="1:35">
      <c r="A46" s="139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6"/>
      <c r="P46" s="106"/>
      <c r="Q46" s="1061"/>
      <c r="R46" s="1062"/>
      <c r="S46" s="1062"/>
      <c r="T46" s="1045"/>
      <c r="U46" s="1045"/>
      <c r="V46" s="1045"/>
      <c r="W46" s="1032"/>
      <c r="X46" s="1032"/>
      <c r="Y46" s="1032"/>
      <c r="Z46" s="1032"/>
      <c r="AA46" s="1032"/>
      <c r="AB46" s="1032"/>
      <c r="AC46" s="1032"/>
      <c r="AD46" s="1032"/>
      <c r="AE46" s="1033"/>
      <c r="AF46" s="83"/>
      <c r="AG46" s="85"/>
      <c r="AH46" s="85"/>
      <c r="AI46" s="168"/>
    </row>
    <row r="47" spans="1:35" ht="15.75" thickBot="1">
      <c r="A47" s="139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6"/>
      <c r="P47" s="106"/>
      <c r="Q47" s="1055"/>
      <c r="R47" s="1056"/>
      <c r="S47" s="1057"/>
      <c r="T47" s="1040"/>
      <c r="U47" s="1041"/>
      <c r="V47" s="1042"/>
      <c r="W47" s="1043"/>
      <c r="X47" s="1044"/>
      <c r="Y47" s="1044"/>
      <c r="Z47" s="1014"/>
      <c r="AA47" s="1015"/>
      <c r="AB47" s="1016"/>
      <c r="AC47" s="1014"/>
      <c r="AD47" s="1015"/>
      <c r="AE47" s="1017"/>
      <c r="AF47" s="86"/>
      <c r="AG47" s="93"/>
      <c r="AH47" s="85"/>
      <c r="AI47" s="168"/>
    </row>
    <row r="48" spans="1:35">
      <c r="A48" s="139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85"/>
      <c r="AG48" s="85"/>
      <c r="AH48" s="85"/>
      <c r="AI48" s="168"/>
    </row>
    <row r="49" spans="1:35">
      <c r="A49" s="139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168"/>
    </row>
    <row r="50" spans="1:35" ht="15.75" thickBot="1">
      <c r="A50" s="140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  <c r="AF50" s="169"/>
      <c r="AG50" s="169"/>
      <c r="AH50" s="169"/>
      <c r="AI50" s="141"/>
    </row>
    <row r="51" spans="1:35">
      <c r="A51" s="107"/>
      <c r="B51" s="107"/>
      <c r="C51" s="107"/>
      <c r="D51" s="107"/>
      <c r="E51" s="107"/>
      <c r="F51" s="107"/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</row>
    <row r="52" spans="1:35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</row>
    <row r="53" spans="1:35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</row>
    <row r="54" spans="1:35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</row>
    <row r="55" spans="1:3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9" t="s">
        <v>166</v>
      </c>
      <c r="B2" s="239" t="s">
        <v>167</v>
      </c>
      <c r="C2" s="239" t="s">
        <v>168</v>
      </c>
      <c r="D2" s="239" t="s">
        <v>169</v>
      </c>
    </row>
    <row r="3" spans="1:4" ht="24" customHeight="1">
      <c r="A3" s="346">
        <v>45646</v>
      </c>
      <c r="B3" s="461" t="s">
        <v>438</v>
      </c>
      <c r="C3" s="347">
        <v>2</v>
      </c>
      <c r="D3" s="347">
        <v>0</v>
      </c>
    </row>
    <row r="4" spans="1:4" ht="27.75" customHeight="1">
      <c r="A4" s="346">
        <v>45660</v>
      </c>
      <c r="B4" s="461" t="s">
        <v>439</v>
      </c>
      <c r="C4" s="347">
        <v>-1</v>
      </c>
      <c r="D4" s="347">
        <v>0</v>
      </c>
    </row>
    <row r="5" spans="1:4" ht="26.25" customHeight="1">
      <c r="A5" s="346">
        <v>45683</v>
      </c>
      <c r="B5" s="461" t="s">
        <v>440</v>
      </c>
      <c r="C5" s="347">
        <v>1.5</v>
      </c>
      <c r="D5" s="347">
        <v>0</v>
      </c>
    </row>
    <row r="6" spans="1:4" ht="24" customHeight="1">
      <c r="A6" s="346">
        <v>45677</v>
      </c>
      <c r="B6" s="461" t="s">
        <v>441</v>
      </c>
      <c r="C6" s="347">
        <v>-1</v>
      </c>
      <c r="D6" s="347">
        <v>0</v>
      </c>
    </row>
    <row r="7" spans="1:4" ht="27.75" customHeight="1">
      <c r="A7" s="346">
        <v>45783</v>
      </c>
      <c r="B7" s="461" t="s">
        <v>442</v>
      </c>
      <c r="C7" s="347">
        <v>2</v>
      </c>
      <c r="D7" s="347">
        <v>0</v>
      </c>
    </row>
    <row r="8" spans="1:4" ht="27.75" customHeight="1">
      <c r="A8" s="346">
        <v>45791</v>
      </c>
      <c r="B8" s="461" t="s">
        <v>443</v>
      </c>
      <c r="C8" s="347">
        <v>-1</v>
      </c>
      <c r="D8" s="347">
        <v>0</v>
      </c>
    </row>
    <row r="9" spans="1:4" ht="24.75" customHeight="1">
      <c r="A9" s="346">
        <v>45807</v>
      </c>
      <c r="B9" s="461" t="s">
        <v>444</v>
      </c>
      <c r="C9" s="347">
        <v>2</v>
      </c>
      <c r="D9" s="347">
        <v>0</v>
      </c>
    </row>
    <row r="10" spans="1:4" ht="33.75" customHeight="1">
      <c r="A10" s="346">
        <v>45809</v>
      </c>
      <c r="B10" s="345" t="s">
        <v>445</v>
      </c>
      <c r="C10" s="347">
        <v>-1</v>
      </c>
      <c r="D10" s="347">
        <v>0</v>
      </c>
    </row>
    <row r="11" spans="1:4" ht="14.25" customHeight="1">
      <c r="A11" s="346">
        <v>45814</v>
      </c>
      <c r="B11" s="461" t="s">
        <v>446</v>
      </c>
      <c r="C11" s="347">
        <v>1</v>
      </c>
      <c r="D11" s="347">
        <v>0</v>
      </c>
    </row>
    <row r="12" spans="1:4">
      <c r="A12" s="346">
        <v>45821</v>
      </c>
      <c r="B12" s="461" t="s">
        <v>447</v>
      </c>
      <c r="C12" s="347">
        <v>-1</v>
      </c>
      <c r="D12" s="347">
        <v>0</v>
      </c>
    </row>
    <row r="13" spans="1:4">
      <c r="A13" s="346">
        <v>45828</v>
      </c>
      <c r="B13" s="461" t="s">
        <v>448</v>
      </c>
      <c r="C13" s="347">
        <v>1</v>
      </c>
      <c r="D13" s="347">
        <v>0</v>
      </c>
    </row>
    <row r="14" spans="1:4">
      <c r="A14" s="459">
        <v>45835</v>
      </c>
      <c r="B14" s="463" t="s">
        <v>449</v>
      </c>
      <c r="C14" s="460">
        <v>-1</v>
      </c>
      <c r="D14" s="460">
        <v>0</v>
      </c>
    </row>
    <row r="15" spans="1:4" ht="30">
      <c r="A15" s="464">
        <v>45840</v>
      </c>
      <c r="B15" s="462" t="s">
        <v>450</v>
      </c>
      <c r="C15" s="74">
        <v>1</v>
      </c>
      <c r="D15" s="74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http://schemas.microsoft.com/office/2006/metadata/properties"/>
    <ds:schemaRef ds:uri="http://purl.org/dc/dcmitype/"/>
    <ds:schemaRef ds:uri="http://purl.org/dc/elements/1.1/"/>
    <ds:schemaRef ds:uri="cc851cf5-9d25-4af0-b62f-d23d0a4f5e5c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954542bb-2825-439d-9db6-a5c04d3b21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programas sociales</vt:lpstr>
      <vt:lpstr>Planes de tratamientos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2025-06-03T20:36:35Z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