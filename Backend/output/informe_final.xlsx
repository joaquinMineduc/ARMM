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filterPrivacy="1" hidePivotFieldList="1" defaultThemeVersion="124226"/>
  <xr:revisionPtr revIDLastSave="0" documentId="8_{7B7A293D-A636-4E73-8F47-52C20065CF4F}" xr6:coauthVersionLast="47" xr6:coauthVersionMax="47" xr10:uidLastSave="{00000000-0000-0000-0000-000000000000}"/>
  <bookViews>
    <workbookView xWindow="-120" yWindow="-120" windowWidth="29040" windowHeight="15720" tabRatio="719" firstSheet="12" activeTab="12"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Convenios ADP_II" sheetId="54" r:id="rId10"/>
    <sheet name="Gestión de riesgos" sheetId="48" r:id="rId11"/>
    <sheet name="data_riesgos" sheetId="49" state="hidden" r:id="rId12"/>
    <sheet name="Planes de tratamientos" sheetId="55" r:id="rId13"/>
    <sheet name="programas sociales" sheetId="50" state="hidden" r:id="rId14"/>
    <sheet name="Planes tratamientos" sheetId="53" state="hidden" r:id="rId15"/>
    <sheet name="datos_graficos" sheetId="51" state="hidden" r:id="rId16"/>
  </sheets>
  <definedNames>
    <definedName name="_xlnm.Print_Area" localSheetId="4">'03-  ESTADO REGIONES'!$A$1:$R$23</definedName>
    <definedName name="_xlnm.Print_Area" localSheetId="8">'Convenios ADP'!$A$1:$L$23</definedName>
    <definedName name="_xlnm.Print_Area" localSheetId="9">'Convenios ADP_II'!$A$1:$L$23</definedName>
    <definedName name="_xlnm.Print_Area" localSheetId="7">'Ev Proveedores'!$B$2:$O$34</definedName>
    <definedName name="_xlnm.Print_Area" localSheetId="10">'Gestión de riesgos'!$A$1:$AA$48</definedName>
    <definedName name="_xlnm.Print_Area" localSheetId="12">'Planes de tratamientos'!$A$1:$O$37</definedName>
    <definedName name="_xlnm.Print_Area" localSheetId="0">Portada!$B$1:$J$21</definedName>
    <definedName name="_xlnm.Print_Area" localSheetId="13">'programas sociales'!$B$1:$O$29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3" l="1"/>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D25" i="35"/>
  <c r="D27" i="35"/>
  <c r="D26" i="35"/>
  <c r="R13" i="35"/>
  <c r="D11" i="35" s="1"/>
  <c r="R12" i="35"/>
  <c r="D12" i="35" s="1"/>
  <c r="R11" i="35"/>
  <c r="D14" i="35" s="1"/>
  <c r="R10" i="35"/>
  <c r="D13" i="35" s="1"/>
  <c r="O14" i="35"/>
  <c r="K14" i="35"/>
  <c r="D6" i="32"/>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F25" i="55" l="1"/>
  <c r="N7" i="55" s="1"/>
  <c r="E15" i="55"/>
  <c r="K7" i="55" s="1"/>
  <c r="E14" i="55"/>
  <c r="H7" i="55" s="1"/>
  <c r="E13" i="55"/>
  <c r="E7" i="55" s="1"/>
  <c r="B7" i="55" l="1"/>
  <c r="H21" i="50"/>
  <c r="C22" i="50"/>
  <c r="T23" i="53"/>
  <c r="U23" i="53"/>
  <c r="V23" i="53"/>
  <c r="W23" i="53"/>
  <c r="X23" i="53"/>
  <c r="Y23" i="53"/>
  <c r="Z23" i="53"/>
  <c r="AA23" i="53"/>
  <c r="AB23" i="53"/>
  <c r="AC23" i="53"/>
  <c r="AD23" i="53"/>
  <c r="AE23" i="53"/>
  <c r="AF23" i="53"/>
  <c r="T15" i="53"/>
  <c r="U15" i="53"/>
  <c r="V15" i="53"/>
  <c r="W15" i="53"/>
  <c r="X15" i="53"/>
  <c r="Y15" i="53"/>
  <c r="Z15" i="53"/>
  <c r="AA15" i="53"/>
  <c r="AB15" i="53"/>
  <c r="AC15" i="53"/>
  <c r="AD15" i="53"/>
  <c r="AE15" i="53"/>
  <c r="AF15" i="53"/>
  <c r="T19" i="53"/>
  <c r="U19" i="53"/>
  <c r="V19" i="53"/>
  <c r="W19" i="53"/>
  <c r="X19" i="53"/>
  <c r="Y19" i="53"/>
  <c r="Z19" i="53"/>
  <c r="AA19" i="53"/>
  <c r="AB19" i="53"/>
  <c r="AC19" i="53"/>
  <c r="AD19" i="53"/>
  <c r="AE19" i="53"/>
  <c r="AF19" i="53"/>
  <c r="T13" i="53"/>
  <c r="U13" i="53"/>
  <c r="V13" i="53"/>
  <c r="W13" i="53"/>
  <c r="X13" i="53"/>
  <c r="Y13" i="53"/>
  <c r="Z13" i="53"/>
  <c r="AA13" i="53"/>
  <c r="AB13" i="53"/>
  <c r="AC13" i="53"/>
  <c r="AD13" i="53"/>
  <c r="AE13" i="53"/>
  <c r="AF13" i="53"/>
  <c r="T14" i="53"/>
  <c r="U14" i="53"/>
  <c r="V14" i="53"/>
  <c r="W14" i="53"/>
  <c r="X14" i="53"/>
  <c r="Y14" i="53"/>
  <c r="Z14" i="53"/>
  <c r="AA14" i="53"/>
  <c r="AB14" i="53"/>
  <c r="AC14" i="53"/>
  <c r="AD14" i="53"/>
  <c r="AE14" i="53"/>
  <c r="AF14" i="53"/>
  <c r="T17" i="53"/>
  <c r="U17" i="53"/>
  <c r="V17" i="53"/>
  <c r="W17" i="53"/>
  <c r="X17" i="53"/>
  <c r="Y17" i="53"/>
  <c r="Z17" i="53"/>
  <c r="AA17" i="53"/>
  <c r="AB17" i="53"/>
  <c r="AC17" i="53"/>
  <c r="AD17" i="53"/>
  <c r="AE17" i="53"/>
  <c r="AF17" i="53"/>
  <c r="T18" i="53"/>
  <c r="U18" i="53"/>
  <c r="V18" i="53"/>
  <c r="W18" i="53"/>
  <c r="X18" i="53"/>
  <c r="Y18" i="53"/>
  <c r="Z18" i="53"/>
  <c r="AA18" i="53"/>
  <c r="AB18" i="53"/>
  <c r="AC18" i="53"/>
  <c r="AD18" i="53"/>
  <c r="AE18" i="53"/>
  <c r="AF18" i="53"/>
  <c r="T21" i="53"/>
  <c r="U21" i="53"/>
  <c r="V21" i="53"/>
  <c r="W21" i="53"/>
  <c r="X21" i="53"/>
  <c r="Y21" i="53"/>
  <c r="Z21" i="53"/>
  <c r="AA21" i="53"/>
  <c r="AB21" i="53"/>
  <c r="AC21" i="53"/>
  <c r="AD21" i="53"/>
  <c r="AE21" i="53"/>
  <c r="AF21" i="53"/>
  <c r="T22" i="53"/>
  <c r="U22" i="53"/>
  <c r="V22" i="53"/>
  <c r="W22" i="53"/>
  <c r="X22" i="53"/>
  <c r="Y22" i="53"/>
  <c r="Z22" i="53"/>
  <c r="AA22" i="53"/>
  <c r="AB22" i="53"/>
  <c r="AC22" i="53"/>
  <c r="AD22" i="53"/>
  <c r="AE22" i="53"/>
  <c r="AF22" i="53"/>
  <c r="S19" i="53"/>
  <c r="S23" i="53"/>
  <c r="S15" i="53"/>
  <c r="S21" i="53"/>
  <c r="S17" i="53"/>
  <c r="S13" i="53"/>
  <c r="S22" i="53"/>
  <c r="S14" i="53"/>
  <c r="S18" i="53"/>
  <c r="P7" i="32"/>
  <c r="P8" i="32"/>
  <c r="P9" i="32"/>
  <c r="P10" i="32"/>
  <c r="P11" i="32"/>
  <c r="P12" i="32"/>
  <c r="P13" i="32"/>
  <c r="P14" i="32"/>
  <c r="P15" i="32"/>
  <c r="P16" i="32"/>
  <c r="P17" i="32"/>
  <c r="P18" i="32"/>
  <c r="P19" i="32"/>
  <c r="P20" i="32"/>
  <c r="P21" i="32"/>
  <c r="P6" i="32"/>
  <c r="C8" i="35"/>
  <c r="O38" i="48" l="1"/>
  <c r="H33" i="48" s="1"/>
  <c r="Q38" i="48"/>
  <c r="S38" i="48"/>
  <c r="H39" i="48" s="1"/>
  <c r="T38" i="48"/>
  <c r="V38" i="48"/>
  <c r="H45" i="48" s="1"/>
  <c r="W38" i="48"/>
  <c r="Y38" i="48"/>
  <c r="H27" i="48" s="1"/>
  <c r="X23" i="48"/>
  <c r="V23" i="48"/>
  <c r="T23" i="48"/>
  <c r="R23" i="48"/>
  <c r="X7" i="48" s="1"/>
  <c r="O23" i="48"/>
  <c r="S7" i="48" s="1"/>
  <c r="L23" i="48"/>
  <c r="N7" i="48" s="1"/>
  <c r="I23" i="48"/>
  <c r="H7" i="48" s="1"/>
  <c r="M21" i="32"/>
  <c r="M7" i="32"/>
  <c r="M8" i="32"/>
  <c r="M9" i="32"/>
  <c r="M10" i="32"/>
  <c r="M11" i="32"/>
  <c r="M12" i="32"/>
  <c r="M13" i="32"/>
  <c r="M14" i="32"/>
  <c r="M15" i="32"/>
  <c r="M16" i="32"/>
  <c r="M17" i="32"/>
  <c r="M18" i="32"/>
  <c r="M19" i="32"/>
  <c r="M20" i="32"/>
  <c r="M6" i="32"/>
  <c r="J21" i="32"/>
  <c r="J7" i="32"/>
  <c r="J8" i="32"/>
  <c r="J9" i="32"/>
  <c r="J10" i="32"/>
  <c r="J11" i="32"/>
  <c r="J12" i="32"/>
  <c r="J13" i="32"/>
  <c r="J14" i="32"/>
  <c r="J15" i="32"/>
  <c r="J16" i="32"/>
  <c r="J17" i="32"/>
  <c r="J18" i="32"/>
  <c r="J19" i="32"/>
  <c r="J20" i="32"/>
  <c r="J6" i="32"/>
  <c r="G20" i="32"/>
  <c r="G19" i="32"/>
  <c r="G7" i="32"/>
  <c r="G8" i="32"/>
  <c r="G9" i="32"/>
  <c r="G10" i="32"/>
  <c r="G11" i="32"/>
  <c r="G12" i="32"/>
  <c r="G13" i="32"/>
  <c r="G14" i="32"/>
  <c r="G15" i="32"/>
  <c r="G16" i="32"/>
  <c r="G17" i="32"/>
  <c r="G6" i="32"/>
  <c r="D21" i="32"/>
  <c r="D7" i="32"/>
  <c r="D8" i="32"/>
  <c r="D9" i="32"/>
  <c r="D10" i="32"/>
  <c r="D11" i="32"/>
  <c r="D12" i="32"/>
  <c r="D13" i="32"/>
  <c r="D14" i="32"/>
  <c r="D15" i="32"/>
  <c r="D16" i="32"/>
  <c r="D17" i="32"/>
  <c r="D18" i="32"/>
  <c r="D19" i="32"/>
  <c r="D20" i="32"/>
  <c r="D28" i="35"/>
  <c r="M14" i="35"/>
  <c r="O45" i="48" l="1"/>
  <c r="R14" i="35"/>
  <c r="D15" i="35" s="1"/>
  <c r="D29" i="35"/>
</calcChain>
</file>

<file path=xl/sharedStrings.xml><?xml version="1.0" encoding="utf-8"?>
<sst xmlns="http://schemas.openxmlformats.org/spreadsheetml/2006/main" count="1032" uniqueCount="464">
  <si>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</si>
  <si>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</si>
  <si>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</si>
  <si>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</si>
  <si>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</si>
  <si>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</si>
  <si>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</si>
  <si>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</si>
  <si>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</si>
  <si>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</si>
  <si>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</si>
  <si>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</si>
  <si>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</si>
  <si>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</si>
  <si>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</si>
  <si>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</si>
  <si>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</si>
  <si>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</si>
  <si>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</si>
  <si>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</si>
  <si>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</si>
  <si>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</si>
  <si>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</si>
  <si>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</si>
  <si>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</si>
  <si>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</si>
  <si>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</si>
  <si>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</si>
  <si>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</si>
  <si>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</si>
  <si>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</si>
  <si>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</si>
  <si>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</si>
  <si>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</si>
  <si>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</si>
  <si>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</si>
  <si>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</si>
  <si>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</si>
  <si>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</si>
  <si>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</si>
  <si>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REGIONES : ESTADO RIESGO INDICADORES POR CR AL CIERRE:</t>
  </si>
  <si>
    <t>REGIÓN</t>
  </si>
  <si>
    <t xml:space="preserve">CDC: Acciones del plan regional ejecutadas </t>
  </si>
  <si>
    <t>CDC: solicitudes de certificados de estudio no disponibles en línea</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</si>
  <si>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</si>
  <si>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</si>
  <si>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</si>
  <si>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</si>
  <si>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</si>
  <si>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</si>
  <si>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</si>
  <si>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</si>
  <si>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</si>
  <si>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</si>
  <si>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</si>
  <si>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</si>
  <si>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</si>
  <si>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</si>
  <si>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</si>
  <si>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Evaluación Año 1</t>
  </si>
  <si>
    <t>Monitoreo Año 1</t>
  </si>
  <si>
    <t>Monitoreo Año 2</t>
  </si>
  <si>
    <t>Monitoreo Año 3</t>
  </si>
  <si>
    <t>Evaluación Año 3</t>
  </si>
  <si>
    <t>El cumplimiento de los hitos está normado por la ley 19.882 e instructivo del Servicio Civil (SC)</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</si>
  <si>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</si>
  <si>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</si>
  <si>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</si>
  <si>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</si>
  <si>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</si>
  <si>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</si>
  <si>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</si>
  <si>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</si>
  <si>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</si>
  <si>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</si>
  <si>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</si>
  <si>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</si>
  <si>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</si>
  <si>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</si>
  <si>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</si>
  <si>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</si>
  <si>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</si>
  <si>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</si>
  <si>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</si>
  <si>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</si>
  <si>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</si>
  <si>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</si>
  <si>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</si>
  <si>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</si>
  <si>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</si>
  <si>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</si>
  <si>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</si>
  <si>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</si>
  <si>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</si>
  <si>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</si>
  <si>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</si>
  <si>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</si>
  <si>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</si>
  <si>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</si>
  <si>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</si>
  <si>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</si>
  <si>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</si>
  <si>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</si>
  <si>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</si>
  <si>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</si>
  <si>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</si>
  <si>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</si>
  <si>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</si>
  <si>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</si>
  <si>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</si>
  <si>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</si>
  <si>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</si>
  <si>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</si>
  <si>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</si>
  <si>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</si>
  <si>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</si>
  <si>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</si>
  <si>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</si>
  <si>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</si>
  <si>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</si>
  <si>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</si>
  <si>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</si>
  <si>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</si>
  <si>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</si>
  <si>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</si>
  <si>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</si>
  <si>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</si>
  <si>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</si>
  <si>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</si>
  <si>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</si>
  <si>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</si>
  <si>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</si>
  <si>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</si>
  <si>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</si>
  <si>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</si>
  <si>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</si>
  <si>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</si>
  <si>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</si>
  <si>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</si>
  <si>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</si>
  <si>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</si>
  <si>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</si>
  <si>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</si>
  <si>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</si>
  <si>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Leyenda:</t>
  </si>
  <si>
    <t xml:space="preserve"> - Representa los Hitos acumulados que han sido ejecutados al año 2025. ​</t>
  </si>
  <si>
    <t>CDC: Acciones del plan fortalecimineto de la matrícula implementadas</t>
  </si>
  <si>
    <t>CDC: Estudiantes OAP que postulan a 
través del SAE</t>
  </si>
  <si>
    <t>Resultados Planes de Tratamiento</t>
  </si>
  <si>
    <t>Primer Trimestre - 2025</t>
  </si>
  <si>
    <t>Tipo de Plan de Tratamiento</t>
  </si>
  <si>
    <t>Estado de cumplimiento</t>
  </si>
  <si>
    <t>Cumplidos</t>
  </si>
  <si>
    <t>Cumplidos Parcialmente</t>
  </si>
  <si>
    <t>No Cumplidos/ Con retraso.</t>
  </si>
  <si>
    <t>Planes de tratamiento</t>
  </si>
  <si>
    <t>Cumpl. Promedio</t>
  </si>
  <si>
    <t xml:space="preserve">  Evaluación de Proveedores</t>
  </si>
  <si>
    <t>Categoría</t>
  </si>
  <si>
    <t>Estado de implementación</t>
  </si>
  <si>
    <t>Implementación</t>
  </si>
  <si>
    <t>En proceso de implementación</t>
  </si>
  <si>
    <t>No implementada</t>
  </si>
  <si>
    <t>Detalles de Cumplimiento -Planes de Tratamiento de Riesgos</t>
  </si>
  <si>
    <t xml:space="preserve">Ciberseguridad </t>
  </si>
  <si>
    <t>GabMin Estudios</t>
  </si>
  <si>
    <t>Ayuda MINEDUC</t>
  </si>
  <si>
    <t>TOTAL PROGRAMAS SOCIALES MINEDUC 2025</t>
  </si>
  <si>
    <t>NOTA: El monitoreo se realiza a programas sociales implementados en 2024</t>
  </si>
  <si>
    <t xml:space="preserve">NÚMERO DE PROGRAMAS SOCIALES </t>
  </si>
  <si>
    <t>LÍNEA DE TIEMPO DE LOS PROCESOS DE EX ANTE Y MONITOREO DE LOS PROGRAMAS SOCIALES</t>
  </si>
  <si>
    <t>TOTAL DE PROGRAMAS SOCIALES MONITOREADOS 2024</t>
  </si>
  <si>
    <t>Convenios Alta Dirección Pública I Nivel</t>
  </si>
  <si>
    <t>Convenios Alta Dirección Pública II Nivel que está subrogando prolongadamente un I Nivel</t>
  </si>
  <si>
    <t>Cumpl.</t>
  </si>
  <si>
    <t>Promedio</t>
  </si>
  <si>
    <t>En proceso</t>
  </si>
  <si>
    <t>Señales de alerta</t>
  </si>
  <si>
    <t>No implementados</t>
  </si>
  <si>
    <t>Implementados</t>
  </si>
  <si>
    <t>Hitos del proceso del monitoreo</t>
  </si>
  <si>
    <t>Hitos del proceso de evalaucioón Ex Ante</t>
  </si>
  <si>
    <t>Fecha de nombramiento</t>
  </si>
  <si>
    <t>PROGRAMAS QUE INGRESAN AL PROCESO DE EVALUACIÓN EX ANTE 2026</t>
  </si>
  <si>
    <r>
      <rPr>
        <b/>
        <sz val="18"/>
        <color theme="3"/>
        <rFont val="Calibri"/>
        <family val="2"/>
        <scheme val="minor"/>
      </rPr>
      <t>FI:</t>
    </r>
    <r>
      <rPr>
        <sz val="16"/>
        <color theme="3"/>
        <rFont val="Calibri"/>
        <family val="2"/>
        <scheme val="minor"/>
      </rPr>
      <t xml:space="preserve"> Falta de Información</t>
    </r>
  </si>
  <si>
    <r>
      <t xml:space="preserve">OT: </t>
    </r>
    <r>
      <rPr>
        <sz val="16"/>
        <color theme="4" tint="-0.249977111117893"/>
        <rFont val="Calibri"/>
        <family val="2"/>
        <scheme val="minor"/>
      </rPr>
      <t>Objetado Técnicamente</t>
    </r>
  </si>
  <si>
    <t xml:space="preserve">PROGRAMA </t>
  </si>
  <si>
    <r>
      <t xml:space="preserve">RF: </t>
    </r>
    <r>
      <rPr>
        <sz val="18"/>
        <color theme="3"/>
        <rFont val="Calibri"/>
        <family val="2"/>
        <scheme val="minor"/>
      </rPr>
      <t>Recomendación Favorable</t>
    </r>
  </si>
  <si>
    <t>JUNIO - 2025</t>
  </si>
  <si>
    <t>Gabinete Ministerio</t>
  </si>
  <si>
    <t>Gabinete Subsecretaría</t>
  </si>
  <si>
    <t>División Jurídica</t>
  </si>
  <si>
    <t xml:space="preserve"> Porcentaje de Auditorías del Plan Anual de Auditoría efectivamente realizadas en el año t</t>
  </si>
  <si>
    <t xml:space="preserve"> Número de documentos publicados en la web del Centro de Estudios en el año t.</t>
  </si>
  <si>
    <t xml:space="preserve"> Porcentaje de solicitudes de información respondidas oportunamente en el año t</t>
  </si>
  <si>
    <t xml:space="preserve"> Porcentaje de solicitudes de certificados de estudio no disponibles en línea, derivadas a registro curriculares o la Unidad Nacional de Registro Curricular, que son resueltas en un plazo inferior o igual a 10 días hábiles en el año t.</t>
  </si>
  <si>
    <t xml:space="preserve"> Sistema Calidad de Servicio y Experiencia Usuaria</t>
  </si>
  <si>
    <t xml:space="preserve"> Medidas de Equidad de Género</t>
  </si>
  <si>
    <t xml:space="preserve"> Porcentaje de participación de estudiantes, directivos, docentes, asistentes, coordinadores/as de informática y/o profesionales de la educación de establecimientos educacionales en acciones formativas del Centro de Innovación en el año t</t>
  </si>
  <si>
    <t xml:space="preserve"> Cumplimiento de hito asociado a la entrega de fondos para compra de  equipamiento por parte de la Secretaría Ejecutiva EMTP</t>
  </si>
  <si>
    <t xml:space="preserve"> Elaborar un Informe con recopilación y análisis de los procesos de formación docente generado a partir de la Red maestros de Maestros en el año t</t>
  </si>
  <si>
    <t xml:space="preserve"> Porcentaje de provincias que 
participan de las acciones del CPEIP 
para la difusión del Marco para la 
Buena Enseñanza (MBE) al año t</t>
  </si>
  <si>
    <t xml:space="preserve"> Porcentaje de Establecimientos educativos que reciben formación en Bienestar Docente en el año t.</t>
  </si>
  <si>
    <t xml:space="preserve"> Elaborar un Informe financiero preliminar para proyecto de ley de Carrera Directiva entregado en el año t</t>
  </si>
  <si>
    <t xml:space="preserve"> Porcentaje de comunas que 
cuentan con una evaluación de 
resultados de implementación del 
Programa "A convivir se Aprende" en 
el año t</t>
  </si>
  <si>
    <t xml:space="preserve"> Porcentaje de personas jóvenes y adultas que se encuentran fuera del sistema escolar que se inscriben para iniciar, continuar y/o completar sus estudios de educación básica y/o su educación media a través de servicios educativos en el año t</t>
  </si>
  <si>
    <t xml:space="preserve"> Porcentaje de ciudadanos que se examinan en los procesos de examinación de validación de estudios en el año t</t>
  </si>
  <si>
    <t xml:space="preserve"> Porcentaje de acciones del Plan de difusión de adhesión de establecimientos educacionales al PIE, implementadas en el año t</t>
  </si>
  <si>
    <t xml:space="preserve"> Porcentaje de tiempo en que los sistemas definidos como críticos por la institución están habilitados en el año t</t>
  </si>
  <si>
    <t xml:space="preserve"> Porcentaje de sitios web con certificados de sitio seguro</t>
  </si>
  <si>
    <t xml:space="preserve"> Porcentaje de tickets de atención resueltos oportunamente en el año t</t>
  </si>
  <si>
    <t xml:space="preserve"> Sistema Transformación Digital</t>
  </si>
  <si>
    <t xml:space="preserve"> Concentración del Gasto Subtítulos 22 y 29</t>
  </si>
  <si>
    <t xml:space="preserve"> Porcentaje de establecimientos subvencionados vigentes que declaran asistencia vía SIGE</t>
  </si>
  <si>
    <t xml:space="preserve"> Porcentaje de transacciones realizadas a través del sistema SIGPA</t>
  </si>
  <si>
    <t xml:space="preserve"> Porcentaje de procesos documentados de la Unidad de Reconocimiento y Admisión Escolar.</t>
  </si>
  <si>
    <t xml:space="preserve"> Porcentaje de solicitudes de beneficios y/o préstamos otorgados por el Servicio de Bienestar pagados oportunamente</t>
  </si>
  <si>
    <t xml:space="preserve"> Porcentaje de Expedientes de compras de Tratos Directos enviados oportunamente a la División Jurídica por parte del Departamento de Compras y Licitaciones</t>
  </si>
  <si>
    <t xml:space="preserve"> Sistema Estado Verde</t>
  </si>
  <si>
    <t xml:space="preserve"> Sistema de Riesgos Psicosociales laborales</t>
  </si>
  <si>
    <t xml:space="preserve"> Porcentaje de cierres contables oportunos</t>
  </si>
  <si>
    <t xml:space="preserve"> Porcentaje de contratos nuevos a honorarios de nivel central enviados oportunamente a firma de la autoridad por el Departamento de Gestión y Desarrollo de Personas.</t>
  </si>
  <si>
    <t xml:space="preserve"> Porcentaje de ejecución del plan asociado al Centro de Recursos de Lectura, Aprendizaje y Bibliotecas Escolar CRA en el año t.</t>
  </si>
  <si>
    <t xml:space="preserve"> Porcentaje de ejecución del plan estratégico de Desarrollo Curricular en el año t</t>
  </si>
  <si>
    <t xml:space="preserve"> Porcentaje de ejecución del plan de difusión de instrumentos curriculares, evaluativos y estrategias pedagógicas para Directivos, Jefe de UTP, Profesores, Supervisores Técnicos, Apoderados, Encargados de Bibliotecas Escolares, Seremi y Deprov en el año t.</t>
  </si>
  <si>
    <t xml:space="preserve"> Porcentaje de ejecución del plan de Evaluación y Estándares en el año t.</t>
  </si>
  <si>
    <t xml:space="preserve"> Porcentaje de ejecución del plan estratégico de la modernización de textos escolares en el año t</t>
  </si>
  <si>
    <t xml:space="preserve"> Porcentaje de Textos Escolares entregados a los establecimientos educacionales subvencionados a la fecha comprometida.</t>
  </si>
  <si>
    <t xml:space="preserve"> Porcentaje de Kit evaluativo 
entregados a los establecimientos 
educacionales subvencionados dentro 
del año t</t>
  </si>
  <si>
    <t xml:space="preserve"> Porcentaje de actos administrativos que Adjudican una Licitación Pública, elaborados oportunamente en el año t</t>
  </si>
  <si>
    <t xml:space="preserve"> Porcentaje de  actos administrativos que Aprueban Bases Administrativas y Técnicas de Licitación Pública, elaborados oportunamente en el año t</t>
  </si>
  <si>
    <t xml:space="preserve"> Porcentaje de propuestas de convenios o reformulación tramitadas oportunamente en el año t</t>
  </si>
  <si>
    <t xml:space="preserve"> Porcentaje de actos administrativos que transfieren recursos financieros tramitados oportunamente en el año t</t>
  </si>
  <si>
    <t xml:space="preserve"> Porcentaje de actos administrativos que transfieren recursos financieros en el marco del artículo 11 de la Ley N°20.159 tramitados oportunamente en el año t</t>
  </si>
  <si>
    <t xml:space="preserve"> Porcentaje de recursos de apelación, reclamación, jerárquico y/o extraordinarios de revisión tramitados oportunamente en el año t</t>
  </si>
  <si>
    <t xml:space="preserve"> Porcentaje de defensas a recursos de protección elaborados, presentados y cerrados en Sistema de Gestión Documental oportunamente en el año t</t>
  </si>
  <si>
    <t>I16_002</t>
  </si>
  <si>
    <t>I20_013</t>
  </si>
  <si>
    <t>I20_014</t>
  </si>
  <si>
    <t>I19_026</t>
  </si>
  <si>
    <t>I23_015</t>
  </si>
  <si>
    <t>I21_001</t>
  </si>
  <si>
    <t>I24_001</t>
  </si>
  <si>
    <t>I24_002</t>
  </si>
  <si>
    <t>I25_002</t>
  </si>
  <si>
    <t>I23_018</t>
  </si>
  <si>
    <t>I25_003</t>
  </si>
  <si>
    <t>I25_001</t>
  </si>
  <si>
    <t>I25_011</t>
  </si>
  <si>
    <t>I17_001</t>
  </si>
  <si>
    <t>I23_004</t>
  </si>
  <si>
    <t>I24_009</t>
  </si>
  <si>
    <t>I16_043</t>
  </si>
  <si>
    <t>I20_011</t>
  </si>
  <si>
    <t>I20_012</t>
  </si>
  <si>
    <t>I25_012</t>
  </si>
  <si>
    <t>I21_002</t>
  </si>
  <si>
    <t>I16_054</t>
  </si>
  <si>
    <t>I19_012</t>
  </si>
  <si>
    <t>I25_005</t>
  </si>
  <si>
    <t>I21_007</t>
  </si>
  <si>
    <t>I25_004</t>
  </si>
  <si>
    <t>I23_019</t>
  </si>
  <si>
    <t>I25_013</t>
  </si>
  <si>
    <t>I20_006</t>
  </si>
  <si>
    <t>I20_005</t>
  </si>
  <si>
    <t>I19_020</t>
  </si>
  <si>
    <t>I21_011</t>
  </si>
  <si>
    <t>I21_012</t>
  </si>
  <si>
    <t>I22_006</t>
  </si>
  <si>
    <t>I19_019</t>
  </si>
  <si>
    <t>I16_062</t>
  </si>
  <si>
    <t>I25_010</t>
  </si>
  <si>
    <t>I16_052</t>
  </si>
  <si>
    <t>I24_004</t>
  </si>
  <si>
    <t>I23_007</t>
  </si>
  <si>
    <t>I22_008</t>
  </si>
  <si>
    <t>I24_011</t>
  </si>
  <si>
    <t>I24_003</t>
  </si>
  <si>
    <t>I16_053</t>
  </si>
  <si>
    <t>I23_014</t>
  </si>
  <si>
    <t>I16_066</t>
  </si>
  <si>
    <t>I25_007</t>
  </si>
  <si>
    <t>I16_056</t>
  </si>
  <si>
    <t>I25_006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</si>
  <si>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</si>
  <si>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</si>
  <si>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</si>
  <si>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</si>
  <si>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</si>
  <si>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</si>
  <si>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</si>
  <si>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</si>
  <si>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</si>
  <si>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</si>
  <si>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</si>
  <si>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</si>
  <si>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</si>
  <si>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</si>
  <si>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</si>
  <si>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</si>
  <si>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</si>
  <si>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</si>
  <si>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</si>
  <si>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</si>
  <si>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</si>
  <si>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</si>
  <si>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</si>
  <si>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</si>
  <si>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</si>
  <si>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</si>
  <si>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</si>
  <si>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</si>
  <si>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</si>
  <si>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</si>
  <si>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</si>
  <si>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</si>
  <si>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I25_007-SECREDUC 01</t>
  </si>
  <si>
    <t>I25_007-SECREDUC 02</t>
  </si>
  <si>
    <t>I25_007-SECREDUC 03</t>
  </si>
  <si>
    <t>I25_007-SECREDUC 04</t>
  </si>
  <si>
    <t>I25_007-SECREDUC 05</t>
  </si>
  <si>
    <t>I25_007-SECREDUC 06</t>
  </si>
  <si>
    <t>I25_007-SECREDUC 07</t>
  </si>
  <si>
    <t>I25_007-SECREDUC 08</t>
  </si>
  <si>
    <t>I25_007-SECREDUC 09</t>
  </si>
  <si>
    <t>I25_007-SECREDUC 10</t>
  </si>
  <si>
    <t>I25_007-SECREDUC 11</t>
  </si>
  <si>
    <t>I25_007-SECREDUC 12</t>
  </si>
  <si>
    <t>I25_007-SECREDUC 13</t>
  </si>
  <si>
    <t>I25_007-SECREDUC 14</t>
  </si>
  <si>
    <t>I25_007-SECREDUC 15</t>
  </si>
  <si>
    <t>I25_007-SECREDUC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</si>
  <si>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</si>
  <si>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</si>
  <si>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</si>
  <si>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</si>
  <si>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</si>
  <si>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</si>
  <si>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</si>
  <si>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</si>
  <si>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</si>
  <si>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</si>
  <si>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</si>
  <si>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</si>
  <si>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</si>
  <si>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</si>
  <si>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</si>
  <si>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</si>
  <si>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I25_006-SECREDUC 01</t>
  </si>
  <si>
    <t>I25_006-SECREDUC 02</t>
  </si>
  <si>
    <t>I25_006-SECREDUC 03</t>
  </si>
  <si>
    <t>I25_006-SECREDUC 04</t>
  </si>
  <si>
    <t>I25_006-SECREDUC 05</t>
  </si>
  <si>
    <t>I25_006-SECREDUC 06</t>
  </si>
  <si>
    <t>I25_006-SECREDUC 07</t>
  </si>
  <si>
    <t>I25_006-SECREDUC 08</t>
  </si>
  <si>
    <t>I25_006-SECREDUC 09</t>
  </si>
  <si>
    <t>I25_006-SECREDUC 10</t>
  </si>
  <si>
    <t>I25_006-SECREDUC 11</t>
  </si>
  <si>
    <t>I25_006-SECREDUC 12</t>
  </si>
  <si>
    <t>I25_006-SECREDUC 13</t>
  </si>
  <si>
    <t>I25_006-SECREDUC 14</t>
  </si>
  <si>
    <t>I25_006-SECREDUC 15</t>
  </si>
  <si>
    <t>I25_006-SECREDUC 16</t>
  </si>
  <si>
    <t>La Araucanía</t>
  </si>
  <si>
    <t>CNT</t>
  </si>
  <si>
    <t>Recursos Financieros</t>
  </si>
  <si>
    <t>Subvenciones</t>
  </si>
  <si>
    <t>URAE</t>
  </si>
  <si>
    <t>JURID</t>
  </si>
  <si>
    <t>GABMIN</t>
  </si>
  <si>
    <t>Auditoria</t>
  </si>
  <si>
    <t>Estudios</t>
  </si>
  <si>
    <t>Ayuda Mineduc</t>
  </si>
  <si>
    <t>Innovación</t>
  </si>
  <si>
    <t>TP</t>
  </si>
  <si>
    <t>CRUCH</t>
  </si>
  <si>
    <t>JUNAEB</t>
  </si>
  <si>
    <t>Agencia de Calidad</t>
  </si>
  <si>
    <t>DEP</t>
  </si>
  <si>
    <t>Superintendencia de Educación</t>
  </si>
  <si>
    <t>JUNJI</t>
  </si>
  <si>
    <t>Superintendencia de Educación Superior</t>
  </si>
  <si>
    <t>Evaluación:
En junio 2025 se inició el proceso de evaluación del tercer año de gestión
Formulación:
Ministro renueva nombramiento de la Secretaria General, por lo que en junio 2025 se inició el proceso de formulación del convenio del segundo periodo gestión.</t>
  </si>
  <si>
    <t>En marzo 2025 se envió mediante mail del Jefe del Gabinete del Ministro, el resultado del monitoreo del tercer año de gestión.</t>
  </si>
  <si>
    <t xml:space="preserve">En junio 2025 se envió mediante mail del Jefe del Gabinete del Ministro, el resultado del monitoreo del tercer año de gestión.
</t>
  </si>
  <si>
    <t>En mayo 2025 se inició el proceso de evaluación del primer año de gestión.</t>
  </si>
  <si>
    <t>En junio 2025 se tramitó totalmente el acto administrativo que aprueba el grado de cumplimiento global de las metas del convenio del segundo año de gestión.</t>
  </si>
  <si>
    <t>En febrero 2025 se tramitó totalmente el acto administrativo que aprueba el grado de cumplimiento global de las metas del convenio del segundo año de gestión.</t>
  </si>
  <si>
    <t>En abril 2025 se tramitó totalmente el acto administrativo que aprueba el grado de cumplimiento global de las metas del convenio del segundo año de gestión.</t>
  </si>
  <si>
    <t>Acum JUNIO - 2025</t>
  </si>
  <si>
    <t>Hitos ADP ocurridos al 30 de JUNIO</t>
  </si>
  <si>
    <t>SLEP Gabriela Mistral</t>
  </si>
  <si>
    <t>SLEP  Magallanes</t>
  </si>
  <si>
    <t>SLEP  Costa Araucanía</t>
  </si>
  <si>
    <t>SLEP Chinchorro</t>
  </si>
  <si>
    <t>En junio se realizó el monitoreo del segundo período de la ADP que se encuentra subrogando de manera prolongada al Director Ejecutivo del SLEP. Dicho informe fue enviado por Gabinete de Ministro al ADP, con las observaciones emanadas por parte del DPCG.</t>
  </si>
  <si>
    <t>En junio se realizó el monitoreo del tercer período del ADP que se encuentra subrogando de manera prolongada al Director Ejecutivo del SLEP. Dicho informe fue enviado por Gabinete de Ministro al ADP, con las observaciones emanadas por parte del DPCG.</t>
  </si>
  <si>
    <t>En junio, se comunica a DPCG la activación de la subrogancia prolongada para el ADP II nivel. Se solicitó el respectivo informe de evaluación para el segundo período, el cual debe ser entregado a fines del mes de julio.</t>
  </si>
  <si>
    <t>En junio, se comunica a DPCG la activación de la subrogancia prolongada para el ADP II nivel. Se solicitará el respectivo informe de evaluación para el segundo período, durante el mes de agosto.</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</si>
  <si>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</si>
  <si>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</si>
  <si>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</si>
  <si>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</si>
  <si>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</si>
  <si>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</si>
  <si>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</si>
  <si>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</si>
  <si>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</si>
  <si>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</si>
  <si>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</si>
  <si>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</si>
  <si>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Se hizo envío del 1° monitoreo al CAIGG, el 30/04</t>
  </si>
  <si>
    <t>Segundo Trimestre - 2025</t>
  </si>
  <si>
    <t>DPCG</t>
  </si>
  <si>
    <t>Gabinete DIPLAP</t>
  </si>
  <si>
    <t>Seguridad de la Información</t>
  </si>
  <si>
    <t>Dirección de Educación Pública</t>
  </si>
  <si>
    <t>Junta Nacional de Auxilio Escolar y Becas</t>
  </si>
  <si>
    <t>Junta Nacional de Jardines Infantiles</t>
  </si>
  <si>
    <t>Subsecretaria de Educación</t>
  </si>
  <si>
    <t>Subsecretaría Educación Parvularia</t>
  </si>
  <si>
    <t>Subsecretaría Educación Superior</t>
  </si>
  <si>
    <t>Subsecretaría de Educación Parvularia</t>
  </si>
  <si>
    <t>Subsecretaría de Educación Superior</t>
  </si>
  <si>
    <t>Hogares y Residencias Estudiantiles (Hogares Insulares V Región)</t>
  </si>
  <si>
    <t>Beca Integración Territorial (Programa Especial Beca Art. 56 Ley N° 18.681)</t>
  </si>
  <si>
    <t>Beca Polimetales Arica</t>
  </si>
  <si>
    <t>Programa de Bienestar Socioemocional y Educación Integral</t>
  </si>
  <si>
    <t>Subvención Gratuidad
*Se ha definido iniciar el desarrollo de las nuevas fichas con los grupos correspondientes a Carrera Docente y Gratuidad, dada su importancia estructural dentro del sistema de subvenciones escolares. Ambas representan pilares centrales de las reformas educativas de los últimos años, al abordar dimensiones clave como la equidad en el acceso y la profesionalización del cuerpo docente. Además de su relevancia técnica y programática, estas subvenciones tienen un peso presupuestario significativo, ya que en conjunto representan aproximadamente el 70% del gasto total actualmente contenido en la ficha "Otras Subvenciones Escolares". Por tanto, su priorización permite avanzar en una primera etapa con los componentes de mayor impacto financiero y estratégico del sistema.</t>
  </si>
  <si>
    <t>Carrera Docente
*Se ha definido iniciar el desarrollo de las nuevas fichas con los grupos correspondientes a Carrera Docente y Gratuidad, dada su importancia estructural dentro del sistema de subvenciones escolares. Ambas representan pilares centrales de las reformas educativas de los últimos años, al abordar dimensiones clave como la equidad en el acceso y la profesionalización del cuerpo docente. Además de su relevancia técnica y programática, estas subvenciones tienen un peso presupuestario significativo, ya que en conjunto representan aproximadamente el 70% del gasto total actualmente contenido en la ficha "Otras Subvenciones Escolares". Por tanto, su priorización permite avanzar en una primera etapa con los componentes de mayor impacto financiero y estratégico del sistema.</t>
  </si>
  <si>
    <t>Fonoinfancia</t>
  </si>
  <si>
    <t>Jardines Infantiles y Salas Cuna Modalidad Convencional
*Ingresa para Reformulación programática En Ante 2026, debido a que se incorporará dentro de su diseño los programas "Programa de Extensión Horaria" y "Programa Vacaciones en mi Jardín"</t>
  </si>
  <si>
    <t>Beca Reparacióin</t>
  </si>
  <si>
    <t>Programa de Acompañamiento y Acceso Efectivo a la Educación Superior (PACE) (PATP ingresaría como parte de PACE)</t>
  </si>
  <si>
    <t xml:space="preserve">Programa Educativo Alternativo de Atención del Párvulo </t>
  </si>
  <si>
    <t>Jardín Infantil Clásico de Administración Directa</t>
  </si>
  <si>
    <t>Jardín Infantil Clásico de Administración VTF</t>
  </si>
  <si>
    <t>Infraestructura y equipamiento para la Educación Pública del siglo XXI (incluirá Contingencia para Mantención y Reparación de Infraestructura Escolar (Plan de Reactivación Educativa)</t>
  </si>
  <si>
    <t>Fondo de Apoyo a la Educación Pública (incluirá Financiamiento de la Educación Pública (Fondo de Incentivo para la Gestión Administrativa de los SLEP)</t>
  </si>
  <si>
    <t>Fondo para la Reactivación Educativa (Plan de Reactivación Educativa)</t>
  </si>
  <si>
    <t>En evaluación. Primer informe de evaluación recibido con calificación OT al 09/06</t>
  </si>
  <si>
    <t>En evaluación. Primer informe de evaluación recibido con calificación OT al 12/06</t>
  </si>
  <si>
    <t>En evaluación. Primer informe de evaluación recibido con calificación OT al 19/06</t>
  </si>
  <si>
    <t>En evaluación. Primer informe de evaluación recibido con calificación OT al 11/06</t>
  </si>
  <si>
    <t>En evaluación. Primer informe de evaluación recibido con calificación OT al 13/06</t>
  </si>
  <si>
    <t>En evaluación. Primer informe de evaluación recibido con calificación OT al 05/06</t>
  </si>
  <si>
    <t>En evaluación. Primer informe de evaluación recibido con calificación FI al 30/05</t>
  </si>
  <si>
    <t>En evaluación. Primer informe de evaluación recibido con calificación OT al 06/06</t>
  </si>
  <si>
    <t>En evaluación. Primer informe de evaluación recibido con calificación OT al 10/06</t>
  </si>
  <si>
    <t>Inicio Monitoreo 2024
ejecución año t-1</t>
  </si>
  <si>
    <t>Envío de orientaciones
a contrapartes internas</t>
  </si>
  <si>
    <t>Evaluación
MDSyF</t>
  </si>
  <si>
    <t>Reporte en
plataforma</t>
  </si>
  <si>
    <t>Inicio Ex ante</t>
  </si>
  <si>
    <t>Envío de
lineamientos
internos</t>
  </si>
  <si>
    <t>Ingreso máximo ex ante</t>
  </si>
  <si>
    <t>Iteración 1</t>
  </si>
  <si>
    <t>Iteración 2</t>
  </si>
  <si>
    <t>Iteración 3</t>
  </si>
  <si>
    <t>Iteración 4</t>
  </si>
  <si>
    <t>Publicación
de informes
de monitoreo</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</si>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</sst>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15">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2"/>
      <color theme="1"/>
      <name val="Calibri"/>
      <family val="2"/>
      <scheme val="minor"/>
    </font>
    <font>
      <sz val="14"/>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b/>
      <sz val="28"/>
      <color rgb="FF008080"/>
      <name val="Calibri"/>
      <family val="2"/>
      <scheme val="minor"/>
    </font>
    <font>
      <b/>
      <sz val="12"/>
      <color theme="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16"/>
      <name val="Calibri Light"/>
      <family val="2"/>
    </font>
    <font>
      <sz val="11"/>
      <color rgb="FF000000"/>
      <name val="Aptos Narrow"/>
      <family val="2"/>
    </font>
    <font>
      <b/>
      <sz val="16"/>
      <color rgb="FFF4EE00"/>
      <name val="Calibri"/>
      <family val="2"/>
      <scheme val="minor"/>
    </font>
    <font>
      <b/>
      <sz val="16"/>
      <color theme="0" tint="-4.9989318521683403E-2"/>
      <name val="Calibri"/>
      <family val="2"/>
      <scheme val="minor"/>
    </font>
    <font>
      <b/>
      <sz val="12"/>
      <color theme="0" tint="-4.9989318521683403E-2"/>
      <name val="Calibri"/>
      <family val="2"/>
      <scheme val="minor"/>
    </font>
    <font>
      <b/>
      <sz val="12"/>
      <color rgb="FFF4EE00"/>
      <name val="Calibri"/>
      <family val="2"/>
      <scheme val="minor"/>
    </font>
    <font>
      <b/>
      <sz val="14"/>
      <color rgb="FF002060"/>
      <name val="Calibri"/>
      <family val="2"/>
      <scheme val="minor"/>
    </font>
    <font>
      <sz val="11"/>
      <color rgb="FF002060"/>
      <name val="Calibri"/>
      <family val="2"/>
      <scheme val="minor"/>
    </font>
    <font>
      <b/>
      <sz val="12"/>
      <color rgb="FF002060"/>
      <name val="Calibri"/>
      <family val="2"/>
      <scheme val="minor"/>
    </font>
    <font>
      <b/>
      <sz val="14"/>
      <color theme="4" tint="-0.499984740745262"/>
      <name val="Calibri"/>
      <family val="2"/>
      <scheme val="minor"/>
    </font>
    <font>
      <b/>
      <sz val="20"/>
      <color theme="0"/>
      <name val="Calibri"/>
      <family val="2"/>
      <scheme val="minor"/>
    </font>
    <font>
      <b/>
      <sz val="22"/>
      <color theme="0"/>
      <name val="Calibri"/>
      <family val="2"/>
      <scheme val="minor"/>
    </font>
    <font>
      <b/>
      <sz val="16"/>
      <color rgb="FF002060"/>
      <name val="Calibri"/>
      <family val="2"/>
      <scheme val="minor"/>
    </font>
    <font>
      <sz val="10"/>
      <color theme="1"/>
      <name val="Calibri"/>
      <family val="2"/>
      <scheme val="minor"/>
    </font>
    <font>
      <b/>
      <sz val="8"/>
      <color theme="1"/>
      <name val="Calibri"/>
      <family val="2"/>
      <scheme val="minor"/>
    </font>
    <font>
      <b/>
      <sz val="10"/>
      <color theme="0" tint="-4.9989318521683403E-2"/>
      <name val="Calibri"/>
      <family val="2"/>
      <scheme val="minor"/>
    </font>
    <font>
      <b/>
      <sz val="14"/>
      <color theme="0" tint="-0.499984740745262"/>
      <name val="Calibri"/>
      <family val="2"/>
      <scheme val="minor"/>
    </font>
    <font>
      <sz val="13"/>
      <color theme="1"/>
      <name val="Calibri"/>
      <family val="2"/>
      <scheme val="minor"/>
    </font>
    <font>
      <sz val="13"/>
      <color rgb="FF000000"/>
      <name val="Aptos Narrow"/>
      <family val="2"/>
    </font>
    <font>
      <sz val="13"/>
      <name val="Calibri"/>
      <family val="2"/>
      <scheme val="minor"/>
    </font>
    <font>
      <sz val="13"/>
      <name val="Aptos Narrow"/>
      <family val="2"/>
    </font>
    <font>
      <b/>
      <sz val="16"/>
      <color theme="3"/>
      <name val="Calibri"/>
      <family val="2"/>
      <scheme val="minor"/>
    </font>
    <font>
      <sz val="16"/>
      <color theme="3"/>
      <name val="Calibri"/>
      <family val="2"/>
      <scheme val="minor"/>
    </font>
    <font>
      <sz val="14"/>
      <color rgb="FF002060"/>
      <name val="Calibri"/>
      <family val="2"/>
      <scheme val="minor"/>
    </font>
    <font>
      <b/>
      <sz val="12"/>
      <color theme="0" tint="-0.499984740745262"/>
      <name val="Calibri"/>
      <family val="2"/>
      <scheme val="minor"/>
    </font>
    <font>
      <sz val="12"/>
      <color theme="0"/>
      <name val="Calibri"/>
      <family val="2"/>
      <scheme val="minor"/>
    </font>
    <font>
      <b/>
      <sz val="14"/>
      <color theme="0" tint="-4.9989318521683403E-2"/>
      <name val="Calibri"/>
      <family val="2"/>
      <scheme val="minor"/>
    </font>
    <font>
      <b/>
      <sz val="16"/>
      <color theme="1"/>
      <name val="Calibri"/>
      <family val="2"/>
      <scheme val="minor"/>
    </font>
    <font>
      <b/>
      <sz val="20"/>
      <color rgb="FF002060"/>
      <name val="Calibri"/>
      <family val="2"/>
      <scheme val="minor"/>
    </font>
    <font>
      <b/>
      <sz val="22"/>
      <color rgb="FF002060"/>
      <name val="Calibri"/>
      <family val="2"/>
      <scheme val="minor"/>
    </font>
    <font>
      <b/>
      <sz val="20"/>
      <color theme="0" tint="-4.9989318521683403E-2"/>
      <name val="Calibri"/>
      <family val="2"/>
      <scheme val="minor"/>
    </font>
    <font>
      <b/>
      <sz val="22"/>
      <color theme="0" tint="-4.9989318521683403E-2"/>
      <name val="Calibri"/>
      <family val="2"/>
      <scheme val="minor"/>
    </font>
    <font>
      <b/>
      <sz val="20"/>
      <color rgb="FFF4EE00"/>
      <name val="Calibri"/>
      <family val="2"/>
      <scheme val="minor"/>
    </font>
    <font>
      <b/>
      <sz val="20"/>
      <color theme="1"/>
      <name val="Calibri"/>
      <family val="2"/>
      <scheme val="minor"/>
    </font>
    <font>
      <b/>
      <sz val="18"/>
      <color rgb="FF002060"/>
      <name val="Calibri"/>
      <family val="2"/>
      <scheme val="minor"/>
    </font>
    <font>
      <b/>
      <sz val="12"/>
      <name val="Calibri"/>
      <family val="2"/>
      <scheme val="minor"/>
    </font>
    <font>
      <sz val="16"/>
      <color theme="4" tint="-0.249977111117893"/>
      <name val="Calibri"/>
      <family val="2"/>
      <scheme val="minor"/>
    </font>
    <font>
      <b/>
      <sz val="18"/>
      <color theme="4" tint="-0.499984740745262"/>
      <name val="Calibri Light"/>
      <family val="2"/>
    </font>
  </fonts>
  <fills count="22">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rgb="FFFFC000"/>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2"/>
        <bgColor indexed="64"/>
      </patternFill>
    </fill>
    <fill>
      <patternFill patternType="solid">
        <fgColor theme="3" tint="-0.249977111117893"/>
        <bgColor theme="7"/>
      </patternFill>
    </fill>
    <fill>
      <patternFill patternType="solid">
        <fgColor theme="4"/>
        <bgColor indexed="64"/>
      </patternFill>
    </fill>
    <fill>
      <patternFill patternType="solid">
        <fgColor theme="8"/>
        <bgColor indexed="64"/>
      </patternFill>
    </fill>
  </fills>
  <borders count="345">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style="thin">
        <color theme="1"/>
      </left>
      <right style="thin">
        <color theme="1"/>
      </right>
      <top/>
      <bottom style="thin">
        <color theme="1"/>
      </bottom>
      <diagonal/>
    </border>
    <border>
      <left/>
      <right style="thin">
        <color theme="0"/>
      </right>
      <top style="thin">
        <color theme="0"/>
      </top>
      <bottom style="medium">
        <color theme="0"/>
      </bottom>
      <diagonal/>
    </border>
    <border>
      <left style="medium">
        <color theme="1"/>
      </left>
      <right/>
      <top/>
      <bottom/>
      <diagonal/>
    </border>
    <border>
      <left/>
      <right/>
      <top style="thin">
        <color indexed="64"/>
      </top>
      <bottom style="medium">
        <color theme="1"/>
      </bottom>
      <diagonal/>
    </border>
    <border>
      <left/>
      <right style="medium">
        <color theme="1"/>
      </right>
      <top style="thin">
        <color theme="0"/>
      </top>
      <bottom style="medium">
        <color theme="1"/>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right style="thin">
        <color theme="0"/>
      </right>
      <top style="medium">
        <color theme="0"/>
      </top>
      <bottom/>
      <diagonal/>
    </border>
    <border>
      <left style="medium">
        <color theme="1"/>
      </left>
      <right style="medium">
        <color theme="0"/>
      </right>
      <top style="medium">
        <color theme="0"/>
      </top>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
      <left style="medium">
        <color theme="1"/>
      </left>
      <right/>
      <top/>
      <bottom style="medium">
        <color theme="1"/>
      </bottom>
      <diagonal/>
    </border>
    <border>
      <left style="medium">
        <color theme="1"/>
      </left>
      <right/>
      <top/>
      <bottom style="medium">
        <color indexed="64"/>
      </bottom>
      <diagonal/>
    </border>
    <border>
      <left/>
      <right style="thin">
        <color theme="0"/>
      </right>
      <top style="medium">
        <color theme="1"/>
      </top>
      <bottom/>
      <diagonal/>
    </border>
    <border>
      <left/>
      <right style="thin">
        <color theme="0"/>
      </right>
      <top/>
      <bottom style="medium">
        <color theme="1"/>
      </bottom>
      <diagonal/>
    </border>
    <border>
      <left style="thin">
        <color theme="0"/>
      </left>
      <right/>
      <top style="medium">
        <color theme="1"/>
      </top>
      <bottom/>
      <diagonal/>
    </border>
    <border>
      <left style="thin">
        <color theme="0"/>
      </left>
      <right/>
      <top/>
      <bottom style="medium">
        <color theme="1"/>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theme="1"/>
      </left>
      <right style="medium">
        <color theme="1"/>
      </right>
      <top style="thin">
        <color theme="1"/>
      </top>
      <bottom style="thin">
        <color theme="1"/>
      </bottom>
      <diagonal/>
    </border>
    <border>
      <left style="thin">
        <color theme="1"/>
      </left>
      <right style="medium">
        <color theme="1"/>
      </right>
      <top style="thin">
        <color theme="1"/>
      </top>
      <bottom style="medium">
        <color theme="1"/>
      </bottom>
      <diagonal/>
    </border>
    <border>
      <left style="thin">
        <color indexed="64"/>
      </left>
      <right/>
      <top style="medium">
        <color indexed="64"/>
      </top>
      <bottom style="thin">
        <color indexed="64"/>
      </bottom>
      <diagonal/>
    </border>
    <border>
      <left style="medium">
        <color indexed="64"/>
      </left>
      <right style="thin">
        <color auto="1"/>
      </right>
      <top style="thin">
        <color indexed="64"/>
      </top>
      <bottom/>
      <diagonal/>
    </border>
    <border>
      <left style="thin">
        <color theme="0"/>
      </left>
      <right/>
      <top/>
      <bottom style="medium">
        <color indexed="64"/>
      </bottom>
      <diagonal/>
    </border>
    <border>
      <left style="thin">
        <color theme="0"/>
      </left>
      <right style="thin">
        <color theme="0"/>
      </right>
      <top/>
      <bottom style="medium">
        <color indexed="64"/>
      </bottom>
      <diagonal/>
    </border>
    <border>
      <left style="medium">
        <color indexed="64"/>
      </left>
      <right style="medium">
        <color theme="1"/>
      </right>
      <top style="thin">
        <color theme="0"/>
      </top>
      <bottom style="thin">
        <color theme="0"/>
      </bottom>
      <diagonal/>
    </border>
    <border>
      <left style="thin">
        <color theme="0"/>
      </left>
      <right style="thin">
        <color theme="0"/>
      </right>
      <top/>
      <bottom style="medium">
        <color theme="1"/>
      </bottom>
      <diagonal/>
    </border>
    <border>
      <left style="medium">
        <color theme="1"/>
      </left>
      <right style="medium">
        <color theme="1"/>
      </right>
      <top style="thin">
        <color theme="0"/>
      </top>
      <bottom style="thin">
        <color theme="0"/>
      </bottom>
      <diagonal/>
    </border>
    <border>
      <left style="medium">
        <color theme="1"/>
      </left>
      <right style="medium">
        <color theme="1"/>
      </right>
      <top style="thin">
        <color theme="0"/>
      </top>
      <bottom/>
      <diagonal/>
    </border>
    <border>
      <left style="thin">
        <color theme="0"/>
      </left>
      <right style="medium">
        <color indexed="64"/>
      </right>
      <top/>
      <bottom/>
      <diagonal/>
    </border>
    <border>
      <left style="thin">
        <color theme="0"/>
      </left>
      <right style="thin">
        <color theme="0"/>
      </right>
      <top style="medium">
        <color theme="1"/>
      </top>
      <bottom/>
      <diagonal/>
    </border>
    <border diagonalDown="1">
      <left style="thin">
        <color theme="0"/>
      </left>
      <right style="thin">
        <color theme="0"/>
      </right>
      <top style="thin">
        <color theme="0"/>
      </top>
      <bottom style="thin">
        <color theme="0"/>
      </bottom>
      <diagonal style="thin">
        <color theme="0"/>
      </diagonal>
    </border>
    <border>
      <left style="medium">
        <color indexed="64"/>
      </left>
      <right style="thin">
        <color theme="0"/>
      </right>
      <top style="thin">
        <color theme="0"/>
      </top>
      <bottom/>
      <diagonal/>
    </border>
    <border>
      <left style="medium">
        <color theme="1" tint="0.499984740745262"/>
      </left>
      <right/>
      <top style="medium">
        <color theme="1" tint="0.499984740745262"/>
      </top>
      <bottom style="medium">
        <color theme="1" tint="0.499984740745262"/>
      </bottom>
      <diagonal/>
    </border>
    <border>
      <left/>
      <right/>
      <top style="medium">
        <color theme="1" tint="0.499984740745262"/>
      </top>
      <bottom style="medium">
        <color theme="1" tint="0.499984740745262"/>
      </bottom>
      <diagonal/>
    </border>
    <border>
      <left/>
      <right style="medium">
        <color theme="1" tint="0.499984740745262"/>
      </right>
      <top style="medium">
        <color theme="1" tint="0.499984740745262"/>
      </top>
      <bottom style="medium">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medium">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0"/>
      </right>
      <top style="thin">
        <color theme="0"/>
      </top>
      <bottom style="thin">
        <color theme="0" tint="-4.9989318521683403E-2"/>
      </bottom>
      <diagonal/>
    </border>
    <border>
      <left/>
      <right style="thin">
        <color theme="0"/>
      </right>
      <top style="thin">
        <color theme="0" tint="-4.9989318521683403E-2"/>
      </top>
      <bottom style="thin">
        <color theme="0"/>
      </bottom>
      <diagonal/>
    </border>
    <border>
      <left style="medium">
        <color theme="0"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0" tint="-0.499984740745262"/>
      </right>
      <top style="thin">
        <color theme="1" tint="0.499984740745262"/>
      </top>
      <bottom style="thin">
        <color theme="1" tint="0.499984740745262"/>
      </bottom>
      <diagonal/>
    </border>
    <border>
      <left style="thin">
        <color theme="0"/>
      </left>
      <right style="medium">
        <color theme="1" tint="0.499984740745262"/>
      </right>
      <top style="thin">
        <color theme="0"/>
      </top>
      <bottom/>
      <diagonal/>
    </border>
    <border>
      <left style="thin">
        <color theme="0"/>
      </left>
      <right/>
      <top style="medium">
        <color theme="1" tint="0.499984740745262"/>
      </top>
      <bottom/>
      <diagonal/>
    </border>
    <border>
      <left style="thin">
        <color theme="0"/>
      </left>
      <right style="thin">
        <color theme="0"/>
      </right>
      <top style="medium">
        <color theme="1" tint="0.499984740745262"/>
      </top>
      <bottom/>
      <diagonal/>
    </border>
    <border>
      <left style="thin">
        <color theme="0"/>
      </left>
      <right/>
      <top style="medium">
        <color theme="1" tint="0.499984740745262"/>
      </top>
      <bottom style="thin">
        <color theme="0"/>
      </bottom>
      <diagonal/>
    </border>
    <border>
      <left style="medium">
        <color theme="1" tint="0.499984740745262"/>
      </left>
      <right style="thin">
        <color theme="0"/>
      </right>
      <top style="thin">
        <color theme="0"/>
      </top>
      <bottom style="thin">
        <color theme="0"/>
      </bottom>
      <diagonal/>
    </border>
    <border>
      <left style="thin">
        <color theme="0"/>
      </left>
      <right style="thin">
        <color theme="0"/>
      </right>
      <top/>
      <bottom style="medium">
        <color theme="1" tint="0.499984740745262"/>
      </bottom>
      <diagonal/>
    </border>
    <border>
      <left style="medium">
        <color theme="1"/>
      </left>
      <right style="thin">
        <color theme="0"/>
      </right>
      <top/>
      <bottom style="thin">
        <color theme="0"/>
      </bottom>
      <diagonal/>
    </border>
    <border>
      <left/>
      <right style="thin">
        <color theme="0" tint="-4.9989318521683403E-2"/>
      </right>
      <top style="thin">
        <color theme="0" tint="-4.9989318521683403E-2"/>
      </top>
      <bottom style="thin">
        <color theme="0" tint="-4.9989318521683403E-2"/>
      </bottom>
      <diagonal/>
    </border>
    <border>
      <left style="medium">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medium">
        <color theme="1" tint="0.499984740745262"/>
      </right>
      <top style="thin">
        <color theme="1" tint="0.499984740745262"/>
      </top>
      <bottom/>
      <diagonal/>
    </border>
    <border>
      <left style="medium">
        <color theme="1" tint="0.499984740745262"/>
      </left>
      <right/>
      <top style="thin">
        <color theme="1" tint="0.499984740745262"/>
      </top>
      <bottom/>
      <diagonal/>
    </border>
    <border>
      <left/>
      <right/>
      <top style="thin">
        <color theme="1" tint="0.499984740745262"/>
      </top>
      <bottom/>
      <diagonal/>
    </border>
    <border>
      <left style="medium">
        <color theme="0" tint="-0.499984740745262"/>
      </left>
      <right style="thin">
        <color theme="1" tint="0.499984740745262"/>
      </right>
      <top style="thin">
        <color theme="1" tint="0.499984740745262"/>
      </top>
      <bottom/>
      <diagonal/>
    </border>
    <border>
      <left style="thin">
        <color theme="1" tint="0.499984740745262"/>
      </left>
      <right style="medium">
        <color theme="0" tint="-0.499984740745262"/>
      </right>
      <top style="thin">
        <color theme="1" tint="0.499984740745262"/>
      </top>
      <bottom/>
      <diagonal/>
    </border>
    <border>
      <left style="medium">
        <color theme="1"/>
      </left>
      <right style="thin">
        <color theme="1" tint="0.499984740745262"/>
      </right>
      <top style="medium">
        <color theme="1"/>
      </top>
      <bottom style="thin">
        <color theme="1" tint="0.499984740745262"/>
      </bottom>
      <diagonal/>
    </border>
    <border>
      <left style="thin">
        <color theme="1"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1" tint="0.499984740745262"/>
      </right>
      <top style="medium">
        <color theme="1"/>
      </top>
      <bottom style="thin">
        <color theme="1" tint="0.499984740745262"/>
      </bottom>
      <diagonal/>
    </border>
    <border>
      <left style="medium">
        <color theme="1" tint="0.499984740745262"/>
      </left>
      <right style="thin">
        <color theme="1" tint="0.499984740745262"/>
      </right>
      <top style="medium">
        <color theme="1"/>
      </top>
      <bottom style="thin">
        <color theme="1" tint="0.499984740745262"/>
      </bottom>
      <diagonal/>
    </border>
    <border>
      <left style="medium">
        <color theme="1" tint="0.499984740745262"/>
      </left>
      <right/>
      <top style="medium">
        <color theme="1"/>
      </top>
      <bottom style="thin">
        <color theme="1" tint="0.499984740745262"/>
      </bottom>
      <diagonal/>
    </border>
    <border>
      <left/>
      <right/>
      <top style="medium">
        <color theme="1"/>
      </top>
      <bottom style="thin">
        <color theme="1" tint="0.499984740745262"/>
      </bottom>
      <diagonal/>
    </border>
    <border>
      <left style="medium">
        <color theme="0"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0" tint="-0.499984740745262"/>
      </right>
      <top style="medium">
        <color theme="1"/>
      </top>
      <bottom style="thin">
        <color theme="1" tint="0.499984740745262"/>
      </bottom>
      <diagonal/>
    </border>
    <border>
      <left style="thin">
        <color theme="1" tint="0.499984740745262"/>
      </left>
      <right style="medium">
        <color theme="1"/>
      </right>
      <top style="medium">
        <color theme="1"/>
      </top>
      <bottom style="thin">
        <color theme="1" tint="0.499984740745262"/>
      </bottom>
      <diagonal/>
    </border>
    <border>
      <left style="medium">
        <color theme="1"/>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right>
      <top style="thin">
        <color theme="1" tint="0.499984740745262"/>
      </top>
      <bottom style="thin">
        <color theme="1" tint="0.499984740745262"/>
      </bottom>
      <diagonal/>
    </border>
    <border>
      <left style="medium">
        <color theme="1"/>
      </left>
      <right style="thin">
        <color theme="1" tint="0.499984740745262"/>
      </right>
      <top style="thin">
        <color theme="1" tint="0.499984740745262"/>
      </top>
      <bottom/>
      <diagonal/>
    </border>
    <border>
      <left style="thin">
        <color theme="1" tint="0.499984740745262"/>
      </left>
      <right style="medium">
        <color theme="1"/>
      </right>
      <top style="thin">
        <color theme="1" tint="0.499984740745262"/>
      </top>
      <bottom/>
      <diagonal/>
    </border>
    <border>
      <left style="medium">
        <color theme="1"/>
      </left>
      <right style="thin">
        <color theme="1" tint="0.499984740745262"/>
      </right>
      <top/>
      <bottom style="medium">
        <color theme="1"/>
      </bottom>
      <diagonal/>
    </border>
    <border>
      <left style="thin">
        <color theme="1" tint="0.499984740745262"/>
      </left>
      <right style="thin">
        <color theme="1" tint="0.499984740745262"/>
      </right>
      <top/>
      <bottom style="medium">
        <color theme="1"/>
      </bottom>
      <diagonal/>
    </border>
    <border>
      <left style="thin">
        <color theme="1" tint="0.499984740745262"/>
      </left>
      <right style="medium">
        <color theme="1" tint="0.499984740745262"/>
      </right>
      <top/>
      <bottom style="medium">
        <color theme="1"/>
      </bottom>
      <diagonal/>
    </border>
    <border>
      <left style="medium">
        <color theme="1" tint="0.499984740745262"/>
      </left>
      <right style="thin">
        <color theme="1" tint="0.499984740745262"/>
      </right>
      <top/>
      <bottom style="medium">
        <color theme="1"/>
      </bottom>
      <diagonal/>
    </border>
    <border>
      <left style="medium">
        <color theme="1" tint="0.499984740745262"/>
      </left>
      <right/>
      <top/>
      <bottom style="medium">
        <color theme="1"/>
      </bottom>
      <diagonal/>
    </border>
    <border>
      <left style="medium">
        <color theme="0" tint="-0.499984740745262"/>
      </left>
      <right style="thin">
        <color theme="1" tint="0.499984740745262"/>
      </right>
      <top/>
      <bottom style="medium">
        <color theme="1"/>
      </bottom>
      <diagonal/>
    </border>
    <border>
      <left style="thin">
        <color theme="1" tint="0.499984740745262"/>
      </left>
      <right style="medium">
        <color theme="0" tint="-0.499984740745262"/>
      </right>
      <top/>
      <bottom style="medium">
        <color theme="1"/>
      </bottom>
      <diagonal/>
    </border>
    <border>
      <left style="thin">
        <color theme="1" tint="0.499984740745262"/>
      </left>
      <right style="medium">
        <color theme="1"/>
      </right>
      <top/>
      <bottom style="medium">
        <color theme="1"/>
      </bottom>
      <diagonal/>
    </border>
    <border>
      <left style="medium">
        <color theme="0" tint="-0.499984740745262"/>
      </left>
      <right/>
      <top style="medium">
        <color theme="1"/>
      </top>
      <bottom style="medium">
        <color theme="1"/>
      </bottom>
      <diagonal/>
    </border>
    <border>
      <left/>
      <right style="medium">
        <color theme="0" tint="-0.499984740745262"/>
      </right>
      <top style="medium">
        <color theme="1"/>
      </top>
      <bottom style="medium">
        <color theme="1"/>
      </bottom>
      <diagonal/>
    </border>
    <border>
      <left style="thin">
        <color theme="0"/>
      </left>
      <right style="thin">
        <color theme="0"/>
      </right>
      <top style="thin">
        <color theme="1"/>
      </top>
      <bottom style="thin">
        <color theme="0"/>
      </bottom>
      <diagonal/>
    </border>
    <border>
      <left style="thin">
        <color theme="0"/>
      </left>
      <right/>
      <top style="thin">
        <color theme="1"/>
      </top>
      <bottom style="thin">
        <color theme="0"/>
      </bottom>
      <diagonal/>
    </border>
    <border>
      <left style="medium">
        <color theme="1"/>
      </left>
      <right style="medium">
        <color indexed="64"/>
      </right>
      <top style="thin">
        <color theme="0"/>
      </top>
      <bottom style="thin">
        <color theme="0"/>
      </bottom>
      <diagonal/>
    </border>
    <border>
      <left style="medium">
        <color theme="1"/>
      </left>
      <right style="thin">
        <color theme="1"/>
      </right>
      <top style="thin">
        <color theme="0"/>
      </top>
      <bottom style="thin">
        <color theme="0"/>
      </bottom>
      <diagonal/>
    </border>
    <border>
      <left style="medium">
        <color theme="1"/>
      </left>
      <right style="thin">
        <color theme="1"/>
      </right>
      <top style="medium">
        <color theme="1"/>
      </top>
      <bottom style="thin">
        <color theme="1"/>
      </bottom>
      <diagonal/>
    </border>
    <border>
      <left style="thin">
        <color theme="1"/>
      </left>
      <right style="thin">
        <color theme="1"/>
      </right>
      <top style="medium">
        <color theme="1"/>
      </top>
      <bottom style="thin">
        <color theme="1"/>
      </bottom>
      <diagonal/>
    </border>
    <border>
      <left style="thin">
        <color theme="1"/>
      </left>
      <right style="medium">
        <color theme="1"/>
      </right>
      <top style="medium">
        <color theme="1"/>
      </top>
      <bottom style="thin">
        <color theme="1"/>
      </bottom>
      <diagonal/>
    </border>
    <border>
      <left style="thin">
        <color theme="1"/>
      </left>
      <right style="thin">
        <color theme="1"/>
      </right>
      <top style="thin">
        <color theme="1"/>
      </top>
      <bottom style="medium">
        <color theme="1"/>
      </bottom>
      <diagonal/>
    </border>
    <border>
      <left/>
      <right style="thin">
        <color theme="0"/>
      </right>
      <top/>
      <bottom style="medium">
        <color theme="1" tint="0.499984740745262"/>
      </bottom>
      <diagonal/>
    </border>
    <border>
      <left style="thin">
        <color theme="0"/>
      </left>
      <right style="thin">
        <color theme="0"/>
      </right>
      <top style="medium">
        <color theme="2" tint="-9.9978637043366805E-2"/>
      </top>
      <bottom style="thin">
        <color theme="0"/>
      </bottom>
      <diagonal/>
    </border>
    <border>
      <left style="medium">
        <color theme="2" tint="-9.9978637043366805E-2"/>
      </left>
      <right style="thin">
        <color theme="0"/>
      </right>
      <top style="thin">
        <color theme="0"/>
      </top>
      <bottom style="thin">
        <color theme="0"/>
      </bottom>
      <diagonal/>
    </border>
    <border>
      <left style="thin">
        <color theme="0"/>
      </left>
      <right style="medium">
        <color theme="2" tint="-9.9978637043366805E-2"/>
      </right>
      <top style="thin">
        <color theme="0"/>
      </top>
      <bottom style="thin">
        <color theme="0"/>
      </bottom>
      <diagonal/>
    </border>
    <border>
      <left style="medium">
        <color theme="2" tint="-9.9978637043366805E-2"/>
      </left>
      <right style="thin">
        <color theme="0"/>
      </right>
      <top/>
      <bottom style="thin">
        <color theme="0"/>
      </bottom>
      <diagonal/>
    </border>
    <border>
      <left style="medium">
        <color theme="2" tint="-9.9978637043366805E-2"/>
      </left>
      <right style="thin">
        <color theme="0"/>
      </right>
      <top style="thin">
        <color theme="0"/>
      </top>
      <bottom/>
      <diagonal/>
    </border>
    <border>
      <left/>
      <right/>
      <top/>
      <bottom style="medium">
        <color theme="2" tint="-9.9978637043366805E-2"/>
      </bottom>
      <diagonal/>
    </border>
    <border>
      <left style="thin">
        <color theme="0"/>
      </left>
      <right style="thin">
        <color theme="0"/>
      </right>
      <top/>
      <bottom style="medium">
        <color theme="2" tint="-9.9978637043366805E-2"/>
      </bottom>
      <diagonal/>
    </border>
    <border>
      <left style="medium">
        <color theme="2" tint="-9.9978637043366805E-2"/>
      </left>
      <right style="thin">
        <color theme="0"/>
      </right>
      <top/>
      <bottom/>
      <diagonal/>
    </border>
    <border>
      <left/>
      <right/>
      <top style="medium">
        <color theme="2" tint="-9.9978637043366805E-2"/>
      </top>
      <bottom/>
      <diagonal/>
    </border>
    <border>
      <left style="thin">
        <color theme="0"/>
      </left>
      <right style="medium">
        <color theme="2" tint="-9.9978637043366805E-2"/>
      </right>
      <top style="medium">
        <color theme="2" tint="-9.9978637043366805E-2"/>
      </top>
      <bottom style="thin">
        <color theme="0"/>
      </bottom>
      <diagonal/>
    </border>
    <border>
      <left style="thin">
        <color theme="0"/>
      </left>
      <right/>
      <top style="medium">
        <color theme="2" tint="-9.9978637043366805E-2"/>
      </top>
      <bottom style="thin">
        <color theme="0"/>
      </bottom>
      <diagonal/>
    </border>
    <border>
      <left style="medium">
        <color theme="2" tint="-9.9978637043366805E-2"/>
      </left>
      <right/>
      <top style="medium">
        <color theme="2" tint="-9.9978637043366805E-2"/>
      </top>
      <bottom/>
      <diagonal/>
    </border>
    <border>
      <left style="medium">
        <color theme="2" tint="-9.9978637043366805E-2"/>
      </left>
      <right style="thin">
        <color theme="0"/>
      </right>
      <top/>
      <bottom style="medium">
        <color theme="2" tint="-9.9978637043366805E-2"/>
      </bottom>
      <diagonal/>
    </border>
    <border>
      <left/>
      <right style="thin">
        <color theme="0"/>
      </right>
      <top/>
      <bottom style="medium">
        <color theme="2" tint="-9.9978637043366805E-2"/>
      </bottom>
      <diagonal/>
    </border>
    <border>
      <left style="thin">
        <color theme="0"/>
      </left>
      <right style="medium">
        <color theme="2" tint="-9.9978637043366805E-2"/>
      </right>
      <top/>
      <bottom style="medium">
        <color theme="2" tint="-9.9978637043366805E-2"/>
      </bottom>
      <diagonal/>
    </border>
    <border>
      <left style="thin">
        <color rgb="FF000000"/>
      </left>
      <right/>
      <top style="thin">
        <color rgb="FF000000"/>
      </top>
      <bottom/>
      <diagonal/>
    </border>
    <border>
      <left style="thin">
        <color theme="0"/>
      </left>
      <right/>
      <top style="thin">
        <color auto="1"/>
      </top>
      <bottom/>
      <diagonal/>
    </border>
    <border>
      <left/>
      <right style="thin">
        <color theme="0"/>
      </right>
      <top style="thin">
        <color auto="1"/>
      </top>
      <bottom/>
      <diagonal/>
    </border>
    <border>
      <left style="medium">
        <color theme="1"/>
      </left>
      <right style="medium">
        <color theme="1"/>
      </right>
      <top style="medium">
        <color theme="1"/>
      </top>
      <bottom style="medium">
        <color theme="1"/>
      </bottom>
      <diagonal/>
    </border>
    <border>
      <left style="medium">
        <color rgb="FFFF0000"/>
      </left>
      <right style="medium">
        <color rgb="FFFF0000"/>
      </right>
      <top/>
      <bottom/>
      <diagonal/>
    </border>
    <border>
      <left style="medium">
        <color theme="1"/>
      </left>
      <right style="medium">
        <color theme="3" tint="-0.249977111117893"/>
      </right>
      <top style="thin">
        <color theme="0"/>
      </top>
      <bottom style="thin">
        <color theme="0"/>
      </bottom>
      <diagonal/>
    </border>
    <border>
      <left style="medium">
        <color theme="1"/>
      </left>
      <right style="thin">
        <color theme="1"/>
      </right>
      <top style="medium">
        <color theme="1"/>
      </top>
      <bottom/>
      <diagonal/>
    </border>
    <border>
      <left style="thin">
        <color theme="1"/>
      </left>
      <right style="thin">
        <color theme="1"/>
      </right>
      <top style="medium">
        <color theme="1"/>
      </top>
      <bottom/>
      <diagonal/>
    </border>
    <border>
      <left style="thin">
        <color theme="1"/>
      </left>
      <right style="medium">
        <color theme="1"/>
      </right>
      <top style="medium">
        <color theme="1"/>
      </top>
      <bottom/>
      <diagonal/>
    </border>
    <border>
      <left style="thin">
        <color theme="0"/>
      </left>
      <right style="thin">
        <color theme="0"/>
      </right>
      <top style="thin">
        <color theme="1"/>
      </top>
      <bottom/>
      <diagonal/>
    </border>
    <border>
      <left style="thin">
        <color theme="0"/>
      </left>
      <right/>
      <top style="thin">
        <color theme="1"/>
      </top>
      <bottom/>
      <diagonal/>
    </border>
    <border>
      <left style="medium">
        <color theme="1"/>
      </left>
      <right style="thin">
        <color auto="1"/>
      </right>
      <top style="thin">
        <color indexed="64"/>
      </top>
      <bottom style="thin">
        <color indexed="64"/>
      </bottom>
      <diagonal/>
    </border>
    <border>
      <left style="medium">
        <color theme="1"/>
      </left>
      <right style="thin">
        <color auto="1"/>
      </right>
      <top style="thin">
        <color indexed="64"/>
      </top>
      <bottom style="medium">
        <color theme="1"/>
      </bottom>
      <diagonal/>
    </border>
    <border>
      <left style="thin">
        <color indexed="64"/>
      </left>
      <right/>
      <top style="thin">
        <color indexed="64"/>
      </top>
      <bottom style="medium">
        <color theme="1"/>
      </bottom>
      <diagonal/>
    </border>
    <border>
      <left style="medium">
        <color theme="1"/>
      </left>
      <right style="medium">
        <color theme="1"/>
      </right>
      <top style="medium">
        <color theme="1"/>
      </top>
      <bottom/>
      <diagonal/>
    </border>
    <border>
      <left/>
      <right style="medium">
        <color theme="1"/>
      </right>
      <top style="thin">
        <color indexed="64"/>
      </top>
      <bottom/>
      <diagonal/>
    </border>
    <border>
      <left style="medium">
        <color theme="1"/>
      </left>
      <right/>
      <top style="medium">
        <color theme="1"/>
      </top>
      <bottom style="thin">
        <color theme="0"/>
      </bottom>
      <diagonal/>
    </border>
    <border>
      <left/>
      <right style="thin">
        <color theme="0"/>
      </right>
      <top style="medium">
        <color theme="1"/>
      </top>
      <bottom style="thin">
        <color theme="0"/>
      </bottom>
      <diagonal/>
    </border>
    <border>
      <left style="thin">
        <color theme="0"/>
      </left>
      <right/>
      <top style="thin">
        <color theme="0"/>
      </top>
      <bottom style="medium">
        <color theme="3" tint="-0.249977111117893"/>
      </bottom>
      <diagonal/>
    </border>
    <border>
      <left/>
      <right style="thin">
        <color theme="0"/>
      </right>
      <top style="thin">
        <color theme="0"/>
      </top>
      <bottom style="medium">
        <color theme="3" tint="-0.249977111117893"/>
      </bottom>
      <diagonal/>
    </border>
    <border>
      <left style="thin">
        <color theme="0"/>
      </left>
      <right style="thin">
        <color theme="0"/>
      </right>
      <top style="thin">
        <color theme="0"/>
      </top>
      <bottom style="medium">
        <color theme="3"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theme="1"/>
      </left>
      <right style="thin">
        <color theme="0" tint="-0.499984740745262"/>
      </right>
      <top style="medium">
        <color theme="1"/>
      </top>
      <bottom style="thin">
        <color theme="0" tint="-0.499984740745262"/>
      </bottom>
      <diagonal/>
    </border>
    <border>
      <left style="thin">
        <color theme="0" tint="-0.499984740745262"/>
      </left>
      <right style="thin">
        <color theme="0" tint="-0.499984740745262"/>
      </right>
      <top style="medium">
        <color theme="1"/>
      </top>
      <bottom style="thin">
        <color theme="0" tint="-0.499984740745262"/>
      </bottom>
      <diagonal/>
    </border>
    <border>
      <left style="thin">
        <color theme="0" tint="-0.499984740745262"/>
      </left>
      <right style="medium">
        <color theme="1"/>
      </right>
      <top style="medium">
        <color theme="1"/>
      </top>
      <bottom style="thin">
        <color theme="0" tint="-0.499984740745262"/>
      </bottom>
      <diagonal/>
    </border>
    <border>
      <left style="medium">
        <color theme="1"/>
      </left>
      <right style="thin">
        <color theme="0" tint="-0.499984740745262"/>
      </right>
      <top style="thin">
        <color theme="0" tint="-0.499984740745262"/>
      </top>
      <bottom style="thin">
        <color theme="0" tint="-0.499984740745262"/>
      </bottom>
      <diagonal/>
    </border>
    <border>
      <left style="thin">
        <color theme="0" tint="-0.499984740745262"/>
      </left>
      <right style="medium">
        <color theme="1"/>
      </right>
      <top style="thin">
        <color theme="0" tint="-0.499984740745262"/>
      </top>
      <bottom style="thin">
        <color theme="0" tint="-0.499984740745262"/>
      </bottom>
      <diagonal/>
    </border>
    <border>
      <left style="medium">
        <color theme="1"/>
      </left>
      <right style="thin">
        <color theme="0" tint="-0.499984740745262"/>
      </right>
      <top style="thin">
        <color theme="0" tint="-0.499984740745262"/>
      </top>
      <bottom style="medium">
        <color theme="1"/>
      </bottom>
      <diagonal/>
    </border>
    <border>
      <left style="thin">
        <color theme="0" tint="-0.499984740745262"/>
      </left>
      <right style="thin">
        <color theme="0" tint="-0.499984740745262"/>
      </right>
      <top style="thin">
        <color theme="0" tint="-0.499984740745262"/>
      </top>
      <bottom style="medium">
        <color theme="1"/>
      </bottom>
      <diagonal/>
    </border>
    <border>
      <left style="thin">
        <color theme="0" tint="-0.499984740745262"/>
      </left>
      <right style="medium">
        <color theme="1"/>
      </right>
      <top style="thin">
        <color theme="0" tint="-0.499984740745262"/>
      </top>
      <bottom style="medium">
        <color theme="1"/>
      </bottom>
      <diagonal/>
    </border>
    <border>
      <left style="medium">
        <color indexed="64"/>
      </left>
      <right style="medium">
        <color theme="1"/>
      </right>
      <top/>
      <bottom style="medium">
        <color indexed="64"/>
      </bottom>
      <diagonal/>
    </border>
    <border>
      <left style="medium">
        <color theme="1"/>
      </left>
      <right style="thin">
        <color theme="1"/>
      </right>
      <top/>
      <bottom style="medium">
        <color indexed="64"/>
      </bottom>
      <diagonal/>
    </border>
    <border>
      <left style="thin">
        <color theme="1"/>
      </left>
      <right style="medium">
        <color theme="1"/>
      </right>
      <top/>
      <bottom style="medium">
        <color indexed="64"/>
      </bottom>
      <diagonal/>
    </border>
    <border>
      <left style="medium">
        <color theme="1"/>
      </left>
      <right style="medium">
        <color indexed="64"/>
      </right>
      <top/>
      <bottom style="medium">
        <color indexed="64"/>
      </bottom>
      <diagonal/>
    </border>
    <border>
      <left/>
      <right style="thin">
        <color theme="1"/>
      </right>
      <top/>
      <bottom style="thin">
        <color theme="1"/>
      </bottom>
      <diagonal/>
    </border>
    <border>
      <left style="medium">
        <color theme="1"/>
      </left>
      <right style="thin">
        <color auto="1"/>
      </right>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thin">
        <color theme="0"/>
      </left>
      <right style="medium">
        <color indexed="64"/>
      </right>
      <top style="medium">
        <color indexed="64"/>
      </top>
      <bottom/>
      <diagonal/>
    </border>
    <border>
      <left style="medium">
        <color theme="1"/>
      </left>
      <right style="thin">
        <color theme="0"/>
      </right>
      <top style="medium">
        <color theme="1"/>
      </top>
      <bottom/>
      <diagonal/>
    </border>
    <border>
      <left style="thin">
        <color theme="0"/>
      </left>
      <right/>
      <top style="medium">
        <color indexed="64"/>
      </top>
      <bottom style="medium">
        <color indexed="64"/>
      </bottom>
      <diagonal/>
    </border>
    <border>
      <left style="medium">
        <color theme="1"/>
      </left>
      <right style="medium">
        <color theme="1"/>
      </right>
      <top style="thin">
        <color theme="0"/>
      </top>
      <bottom style="medium">
        <color theme="1"/>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1081">
    <xf numFmtId="0" fontId="0" fillId="0" borderId="0" xfId="0"/>
    <xf numFmtId="0" fontId="0" fillId="0" borderId="0" xfId="0" applyAlignment="1">
      <alignment wrapText="1"/>
    </xf>
    <xf numFmtId="0" fontId="0" fillId="0" borderId="1" xfId="0" applyBorder="1"/>
    <xf numFmtId="0" fontId="0" fillId="2" borderId="0" xfId="0" applyFill="1"/>
    <xf numFmtId="0" fontId="0" fillId="0" borderId="0" xfId="0" applyAlignment="1">
      <alignment horizontal="center"/>
    </xf>
    <xf numFmtId="0" fontId="10" fillId="0" borderId="0" xfId="0" applyFont="1"/>
    <xf numFmtId="0" fontId="10" fillId="0" borderId="0" xfId="0" applyFont="1" applyAlignment="1">
      <alignment horizontal="center"/>
    </xf>
    <xf numFmtId="0" fontId="13" fillId="0" borderId="1" xfId="0" applyFont="1" applyBorder="1"/>
    <xf numFmtId="0" fontId="13" fillId="5" borderId="1" xfId="0" applyFont="1" applyFill="1" applyBorder="1"/>
    <xf numFmtId="0" fontId="14" fillId="5" borderId="1" xfId="0" applyFont="1" applyFill="1" applyBorder="1"/>
    <xf numFmtId="0" fontId="0" fillId="3" borderId="0" xfId="0" applyFill="1"/>
    <xf numFmtId="0" fontId="18" fillId="2" borderId="0" xfId="0" applyFont="1" applyFill="1"/>
    <xf numFmtId="0" fontId="18" fillId="2" borderId="19" xfId="0" applyFont="1" applyFill="1" applyBorder="1"/>
    <xf numFmtId="0" fontId="18" fillId="2" borderId="20" xfId="0" applyFont="1" applyFill="1" applyBorder="1"/>
    <xf numFmtId="0" fontId="18" fillId="2" borderId="21" xfId="0" applyFont="1" applyFill="1" applyBorder="1"/>
    <xf numFmtId="0" fontId="18" fillId="2" borderId="17" xfId="0" applyFont="1" applyFill="1" applyBorder="1"/>
    <xf numFmtId="0" fontId="18" fillId="2" borderId="22" xfId="0" applyFont="1" applyFill="1" applyBorder="1"/>
    <xf numFmtId="0" fontId="18" fillId="2" borderId="23" xfId="0" applyFont="1" applyFill="1" applyBorder="1"/>
    <xf numFmtId="0" fontId="18" fillId="2" borderId="24" xfId="0" applyFont="1" applyFill="1" applyBorder="1"/>
    <xf numFmtId="0" fontId="18" fillId="2" borderId="25" xfId="0" applyFont="1" applyFill="1" applyBorder="1"/>
    <xf numFmtId="0" fontId="18"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0" borderId="19" xfId="0" applyBorder="1"/>
    <xf numFmtId="0" fontId="0" fillId="0" borderId="20" xfId="0" applyBorder="1"/>
    <xf numFmtId="0" fontId="4" fillId="0" borderId="0" xfId="0" applyFont="1" applyAlignment="1">
      <alignment horizontal="center"/>
    </xf>
    <xf numFmtId="0" fontId="8" fillId="3" borderId="0" xfId="0" applyFont="1" applyFill="1"/>
    <xf numFmtId="0" fontId="8" fillId="0" borderId="22" xfId="0" applyFont="1" applyBorder="1"/>
    <xf numFmtId="0" fontId="8" fillId="3" borderId="22" xfId="0" applyFont="1" applyFill="1" applyBorder="1"/>
    <xf numFmtId="0" fontId="19" fillId="0" borderId="33" xfId="0" applyFont="1" applyBorder="1" applyAlignment="1">
      <alignment horizontal="right" vertical="center"/>
    </xf>
    <xf numFmtId="0" fontId="19" fillId="9" borderId="33" xfId="0" applyFont="1" applyFill="1" applyBorder="1" applyAlignment="1">
      <alignment vertical="center"/>
    </xf>
    <xf numFmtId="0" fontId="15" fillId="0" borderId="0" xfId="0" applyFont="1" applyAlignment="1">
      <alignment horizontal="center" vertical="center"/>
    </xf>
    <xf numFmtId="0" fontId="31" fillId="0" borderId="0" xfId="0" applyFont="1" applyAlignment="1">
      <alignment horizontal="center" vertical="center"/>
    </xf>
    <xf numFmtId="0" fontId="32" fillId="6" borderId="1" xfId="0" applyFont="1" applyFill="1" applyBorder="1" applyAlignment="1">
      <alignment horizontal="center" vertical="center"/>
    </xf>
    <xf numFmtId="0" fontId="31" fillId="0" borderId="1" xfId="0" applyFont="1" applyBorder="1" applyAlignment="1">
      <alignment horizontal="center" vertical="center"/>
    </xf>
    <xf numFmtId="0" fontId="32" fillId="0" borderId="1" xfId="0" applyFont="1" applyBorder="1" applyAlignment="1">
      <alignment horizontal="center" vertical="center"/>
    </xf>
    <xf numFmtId="0" fontId="33" fillId="6" borderId="8" xfId="0" applyFont="1" applyFill="1" applyBorder="1" applyAlignment="1">
      <alignment horizontal="center" vertical="center"/>
    </xf>
    <xf numFmtId="0" fontId="32" fillId="6" borderId="8" xfId="0" applyFont="1" applyFill="1" applyBorder="1" applyAlignment="1">
      <alignment horizontal="center" vertical="center"/>
    </xf>
    <xf numFmtId="0" fontId="34" fillId="6" borderId="12" xfId="0" applyFont="1" applyFill="1" applyBorder="1"/>
    <xf numFmtId="0" fontId="33" fillId="6" borderId="13" xfId="0" applyFont="1" applyFill="1" applyBorder="1" applyAlignment="1">
      <alignment horizontal="center" vertical="center"/>
    </xf>
    <xf numFmtId="0" fontId="33" fillId="6" borderId="14" xfId="0" applyFont="1" applyFill="1" applyBorder="1" applyAlignment="1">
      <alignment horizontal="center" vertical="center"/>
    </xf>
    <xf numFmtId="0" fontId="34" fillId="0" borderId="0" xfId="0" applyFont="1"/>
    <xf numFmtId="0" fontId="32" fillId="0" borderId="0" xfId="0" applyFont="1" applyAlignment="1">
      <alignment horizontal="center" vertical="center"/>
    </xf>
    <xf numFmtId="0" fontId="31" fillId="0" borderId="11" xfId="0" applyFont="1" applyBorder="1" applyAlignment="1">
      <alignment horizontal="center" vertical="center"/>
    </xf>
    <xf numFmtId="0" fontId="32" fillId="0" borderId="10" xfId="0" applyFont="1" applyBorder="1" applyAlignment="1">
      <alignment horizontal="left" vertical="center"/>
    </xf>
    <xf numFmtId="0" fontId="33" fillId="0" borderId="0" xfId="0" applyFont="1"/>
    <xf numFmtId="0" fontId="34" fillId="6" borderId="2" xfId="0" applyFont="1" applyFill="1" applyBorder="1" applyAlignment="1">
      <alignment vertical="center"/>
    </xf>
    <xf numFmtId="0" fontId="34" fillId="6" borderId="2" xfId="0" applyFont="1" applyFill="1" applyBorder="1"/>
    <xf numFmtId="0" fontId="31" fillId="6" borderId="2" xfId="0" applyFont="1" applyFill="1" applyBorder="1" applyAlignment="1">
      <alignment horizontal="center" vertical="center"/>
    </xf>
    <xf numFmtId="0" fontId="31" fillId="6" borderId="4" xfId="0" applyFont="1" applyFill="1" applyBorder="1" applyAlignment="1">
      <alignment horizontal="center" vertical="center"/>
    </xf>
    <xf numFmtId="0" fontId="32" fillId="6" borderId="3" xfId="0" applyFont="1" applyFill="1" applyBorder="1" applyAlignment="1">
      <alignment horizontal="left" vertical="center"/>
    </xf>
    <xf numFmtId="0" fontId="32" fillId="6" borderId="9" xfId="0" applyFont="1" applyFill="1" applyBorder="1" applyAlignment="1">
      <alignment horizontal="center" vertical="center"/>
    </xf>
    <xf numFmtId="0" fontId="31" fillId="6" borderId="7" xfId="0" applyFont="1" applyFill="1" applyBorder="1" applyAlignment="1">
      <alignment horizontal="center" vertical="center"/>
    </xf>
    <xf numFmtId="0" fontId="35" fillId="0" borderId="33" xfId="0" applyFont="1" applyBorder="1" applyAlignment="1">
      <alignment horizontal="right" vertical="center"/>
    </xf>
    <xf numFmtId="0" fontId="0" fillId="0" borderId="0" xfId="0" applyAlignment="1">
      <alignment vertical="center" wrapText="1"/>
    </xf>
    <xf numFmtId="0" fontId="31" fillId="0" borderId="0" xfId="0" applyFont="1" applyAlignment="1">
      <alignment vertical="top"/>
    </xf>
    <xf numFmtId="0" fontId="22" fillId="0" borderId="0" xfId="0" applyFont="1" applyAlignment="1">
      <alignment vertical="center"/>
    </xf>
    <xf numFmtId="0" fontId="32" fillId="0" borderId="3" xfId="0" applyFont="1" applyBorder="1" applyAlignment="1">
      <alignment horizontal="center" vertical="center"/>
    </xf>
    <xf numFmtId="0" fontId="28" fillId="8" borderId="19" xfId="0" applyFont="1" applyFill="1" applyBorder="1" applyAlignment="1">
      <alignment horizontal="center" vertical="center" wrapText="1"/>
    </xf>
    <xf numFmtId="0" fontId="28" fillId="8" borderId="63" xfId="0" applyFont="1" applyFill="1" applyBorder="1" applyAlignment="1">
      <alignment horizontal="center" vertical="center"/>
    </xf>
    <xf numFmtId="0" fontId="28" fillId="8" borderId="64" xfId="0" applyFont="1" applyFill="1" applyBorder="1" applyAlignment="1">
      <alignment horizontal="center" vertical="center"/>
    </xf>
    <xf numFmtId="0" fontId="19" fillId="9" borderId="27" xfId="0" applyFont="1" applyFill="1" applyBorder="1" applyAlignment="1">
      <alignment vertical="center"/>
    </xf>
    <xf numFmtId="0" fontId="28" fillId="9" borderId="19" xfId="0" applyFont="1" applyFill="1" applyBorder="1" applyAlignment="1">
      <alignment horizontal="center" vertical="center" wrapText="1"/>
    </xf>
    <xf numFmtId="0" fontId="28" fillId="9" borderId="63" xfId="0" applyFont="1" applyFill="1" applyBorder="1" applyAlignment="1">
      <alignment horizontal="center" vertical="center"/>
    </xf>
    <xf numFmtId="0" fontId="28" fillId="9" borderId="64" xfId="0" applyFont="1" applyFill="1" applyBorder="1" applyAlignment="1">
      <alignment horizontal="center" vertical="center"/>
    </xf>
    <xf numFmtId="0" fontId="31"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0" borderId="1" xfId="0" applyBorder="1" applyAlignment="1">
      <alignment horizontal="left" vertical="center"/>
    </xf>
    <xf numFmtId="0" fontId="31" fillId="0" borderId="10" xfId="0" applyFont="1" applyBorder="1" applyAlignment="1">
      <alignment horizontal="left" vertical="center"/>
    </xf>
    <xf numFmtId="0" fontId="32"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1" fillId="0" borderId="47" xfId="0" applyFont="1" applyBorder="1" applyAlignment="1">
      <alignment vertical="top"/>
    </xf>
    <xf numFmtId="0" fontId="31" fillId="0" borderId="48" xfId="0" applyFont="1" applyBorder="1" applyAlignment="1">
      <alignment vertical="top"/>
    </xf>
    <xf numFmtId="0" fontId="31"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5" xfId="0" applyBorder="1"/>
    <xf numFmtId="0" fontId="31" fillId="0" borderId="65" xfId="0" applyFont="1" applyBorder="1" applyAlignment="1">
      <alignment vertical="top"/>
    </xf>
    <xf numFmtId="0" fontId="22" fillId="0" borderId="47" xfId="0" applyFont="1" applyBorder="1" applyAlignment="1">
      <alignment vertical="center"/>
    </xf>
    <xf numFmtId="0" fontId="22" fillId="0" borderId="46" xfId="0" applyFont="1" applyBorder="1" applyAlignment="1">
      <alignment vertical="center"/>
    </xf>
    <xf numFmtId="0" fontId="31" fillId="0" borderId="50" xfId="0" applyFont="1" applyBorder="1" applyAlignment="1">
      <alignment vertical="top"/>
    </xf>
    <xf numFmtId="0" fontId="31" fillId="0" borderId="56" xfId="0" applyFont="1" applyBorder="1" applyAlignment="1">
      <alignment vertical="top"/>
    </xf>
    <xf numFmtId="0" fontId="0" fillId="0" borderId="66" xfId="0" applyBorder="1"/>
    <xf numFmtId="0" fontId="0" fillId="0" borderId="67" xfId="0" applyBorder="1"/>
    <xf numFmtId="0" fontId="0" fillId="0" borderId="49" xfId="0" applyBorder="1"/>
    <xf numFmtId="0" fontId="0" fillId="0" borderId="68" xfId="0" applyBorder="1"/>
    <xf numFmtId="0" fontId="0" fillId="0" borderId="69" xfId="0" applyBorder="1"/>
    <xf numFmtId="0" fontId="0" fillId="0" borderId="70" xfId="0" applyBorder="1"/>
    <xf numFmtId="0" fontId="0" fillId="0" borderId="71" xfId="0" applyBorder="1"/>
    <xf numFmtId="0" fontId="0" fillId="0" borderId="59" xfId="0" applyBorder="1"/>
    <xf numFmtId="0" fontId="0" fillId="0" borderId="50" xfId="0" applyBorder="1"/>
    <xf numFmtId="0" fontId="0" fillId="0" borderId="55" xfId="0" applyBorder="1"/>
    <xf numFmtId="0" fontId="0" fillId="0" borderId="72" xfId="0" applyBorder="1"/>
    <xf numFmtId="0" fontId="0" fillId="0" borderId="73" xfId="0" applyBorder="1"/>
    <xf numFmtId="0" fontId="22" fillId="0" borderId="65" xfId="0" applyFont="1" applyBorder="1" applyAlignment="1">
      <alignment vertical="center"/>
    </xf>
    <xf numFmtId="0" fontId="22"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5" xfId="0" applyBorder="1" applyAlignment="1">
      <alignment vertical="center" wrapText="1"/>
    </xf>
    <xf numFmtId="0" fontId="0" fillId="0" borderId="72"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5" xfId="0" applyBorder="1"/>
    <xf numFmtId="0" fontId="0" fillId="0" borderId="53" xfId="0" applyBorder="1" applyAlignment="1">
      <alignment vertical="center" wrapText="1"/>
    </xf>
    <xf numFmtId="0" fontId="22" fillId="0" borderId="54" xfId="0" applyFont="1" applyBorder="1" applyAlignment="1">
      <alignment vertical="center"/>
    </xf>
    <xf numFmtId="0" fontId="31" fillId="0" borderId="54" xfId="0" applyFont="1" applyBorder="1" applyAlignment="1">
      <alignment vertical="top"/>
    </xf>
    <xf numFmtId="0" fontId="37" fillId="0" borderId="65" xfId="0" applyFont="1" applyBorder="1" applyAlignment="1">
      <alignment horizontal="left" vertical="center"/>
    </xf>
    <xf numFmtId="0" fontId="0" fillId="0" borderId="76" xfId="0" applyBorder="1"/>
    <xf numFmtId="0" fontId="0" fillId="0" borderId="77" xfId="0" applyBorder="1"/>
    <xf numFmtId="0" fontId="0" fillId="0" borderId="48" xfId="0" applyBorder="1" applyAlignment="1">
      <alignment vertical="center" wrapText="1"/>
    </xf>
    <xf numFmtId="0" fontId="0" fillId="0" borderId="78" xfId="0" applyBorder="1"/>
    <xf numFmtId="0" fontId="0" fillId="0" borderId="79" xfId="0" applyBorder="1"/>
    <xf numFmtId="0" fontId="39" fillId="0" borderId="81" xfId="0" applyFont="1" applyBorder="1"/>
    <xf numFmtId="0" fontId="10" fillId="0" borderId="82" xfId="0" applyFont="1" applyBorder="1"/>
    <xf numFmtId="0" fontId="10" fillId="0" borderId="83" xfId="0" applyFont="1" applyBorder="1"/>
    <xf numFmtId="0" fontId="10" fillId="0" borderId="81" xfId="0" applyFont="1" applyBorder="1"/>
    <xf numFmtId="0" fontId="10" fillId="0" borderId="84" xfId="0" applyFont="1" applyBorder="1"/>
    <xf numFmtId="0" fontId="10" fillId="0" borderId="85" xfId="0" applyFont="1" applyBorder="1"/>
    <xf numFmtId="0" fontId="0" fillId="0" borderId="54" xfId="0" applyBorder="1" applyAlignment="1">
      <alignment horizontal="center"/>
    </xf>
    <xf numFmtId="0" fontId="38" fillId="0" borderId="59" xfId="0" applyFont="1" applyBorder="1" applyAlignment="1">
      <alignment vertical="center"/>
    </xf>
    <xf numFmtId="0" fontId="42" fillId="0" borderId="1" xfId="0" applyFont="1" applyBorder="1" applyAlignment="1">
      <alignment horizontal="center" vertical="center"/>
    </xf>
    <xf numFmtId="0" fontId="0" fillId="0" borderId="89" xfId="0" applyBorder="1"/>
    <xf numFmtId="0" fontId="0" fillId="0" borderId="91" xfId="0" applyBorder="1"/>
    <xf numFmtId="0" fontId="0" fillId="0" borderId="93" xfId="0" applyBorder="1"/>
    <xf numFmtId="0" fontId="0" fillId="0" borderId="94" xfId="0" applyBorder="1"/>
    <xf numFmtId="0" fontId="42"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98" xfId="0" applyBorder="1"/>
    <xf numFmtId="0" fontId="0" fillId="0" borderId="99" xfId="0" applyBorder="1"/>
    <xf numFmtId="0" fontId="0" fillId="0" borderId="100" xfId="0" applyBorder="1"/>
    <xf numFmtId="0" fontId="0" fillId="0" borderId="101" xfId="0" applyBorder="1"/>
    <xf numFmtId="0" fontId="0" fillId="0" borderId="102" xfId="0" applyBorder="1"/>
    <xf numFmtId="0" fontId="0" fillId="0" borderId="103" xfId="0" applyBorder="1"/>
    <xf numFmtId="0" fontId="0" fillId="0" borderId="104" xfId="0" applyBorder="1"/>
    <xf numFmtId="0" fontId="45" fillId="0" borderId="51" xfId="0" applyFont="1" applyBorder="1" applyAlignment="1">
      <alignment horizontal="center"/>
    </xf>
    <xf numFmtId="0" fontId="46" fillId="0" borderId="51" xfId="0" applyFont="1" applyBorder="1" applyAlignment="1">
      <alignment horizontal="center" vertical="top"/>
    </xf>
    <xf numFmtId="0" fontId="0" fillId="0" borderId="105" xfId="0" applyBorder="1"/>
    <xf numFmtId="0" fontId="0" fillId="0" borderId="96" xfId="0" applyBorder="1"/>
    <xf numFmtId="0" fontId="0" fillId="0" borderId="106" xfId="0" applyBorder="1"/>
    <xf numFmtId="0" fontId="0" fillId="0" borderId="109" xfId="0" applyBorder="1"/>
    <xf numFmtId="0" fontId="0" fillId="0" borderId="110" xfId="0" applyBorder="1"/>
    <xf numFmtId="0" fontId="0" fillId="0" borderId="113" xfId="0" applyBorder="1"/>
    <xf numFmtId="0" fontId="42" fillId="0" borderId="33" xfId="0" applyFont="1" applyBorder="1" applyAlignment="1">
      <alignment horizontal="center" vertical="center"/>
    </xf>
    <xf numFmtId="0" fontId="42" fillId="0" borderId="35" xfId="0" applyFont="1" applyBorder="1" applyAlignment="1">
      <alignment horizontal="center" vertical="center"/>
    </xf>
    <xf numFmtId="0" fontId="42" fillId="0" borderId="36" xfId="0" applyFont="1" applyBorder="1" applyAlignment="1">
      <alignment horizontal="center" vertical="center" wrapText="1"/>
    </xf>
    <xf numFmtId="0" fontId="0" fillId="0" borderId="116" xfId="0" applyBorder="1"/>
    <xf numFmtId="0" fontId="0" fillId="0" borderId="3" xfId="0" applyBorder="1"/>
    <xf numFmtId="0" fontId="0" fillId="0" borderId="5" xfId="0" applyBorder="1" applyAlignment="1">
      <alignment horizontal="center" vertical="center"/>
    </xf>
    <xf numFmtId="0" fontId="0" fillId="0" borderId="97" xfId="0" applyBorder="1" applyAlignment="1">
      <alignment horizontal="center" vertical="center"/>
    </xf>
    <xf numFmtId="0" fontId="0" fillId="0" borderId="124" xfId="0" applyBorder="1"/>
    <xf numFmtId="0" fontId="0" fillId="0" borderId="92" xfId="0" applyBorder="1"/>
    <xf numFmtId="0" fontId="0" fillId="0" borderId="125" xfId="0" applyBorder="1"/>
    <xf numFmtId="0" fontId="0" fillId="0" borderId="132" xfId="0" applyBorder="1"/>
    <xf numFmtId="0" fontId="0" fillId="12" borderId="1" xfId="0" applyFill="1" applyBorder="1" applyAlignment="1">
      <alignment horizontal="center" vertical="center"/>
    </xf>
    <xf numFmtId="0" fontId="0" fillId="14" borderId="1" xfId="0" applyFill="1" applyBorder="1" applyAlignment="1">
      <alignment horizontal="center" vertical="center"/>
    </xf>
    <xf numFmtId="0" fontId="0" fillId="11" borderId="1" xfId="0" applyFill="1" applyBorder="1" applyAlignment="1">
      <alignment horizontal="center" vertical="center"/>
    </xf>
    <xf numFmtId="0" fontId="0" fillId="15" borderId="1" xfId="0" applyFill="1" applyBorder="1" applyAlignment="1">
      <alignment horizontal="center" vertical="center"/>
    </xf>
    <xf numFmtId="0" fontId="53" fillId="0" borderId="0" xfId="0" applyFont="1" applyAlignment="1">
      <alignment vertical="center" textRotation="90"/>
    </xf>
    <xf numFmtId="0" fontId="3" fillId="4" borderId="55" xfId="0" applyFont="1" applyFill="1" applyBorder="1" applyAlignment="1">
      <alignment vertical="center"/>
    </xf>
    <xf numFmtId="0" fontId="23" fillId="4" borderId="60" xfId="0" applyFont="1" applyFill="1" applyBorder="1" applyAlignment="1">
      <alignment vertical="top" wrapText="1"/>
    </xf>
    <xf numFmtId="17" fontId="24" fillId="4" borderId="60" xfId="0" applyNumberFormat="1" applyFont="1" applyFill="1" applyBorder="1" applyAlignment="1">
      <alignment vertical="top" wrapText="1"/>
    </xf>
    <xf numFmtId="0" fontId="0" fillId="0" borderId="137" xfId="0" applyBorder="1"/>
    <xf numFmtId="0" fontId="0" fillId="0" borderId="138" xfId="0" applyBorder="1"/>
    <xf numFmtId="0" fontId="3" fillId="0" borderId="76" xfId="0" applyFont="1" applyBorder="1" applyAlignment="1">
      <alignment vertical="center"/>
    </xf>
    <xf numFmtId="0" fontId="23" fillId="0" borderId="142" xfId="0" applyFont="1" applyBorder="1" applyAlignment="1">
      <alignment vertical="top" wrapText="1"/>
    </xf>
    <xf numFmtId="17" fontId="24" fillId="0" borderId="142" xfId="0" applyNumberFormat="1" applyFont="1" applyBorder="1" applyAlignment="1">
      <alignment vertical="top" wrapText="1"/>
    </xf>
    <xf numFmtId="0" fontId="0" fillId="0" borderId="143" xfId="0" applyBorder="1"/>
    <xf numFmtId="0" fontId="42" fillId="0" borderId="6" xfId="0" applyFont="1" applyBorder="1" applyAlignment="1">
      <alignment horizontal="center" vertical="center"/>
    </xf>
    <xf numFmtId="0" fontId="0" fillId="0" borderId="149" xfId="0" applyBorder="1"/>
    <xf numFmtId="0" fontId="42" fillId="0" borderId="14" xfId="0" applyFont="1" applyBorder="1" applyAlignment="1">
      <alignment horizontal="center" vertical="center"/>
    </xf>
    <xf numFmtId="0" fontId="42" fillId="0" borderId="4" xfId="0" applyFont="1" applyBorder="1" applyAlignment="1">
      <alignment horizontal="center" vertical="center"/>
    </xf>
    <xf numFmtId="0" fontId="42" fillId="0" borderId="147" xfId="0" applyFont="1" applyBorder="1" applyAlignment="1">
      <alignment horizontal="center" vertical="center"/>
    </xf>
    <xf numFmtId="0" fontId="42" fillId="0" borderId="155" xfId="0" applyFont="1" applyBorder="1" applyAlignment="1">
      <alignment horizontal="center" vertical="center"/>
    </xf>
    <xf numFmtId="0" fontId="42" fillId="0" borderId="9" xfId="0" applyFont="1" applyBorder="1" applyAlignment="1">
      <alignment horizontal="center" vertical="center"/>
    </xf>
    <xf numFmtId="0" fontId="42" fillId="0" borderId="157" xfId="0" applyFont="1" applyBorder="1" applyAlignment="1">
      <alignment horizontal="left" vertical="center"/>
    </xf>
    <xf numFmtId="0" fontId="42" fillId="0" borderId="158" xfId="0" applyFont="1" applyBorder="1" applyAlignment="1">
      <alignment horizontal="left" vertical="center"/>
    </xf>
    <xf numFmtId="0" fontId="42" fillId="0" borderId="159" xfId="0" applyFont="1" applyBorder="1" applyAlignment="1">
      <alignment horizontal="left" vertical="center"/>
    </xf>
    <xf numFmtId="0" fontId="42" fillId="0" borderId="97" xfId="0" applyFont="1" applyBorder="1" applyAlignment="1">
      <alignment horizontal="center" vertical="center"/>
    </xf>
    <xf numFmtId="0" fontId="0" fillId="0" borderId="59" xfId="0" applyBorder="1" applyAlignment="1">
      <alignment vertical="center"/>
    </xf>
    <xf numFmtId="0" fontId="0" fillId="0" borderId="87" xfId="0" applyBorder="1"/>
    <xf numFmtId="0" fontId="0" fillId="0" borderId="34" xfId="0" applyBorder="1" applyAlignment="1">
      <alignment horizontal="center" vertical="center"/>
    </xf>
    <xf numFmtId="0" fontId="51" fillId="13" borderId="166" xfId="0" applyFont="1" applyFill="1" applyBorder="1" applyAlignment="1">
      <alignment horizontal="center" vertical="center"/>
    </xf>
    <xf numFmtId="0" fontId="51" fillId="13" borderId="167" xfId="0" applyFont="1" applyFill="1" applyBorder="1" applyAlignment="1">
      <alignment horizontal="center" vertical="center"/>
    </xf>
    <xf numFmtId="0" fontId="42" fillId="0" borderId="150" xfId="0" applyFont="1" applyBorder="1" applyAlignment="1">
      <alignment horizontal="center" vertical="center"/>
    </xf>
    <xf numFmtId="0" fontId="42" fillId="0" borderId="151" xfId="0" applyFont="1" applyBorder="1" applyAlignment="1">
      <alignment horizontal="center" vertical="center"/>
    </xf>
    <xf numFmtId="0" fontId="42" fillId="0" borderId="148" xfId="0" applyFont="1" applyBorder="1" applyAlignment="1">
      <alignment horizontal="center" vertical="center"/>
    </xf>
    <xf numFmtId="0" fontId="42" fillId="0" borderId="34" xfId="0" applyFont="1" applyBorder="1" applyAlignment="1">
      <alignment vertical="center"/>
    </xf>
    <xf numFmtId="0" fontId="42" fillId="0" borderId="37" xfId="0" applyFont="1" applyBorder="1" applyAlignment="1">
      <alignment vertical="center"/>
    </xf>
    <xf numFmtId="0" fontId="22" fillId="0" borderId="59" xfId="0" applyFont="1" applyBorder="1" applyAlignment="1">
      <alignment vertical="center"/>
    </xf>
    <xf numFmtId="0" fontId="22" fillId="0" borderId="52" xfId="0" applyFont="1" applyBorder="1" applyAlignment="1">
      <alignment vertical="center"/>
    </xf>
    <xf numFmtId="0" fontId="36" fillId="0" borderId="75" xfId="0" applyFont="1" applyBorder="1" applyAlignment="1">
      <alignment horizontal="center" vertical="center" wrapText="1"/>
    </xf>
    <xf numFmtId="0" fontId="0" fillId="0" borderId="171" xfId="0" applyBorder="1"/>
    <xf numFmtId="0" fontId="59" fillId="0" borderId="0" xfId="0" applyFont="1" applyAlignment="1">
      <alignment horizontal="center" vertical="center"/>
    </xf>
    <xf numFmtId="0" fontId="59" fillId="0" borderId="50" xfId="0" applyFont="1" applyBorder="1" applyAlignment="1">
      <alignment horizontal="center" vertical="center"/>
    </xf>
    <xf numFmtId="0" fontId="59" fillId="0" borderId="72" xfId="0" applyFont="1" applyBorder="1" applyAlignment="1">
      <alignment horizontal="center" vertical="center"/>
    </xf>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61" fillId="16" borderId="1" xfId="0" applyFont="1" applyFill="1" applyBorder="1" applyAlignment="1">
      <alignment horizontal="center"/>
    </xf>
    <xf numFmtId="0" fontId="61" fillId="16" borderId="1" xfId="0" applyFont="1" applyFill="1" applyBorder="1" applyAlignment="1">
      <alignment horizontal="center" vertical="center"/>
    </xf>
    <xf numFmtId="0" fontId="63" fillId="0" borderId="62" xfId="0" applyFont="1" applyBorder="1" applyAlignment="1">
      <alignment horizontal="center" vertical="center"/>
    </xf>
    <xf numFmtId="0" fontId="63" fillId="0" borderId="33" xfId="0" applyFont="1" applyBorder="1" applyAlignment="1">
      <alignment horizontal="center" vertical="center"/>
    </xf>
    <xf numFmtId="0" fontId="63" fillId="0" borderId="35" xfId="0" applyFont="1" applyBorder="1" applyAlignment="1">
      <alignment horizontal="center" vertical="center" wrapText="1"/>
    </xf>
    <xf numFmtId="0" fontId="34" fillId="0" borderId="46" xfId="0" applyFont="1" applyBorder="1" applyAlignment="1">
      <alignment wrapText="1"/>
    </xf>
    <xf numFmtId="0" fontId="18" fillId="0" borderId="46" xfId="0" applyFont="1" applyBorder="1"/>
    <xf numFmtId="0" fontId="16" fillId="0" borderId="46" xfId="0" applyFont="1" applyBorder="1"/>
    <xf numFmtId="0" fontId="65" fillId="0" borderId="46" xfId="0" applyFont="1" applyBorder="1"/>
    <xf numFmtId="0" fontId="65" fillId="0" borderId="46" xfId="0" applyFont="1" applyBorder="1" applyAlignment="1">
      <alignment vertical="center"/>
    </xf>
    <xf numFmtId="0" fontId="66" fillId="0" borderId="46" xfId="0" applyFont="1" applyBorder="1" applyAlignment="1">
      <alignment vertical="center" wrapText="1"/>
    </xf>
    <xf numFmtId="0" fontId="66" fillId="0" borderId="46" xfId="0" applyFont="1" applyBorder="1" applyAlignment="1">
      <alignment horizontal="right" vertical="top" wrapText="1"/>
    </xf>
    <xf numFmtId="0" fontId="64"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52" xfId="0" applyBorder="1"/>
    <xf numFmtId="0" fontId="0" fillId="0" borderId="174" xfId="0" applyBorder="1"/>
    <xf numFmtId="0" fontId="0" fillId="0" borderId="51" xfId="0" applyBorder="1" applyAlignment="1">
      <alignment horizontal="center" vertical="center" wrapText="1"/>
    </xf>
    <xf numFmtId="0" fontId="0" fillId="0" borderId="135" xfId="0" applyBorder="1"/>
    <xf numFmtId="0" fontId="0" fillId="0" borderId="178" xfId="0" applyBorder="1"/>
    <xf numFmtId="0" fontId="0" fillId="0" borderId="179" xfId="0" applyBorder="1"/>
    <xf numFmtId="0" fontId="0" fillId="0" borderId="180" xfId="0" applyBorder="1"/>
    <xf numFmtId="0" fontId="69" fillId="17" borderId="44" xfId="0" applyFont="1" applyFill="1" applyBorder="1" applyAlignment="1">
      <alignment horizontal="center" vertical="center"/>
    </xf>
    <xf numFmtId="0" fontId="27" fillId="3" borderId="0" xfId="0" applyFont="1" applyFill="1" applyAlignment="1">
      <alignment horizontal="center"/>
    </xf>
    <xf numFmtId="0" fontId="19"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184" xfId="0" applyFont="1" applyFill="1" applyBorder="1"/>
    <xf numFmtId="0" fontId="8" fillId="3" borderId="183" xfId="0" applyFont="1" applyFill="1" applyBorder="1"/>
    <xf numFmtId="0" fontId="8" fillId="3" borderId="185" xfId="0" applyFont="1" applyFill="1" applyBorder="1"/>
    <xf numFmtId="0" fontId="8" fillId="3" borderId="7" xfId="0" applyFont="1" applyFill="1" applyBorder="1"/>
    <xf numFmtId="0" fontId="27" fillId="3" borderId="174" xfId="0" applyFont="1" applyFill="1" applyBorder="1" applyAlignment="1">
      <alignment horizontal="center"/>
    </xf>
    <xf numFmtId="0" fontId="8" fillId="3" borderId="174" xfId="0" applyFont="1" applyFill="1" applyBorder="1"/>
    <xf numFmtId="0" fontId="8" fillId="3" borderId="186" xfId="0" applyFont="1" applyFill="1" applyBorder="1"/>
    <xf numFmtId="0" fontId="8" fillId="3" borderId="187" xfId="0" applyFont="1" applyFill="1" applyBorder="1"/>
    <xf numFmtId="0" fontId="8" fillId="3" borderId="189" xfId="0" applyFont="1" applyFill="1" applyBorder="1"/>
    <xf numFmtId="0" fontId="8" fillId="3" borderId="191" xfId="0" applyFont="1" applyFill="1" applyBorder="1"/>
    <xf numFmtId="0" fontId="8" fillId="3" borderId="192" xfId="0" applyFont="1" applyFill="1" applyBorder="1"/>
    <xf numFmtId="0" fontId="8" fillId="3" borderId="193" xfId="0" applyFont="1" applyFill="1" applyBorder="1"/>
    <xf numFmtId="0" fontId="8" fillId="3" borderId="194" xfId="0" applyFont="1" applyFill="1" applyBorder="1"/>
    <xf numFmtId="0" fontId="8" fillId="3" borderId="49" xfId="0" applyFont="1" applyFill="1" applyBorder="1"/>
    <xf numFmtId="0" fontId="8" fillId="3" borderId="195" xfId="0" applyFont="1" applyFill="1" applyBorder="1"/>
    <xf numFmtId="0" fontId="8" fillId="3" borderId="60" xfId="0" applyFont="1" applyFill="1" applyBorder="1"/>
    <xf numFmtId="0" fontId="8" fillId="3" borderId="177" xfId="0" applyFont="1" applyFill="1" applyBorder="1"/>
    <xf numFmtId="0" fontId="8" fillId="3" borderId="196" xfId="0" applyFont="1" applyFill="1" applyBorder="1"/>
    <xf numFmtId="0" fontId="8" fillId="3" borderId="58" xfId="0" applyFont="1" applyFill="1" applyBorder="1"/>
    <xf numFmtId="0" fontId="8" fillId="3" borderId="165" xfId="0" applyFont="1" applyFill="1" applyBorder="1"/>
    <xf numFmtId="0" fontId="8" fillId="3" borderId="72" xfId="0" applyFont="1" applyFill="1" applyBorder="1"/>
    <xf numFmtId="0" fontId="33" fillId="6" borderId="13" xfId="0" applyFont="1" applyFill="1" applyBorder="1" applyAlignment="1">
      <alignment vertical="center"/>
    </xf>
    <xf numFmtId="0" fontId="74" fillId="0" borderId="49" xfId="0" applyFont="1" applyBorder="1" applyAlignment="1">
      <alignment horizontal="left"/>
    </xf>
    <xf numFmtId="0" fontId="74" fillId="0" borderId="51" xfId="0" applyFont="1" applyBorder="1" applyAlignment="1">
      <alignment horizontal="left"/>
    </xf>
    <xf numFmtId="0" fontId="74" fillId="0" borderId="51" xfId="0" applyFont="1" applyBorder="1" applyAlignment="1">
      <alignment horizontal="left" vertical="top"/>
    </xf>
    <xf numFmtId="0" fontId="0" fillId="0" borderId="46" xfId="0" applyBorder="1" applyAlignment="1">
      <alignment horizontal="left"/>
    </xf>
    <xf numFmtId="0" fontId="74" fillId="0" borderId="46" xfId="0" applyFont="1" applyBorder="1"/>
    <xf numFmtId="0" fontId="74" fillId="0" borderId="47" xfId="0" applyFont="1" applyBorder="1"/>
    <xf numFmtId="0" fontId="74"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74" fillId="0" borderId="46" xfId="0" applyFont="1" applyBorder="1" applyAlignment="1">
      <alignment horizontal="left"/>
    </xf>
    <xf numFmtId="0" fontId="74" fillId="0" borderId="47" xfId="0" applyFont="1" applyBorder="1" applyAlignment="1">
      <alignment horizontal="left"/>
    </xf>
    <xf numFmtId="0" fontId="73" fillId="0" borderId="47" xfId="0" applyFont="1" applyBorder="1" applyAlignment="1">
      <alignment horizontal="left"/>
    </xf>
    <xf numFmtId="0" fontId="0" fillId="0" borderId="59" xfId="0" applyBorder="1" applyAlignment="1">
      <alignment horizontal="left"/>
    </xf>
    <xf numFmtId="0" fontId="73" fillId="0" borderId="50" xfId="0" applyFont="1" applyBorder="1" applyAlignment="1">
      <alignment horizontal="left"/>
    </xf>
    <xf numFmtId="0" fontId="74" fillId="0" borderId="48" xfId="0" applyFont="1" applyBorder="1" applyAlignment="1">
      <alignment horizontal="left"/>
    </xf>
    <xf numFmtId="0" fontId="74"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74" fillId="0" borderId="46" xfId="0" applyFont="1" applyBorder="1" applyAlignment="1">
      <alignment horizontal="left" vertical="top"/>
    </xf>
    <xf numFmtId="0" fontId="0" fillId="0" borderId="59" xfId="0" applyBorder="1" applyAlignment="1">
      <alignment horizontal="left" vertical="top"/>
    </xf>
    <xf numFmtId="0" fontId="0" fillId="0" borderId="197" xfId="0" applyBorder="1"/>
    <xf numFmtId="0" fontId="0" fillId="0" borderId="53" xfId="0" applyBorder="1" applyAlignment="1">
      <alignment horizontal="left"/>
    </xf>
    <xf numFmtId="0" fontId="0" fillId="0" borderId="48" xfId="0" applyBorder="1" applyAlignment="1">
      <alignment horizontal="left" vertical="top"/>
    </xf>
    <xf numFmtId="0" fontId="0" fillId="0" borderId="65" xfId="0" applyBorder="1" applyAlignment="1">
      <alignment horizontal="left" vertical="top"/>
    </xf>
    <xf numFmtId="0" fontId="0" fillId="0" borderId="48" xfId="0" applyBorder="1" applyAlignment="1">
      <alignment horizontal="left"/>
    </xf>
    <xf numFmtId="0" fontId="76" fillId="0" borderId="80" xfId="0" applyFont="1" applyBorder="1"/>
    <xf numFmtId="0" fontId="10" fillId="0" borderId="86" xfId="0" applyFont="1" applyBorder="1"/>
    <xf numFmtId="0" fontId="10" fillId="0" borderId="65" xfId="0" applyFont="1" applyBorder="1"/>
    <xf numFmtId="0" fontId="10" fillId="0" borderId="59" xfId="0" applyFont="1" applyBorder="1"/>
    <xf numFmtId="0" fontId="10" fillId="0" borderId="198" xfId="0" applyFont="1" applyBorder="1"/>
    <xf numFmtId="0" fontId="66" fillId="0" borderId="199" xfId="0" applyFont="1" applyBorder="1" applyAlignment="1">
      <alignment horizontal="center" vertical="center"/>
    </xf>
    <xf numFmtId="0" fontId="66" fillId="0" borderId="199" xfId="0" applyFont="1" applyBorder="1" applyAlignment="1">
      <alignment horizontal="center" vertical="center" wrapText="1"/>
    </xf>
    <xf numFmtId="0" fontId="66" fillId="0" borderId="139" xfId="0" applyFont="1" applyBorder="1" applyAlignment="1">
      <alignment horizontal="center" vertical="center"/>
    </xf>
    <xf numFmtId="0" fontId="0" fillId="0" borderId="55" xfId="0" applyBorder="1" applyAlignment="1">
      <alignment vertical="center" wrapText="1"/>
    </xf>
    <xf numFmtId="0" fontId="38" fillId="0" borderId="52" xfId="0" applyFont="1" applyBorder="1" applyAlignment="1">
      <alignment vertical="center"/>
    </xf>
    <xf numFmtId="0" fontId="16" fillId="0" borderId="201" xfId="0" applyFont="1" applyBorder="1"/>
    <xf numFmtId="0" fontId="0" fillId="0" borderId="202" xfId="0" applyBorder="1"/>
    <xf numFmtId="0" fontId="0" fillId="0" borderId="203" xfId="0" applyBorder="1"/>
    <xf numFmtId="0" fontId="0" fillId="0" borderId="204" xfId="0" applyBorder="1"/>
    <xf numFmtId="0" fontId="0" fillId="0" borderId="91" xfId="0" applyBorder="1" applyAlignment="1">
      <alignment vertical="center"/>
    </xf>
    <xf numFmtId="0" fontId="19" fillId="0" borderId="35" xfId="0" applyFont="1" applyBorder="1" applyAlignment="1">
      <alignment horizontal="right" vertical="center"/>
    </xf>
    <xf numFmtId="0" fontId="9" fillId="3" borderId="60" xfId="0" applyFont="1" applyFill="1" applyBorder="1" applyAlignment="1">
      <alignment horizontal="left" vertical="center"/>
    </xf>
    <xf numFmtId="0" fontId="12" fillId="3" borderId="60" xfId="0" applyFont="1" applyFill="1" applyBorder="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7" fillId="6" borderId="0" xfId="0" applyFont="1" applyFill="1" applyAlignment="1">
      <alignment vertical="center" wrapText="1"/>
    </xf>
    <xf numFmtId="0" fontId="17" fillId="2" borderId="0" xfId="0" applyFont="1" applyFill="1" applyAlignment="1">
      <alignment vertical="center" wrapText="1"/>
    </xf>
    <xf numFmtId="0" fontId="9" fillId="2" borderId="0" xfId="0" applyFont="1" applyFill="1" applyAlignment="1">
      <alignment horizontal="left" vertical="center"/>
    </xf>
    <xf numFmtId="0" fontId="0" fillId="2" borderId="174" xfId="0" applyFill="1" applyBorder="1"/>
    <xf numFmtId="0" fontId="0" fillId="2" borderId="0" xfId="0" applyFill="1" applyAlignment="1">
      <alignment vertical="top"/>
    </xf>
    <xf numFmtId="0" fontId="0" fillId="2" borderId="206" xfId="0" applyFill="1" applyBorder="1"/>
    <xf numFmtId="0" fontId="0" fillId="2" borderId="189" xfId="0" applyFill="1" applyBorder="1"/>
    <xf numFmtId="0" fontId="9" fillId="0" borderId="152" xfId="0" applyFont="1" applyBorder="1" applyAlignment="1">
      <alignment vertical="center"/>
    </xf>
    <xf numFmtId="0" fontId="12" fillId="0" borderId="153" xfId="0" applyFont="1" applyBorder="1" applyAlignment="1">
      <alignment horizontal="left" vertical="center"/>
    </xf>
    <xf numFmtId="0" fontId="9" fillId="0" borderId="153" xfId="0" applyFont="1" applyBorder="1" applyAlignment="1">
      <alignment horizontal="left" vertical="center"/>
    </xf>
    <xf numFmtId="0" fontId="9" fillId="3" borderId="208" xfId="0" applyFont="1" applyFill="1" applyBorder="1" applyAlignment="1">
      <alignment horizontal="left" vertical="center"/>
    </xf>
    <xf numFmtId="0" fontId="9" fillId="3" borderId="154" xfId="0" applyFont="1" applyFill="1" applyBorder="1" applyAlignment="1">
      <alignment horizontal="left" vertical="center"/>
    </xf>
    <xf numFmtId="0" fontId="9" fillId="0" borderId="174" xfId="0" applyFont="1" applyBorder="1" applyAlignment="1">
      <alignment vertical="center"/>
    </xf>
    <xf numFmtId="0" fontId="0" fillId="3" borderId="186" xfId="0" applyFill="1" applyBorder="1"/>
    <xf numFmtId="0" fontId="9" fillId="0" borderId="206" xfId="0" applyFont="1" applyBorder="1" applyAlignment="1">
      <alignment vertical="center"/>
    </xf>
    <xf numFmtId="0" fontId="12" fillId="0" borderId="189" xfId="0" applyFont="1" applyBorder="1" applyAlignment="1">
      <alignment horizontal="left" vertical="center"/>
    </xf>
    <xf numFmtId="0" fontId="9" fillId="0" borderId="189" xfId="0" applyFont="1" applyBorder="1" applyAlignment="1">
      <alignment horizontal="left" vertical="center"/>
    </xf>
    <xf numFmtId="0" fontId="0" fillId="0" borderId="189" xfId="0" applyBorder="1"/>
    <xf numFmtId="0" fontId="12" fillId="0" borderId="189" xfId="0" applyFont="1" applyBorder="1" applyAlignment="1">
      <alignment vertical="center"/>
    </xf>
    <xf numFmtId="0" fontId="12" fillId="3" borderId="209" xfId="0" applyFont="1" applyFill="1" applyBorder="1" applyAlignment="1">
      <alignment vertical="center"/>
    </xf>
    <xf numFmtId="0" fontId="0" fillId="3" borderId="191" xfId="0" applyFill="1" applyBorder="1"/>
    <xf numFmtId="0" fontId="6" fillId="6" borderId="152" xfId="0" applyFont="1" applyFill="1" applyBorder="1" applyAlignment="1">
      <alignment horizontal="center" vertical="center"/>
    </xf>
    <xf numFmtId="0" fontId="6" fillId="6" borderId="174" xfId="0" applyFont="1" applyFill="1" applyBorder="1" applyAlignment="1">
      <alignment vertical="center"/>
    </xf>
    <xf numFmtId="0" fontId="6" fillId="6" borderId="206" xfId="0" applyFont="1" applyFill="1" applyBorder="1" applyAlignment="1">
      <alignment vertical="center"/>
    </xf>
    <xf numFmtId="0" fontId="9" fillId="3" borderId="210" xfId="0" applyFont="1" applyFill="1" applyBorder="1" applyAlignment="1">
      <alignment horizontal="left" vertical="center"/>
    </xf>
    <xf numFmtId="0" fontId="9" fillId="3" borderId="58" xfId="0" applyFont="1" applyFill="1" applyBorder="1" applyAlignment="1">
      <alignment horizontal="left" vertical="center"/>
    </xf>
    <xf numFmtId="0" fontId="12" fillId="3" borderId="58" xfId="0" applyFont="1" applyFill="1" applyBorder="1" applyAlignment="1">
      <alignment vertical="center"/>
    </xf>
    <xf numFmtId="0" fontId="12" fillId="3" borderId="211" xfId="0" applyFont="1" applyFill="1" applyBorder="1" applyAlignment="1">
      <alignment vertical="center"/>
    </xf>
    <xf numFmtId="0" fontId="77" fillId="0" borderId="0" xfId="0" applyFont="1" applyAlignment="1">
      <alignment horizontal="center" vertical="center"/>
    </xf>
    <xf numFmtId="0" fontId="77" fillId="0" borderId="189" xfId="0" applyFont="1" applyBorder="1" applyAlignment="1">
      <alignment horizontal="center" vertical="center"/>
    </xf>
    <xf numFmtId="0" fontId="78" fillId="0" borderId="212" xfId="0" applyFont="1" applyBorder="1" applyAlignment="1">
      <alignment horizontal="left" vertical="center" wrapText="1"/>
    </xf>
    <xf numFmtId="16" fontId="78" fillId="0" borderId="213" xfId="0" applyNumberFormat="1" applyFont="1" applyBorder="1" applyAlignment="1">
      <alignment horizontal="center" vertical="center"/>
    </xf>
    <xf numFmtId="0" fontId="78" fillId="0" borderId="1" xfId="0" applyFont="1" applyBorder="1" applyAlignment="1">
      <alignment horizontal="center" vertical="center"/>
    </xf>
    <xf numFmtId="9" fontId="19" fillId="9" borderId="32" xfId="0" applyNumberFormat="1" applyFont="1" applyFill="1" applyBorder="1" applyAlignment="1">
      <alignment horizontal="center" vertical="center"/>
    </xf>
    <xf numFmtId="9" fontId="19" fillId="9" borderId="28" xfId="0" applyNumberFormat="1" applyFont="1" applyFill="1" applyBorder="1" applyAlignment="1">
      <alignment horizontal="center" vertical="center"/>
    </xf>
    <xf numFmtId="9" fontId="19" fillId="9" borderId="1" xfId="0" applyNumberFormat="1" applyFont="1" applyFill="1" applyBorder="1" applyAlignment="1">
      <alignment horizontal="center" vertical="center"/>
    </xf>
    <xf numFmtId="9" fontId="19" fillId="9" borderId="34" xfId="0" applyNumberFormat="1" applyFont="1" applyFill="1" applyBorder="1" applyAlignment="1">
      <alignment horizontal="center" vertical="center"/>
    </xf>
    <xf numFmtId="9" fontId="19" fillId="9" borderId="36" xfId="0" applyNumberFormat="1" applyFont="1" applyFill="1" applyBorder="1" applyAlignment="1">
      <alignment horizontal="center" vertical="center"/>
    </xf>
    <xf numFmtId="9" fontId="19" fillId="9" borderId="37" xfId="0" applyNumberFormat="1" applyFont="1" applyFill="1" applyBorder="1" applyAlignment="1">
      <alignment horizontal="center" vertical="center"/>
    </xf>
    <xf numFmtId="0" fontId="0" fillId="0" borderId="186" xfId="0" applyBorder="1"/>
    <xf numFmtId="0" fontId="0" fillId="0" borderId="219" xfId="0" applyBorder="1"/>
    <xf numFmtId="0" fontId="0" fillId="0" borderId="194" xfId="0" applyBorder="1"/>
    <xf numFmtId="0" fontId="85" fillId="0" borderId="58" xfId="0" applyFont="1" applyBorder="1"/>
    <xf numFmtId="0" fontId="0" fillId="0" borderId="218" xfId="0" applyBorder="1"/>
    <xf numFmtId="0" fontId="0" fillId="0" borderId="220" xfId="0" applyBorder="1"/>
    <xf numFmtId="0" fontId="0" fillId="0" borderId="211" xfId="0" applyBorder="1"/>
    <xf numFmtId="0" fontId="0" fillId="0" borderId="221" xfId="0" applyBorder="1"/>
    <xf numFmtId="0" fontId="0" fillId="0" borderId="222" xfId="0" applyBorder="1"/>
    <xf numFmtId="0" fontId="0" fillId="0" borderId="223" xfId="0" applyBorder="1"/>
    <xf numFmtId="0" fontId="85" fillId="0" borderId="54" xfId="0" applyFont="1" applyBorder="1"/>
    <xf numFmtId="0" fontId="85" fillId="0" borderId="124" xfId="0" applyFont="1" applyBorder="1"/>
    <xf numFmtId="0" fontId="0" fillId="0" borderId="224" xfId="0" applyBorder="1"/>
    <xf numFmtId="0" fontId="0" fillId="0" borderId="108" xfId="0" applyBorder="1"/>
    <xf numFmtId="0" fontId="0" fillId="0" borderId="225" xfId="0" applyBorder="1"/>
    <xf numFmtId="0" fontId="0" fillId="0" borderId="227" xfId="0" applyBorder="1"/>
    <xf numFmtId="0" fontId="41" fillId="13" borderId="156" xfId="0" applyFont="1" applyFill="1" applyBorder="1" applyAlignment="1">
      <alignment horizontal="center" vertical="center"/>
    </xf>
    <xf numFmtId="0" fontId="41" fillId="13" borderId="147" xfId="0" applyFont="1" applyFill="1" applyBorder="1" applyAlignment="1">
      <alignment horizontal="center" vertical="center"/>
    </xf>
    <xf numFmtId="0" fontId="41" fillId="13" borderId="147" xfId="0" applyFont="1" applyFill="1" applyBorder="1" applyAlignment="1">
      <alignment horizontal="center" vertical="center" wrapText="1"/>
    </xf>
    <xf numFmtId="0" fontId="41" fillId="13" borderId="148" xfId="0" applyFont="1" applyFill="1" applyBorder="1" applyAlignment="1">
      <alignment horizontal="center" vertical="center"/>
    </xf>
    <xf numFmtId="0" fontId="41" fillId="13" borderId="33" xfId="0" applyFont="1" applyFill="1" applyBorder="1" applyAlignment="1">
      <alignment horizontal="center" vertical="center"/>
    </xf>
    <xf numFmtId="0" fontId="41" fillId="13" borderId="1" xfId="0" applyFont="1" applyFill="1" applyBorder="1" applyAlignment="1">
      <alignment horizontal="center" vertical="center" wrapText="1"/>
    </xf>
    <xf numFmtId="0" fontId="41" fillId="13" borderId="1" xfId="0" applyFont="1" applyFill="1" applyBorder="1" applyAlignment="1">
      <alignment horizontal="center" vertical="center"/>
    </xf>
    <xf numFmtId="0" fontId="41" fillId="13" borderId="34" xfId="0" applyFont="1" applyFill="1" applyBorder="1" applyAlignment="1">
      <alignment horizontal="center" vertical="center"/>
    </xf>
    <xf numFmtId="0" fontId="87" fillId="13" borderId="168" xfId="0" applyFont="1" applyFill="1" applyBorder="1" applyAlignment="1">
      <alignment horizontal="center" vertical="center" wrapText="1"/>
    </xf>
    <xf numFmtId="0" fontId="87" fillId="13" borderId="169" xfId="0" applyFont="1" applyFill="1" applyBorder="1" applyAlignment="1">
      <alignment horizontal="center" vertical="center" wrapText="1"/>
    </xf>
    <xf numFmtId="0" fontId="87" fillId="13" borderId="170" xfId="0" applyFont="1" applyFill="1" applyBorder="1" applyAlignment="1">
      <alignment horizontal="center" vertical="center" wrapText="1"/>
    </xf>
    <xf numFmtId="0" fontId="88" fillId="13" borderId="87" xfId="0" applyFont="1" applyFill="1" applyBorder="1" applyAlignment="1">
      <alignment horizontal="center" vertical="center"/>
    </xf>
    <xf numFmtId="0" fontId="71" fillId="13" borderId="0" xfId="0" applyFont="1" applyFill="1" applyAlignment="1">
      <alignment vertical="center"/>
    </xf>
    <xf numFmtId="0" fontId="70" fillId="13" borderId="0" xfId="0" applyFont="1" applyFill="1" applyAlignment="1">
      <alignment vertical="top" wrapText="1"/>
    </xf>
    <xf numFmtId="0" fontId="23" fillId="13" borderId="0" xfId="0" applyFont="1" applyFill="1" applyAlignment="1">
      <alignment vertical="center" wrapText="1"/>
    </xf>
    <xf numFmtId="0" fontId="5" fillId="13" borderId="0" xfId="0" applyFont="1" applyFill="1" applyAlignment="1">
      <alignment horizontal="center" vertical="top"/>
    </xf>
    <xf numFmtId="0" fontId="23" fillId="13" borderId="0" xfId="0" applyFont="1" applyFill="1" applyAlignment="1">
      <alignment vertical="top" wrapText="1"/>
    </xf>
    <xf numFmtId="0" fontId="25" fillId="13" borderId="0" xfId="0" applyFont="1" applyFill="1" applyAlignment="1">
      <alignment vertical="top" wrapText="1"/>
    </xf>
    <xf numFmtId="49" fontId="58" fillId="13" borderId="0" xfId="0" applyNumberFormat="1" applyFont="1" applyFill="1" applyAlignment="1">
      <alignment vertical="top" wrapText="1"/>
    </xf>
    <xf numFmtId="0" fontId="85" fillId="0" borderId="46" xfId="0" applyFont="1" applyBorder="1" applyAlignment="1">
      <alignment horizontal="right" vertical="center"/>
    </xf>
    <xf numFmtId="0" fontId="46" fillId="0" borderId="46" xfId="0" applyFont="1" applyBorder="1" applyAlignment="1">
      <alignment horizontal="center"/>
    </xf>
    <xf numFmtId="0" fontId="83" fillId="0" borderId="46" xfId="0" applyFont="1" applyBorder="1" applyAlignment="1">
      <alignment horizontal="left" vertical="center"/>
    </xf>
    <xf numFmtId="0" fontId="0" fillId="0" borderId="65" xfId="0" applyBorder="1" applyAlignment="1">
      <alignment vertical="center"/>
    </xf>
    <xf numFmtId="0" fontId="0" fillId="0" borderId="236" xfId="0" applyBorder="1" applyAlignment="1">
      <alignment vertical="center"/>
    </xf>
    <xf numFmtId="0" fontId="0" fillId="0" borderId="237" xfId="0" applyBorder="1"/>
    <xf numFmtId="0" fontId="0" fillId="0" borderId="240" xfId="0" applyBorder="1"/>
    <xf numFmtId="0" fontId="0" fillId="0" borderId="241" xfId="0" applyBorder="1" applyAlignment="1">
      <alignment vertical="center"/>
    </xf>
    <xf numFmtId="0" fontId="0" fillId="0" borderId="242" xfId="0" applyBorder="1" applyAlignment="1">
      <alignment vertical="center"/>
    </xf>
    <xf numFmtId="0" fontId="0" fillId="0" borderId="243" xfId="0" applyBorder="1" applyAlignment="1">
      <alignment vertical="center"/>
    </xf>
    <xf numFmtId="0" fontId="83" fillId="0" borderId="244" xfId="0" applyFont="1" applyBorder="1" applyAlignment="1">
      <alignment horizontal="left" vertical="center"/>
    </xf>
    <xf numFmtId="0" fontId="0" fillId="0" borderId="245" xfId="0" applyBorder="1"/>
    <xf numFmtId="0" fontId="85" fillId="0" borderId="222" xfId="0" applyFont="1" applyBorder="1" applyAlignment="1">
      <alignment horizontal="center" vertical="center"/>
    </xf>
    <xf numFmtId="0" fontId="46" fillId="0" borderId="222" xfId="0" applyFont="1" applyBorder="1" applyAlignment="1">
      <alignment horizontal="center"/>
    </xf>
    <xf numFmtId="0" fontId="0" fillId="0" borderId="246" xfId="0" applyBorder="1"/>
    <xf numFmtId="0" fontId="0" fillId="0" borderId="247" xfId="0" applyBorder="1"/>
    <xf numFmtId="0" fontId="0" fillId="0" borderId="53" xfId="0" applyBorder="1" applyAlignment="1">
      <alignment vertical="center"/>
    </xf>
    <xf numFmtId="0" fontId="0" fillId="0" borderId="278" xfId="0" applyBorder="1"/>
    <xf numFmtId="0" fontId="0" fillId="0" borderId="279" xfId="0" applyBorder="1"/>
    <xf numFmtId="0" fontId="0" fillId="0" borderId="195" xfId="0" applyBorder="1"/>
    <xf numFmtId="0" fontId="0" fillId="0" borderId="129" xfId="0" applyBorder="1"/>
    <xf numFmtId="0" fontId="0" fillId="0" borderId="280" xfId="0" applyBorder="1"/>
    <xf numFmtId="0" fontId="0" fillId="0" borderId="136" xfId="0" applyBorder="1"/>
    <xf numFmtId="0" fontId="0" fillId="0" borderId="281" xfId="0" applyBorder="1"/>
    <xf numFmtId="0" fontId="0" fillId="3" borderId="59" xfId="0" applyFill="1" applyBorder="1"/>
    <xf numFmtId="0" fontId="0" fillId="3" borderId="46" xfId="0" applyFill="1" applyBorder="1"/>
    <xf numFmtId="0" fontId="0" fillId="0" borderId="210" xfId="0" applyBorder="1"/>
    <xf numFmtId="0" fontId="0" fillId="0" borderId="286" xfId="0" applyBorder="1"/>
    <xf numFmtId="0" fontId="11" fillId="3" borderId="46" xfId="0" applyFont="1" applyFill="1" applyBorder="1"/>
    <xf numFmtId="0" fontId="91" fillId="3" borderId="46" xfId="0" applyFont="1" applyFill="1" applyBorder="1" applyAlignment="1">
      <alignment horizontal="left" vertical="center"/>
    </xf>
    <xf numFmtId="0" fontId="0" fillId="3" borderId="48" xfId="0" applyFill="1" applyBorder="1"/>
    <xf numFmtId="0" fontId="0" fillId="3" borderId="226" xfId="0" applyFill="1" applyBorder="1"/>
    <xf numFmtId="0" fontId="0" fillId="3" borderId="290" xfId="0" applyFill="1" applyBorder="1"/>
    <xf numFmtId="0" fontId="0" fillId="3" borderId="292" xfId="0" applyFill="1" applyBorder="1"/>
    <xf numFmtId="0" fontId="0" fillId="3" borderId="291" xfId="0" applyFill="1" applyBorder="1"/>
    <xf numFmtId="0" fontId="0" fillId="3" borderId="288" xfId="0" applyFill="1" applyBorder="1"/>
    <xf numFmtId="0" fontId="91" fillId="3" borderId="47" xfId="0" applyFont="1" applyFill="1" applyBorder="1" applyAlignment="1">
      <alignment horizontal="left" vertical="center"/>
    </xf>
    <xf numFmtId="0" fontId="0" fillId="3" borderId="49" xfId="0" applyFill="1" applyBorder="1"/>
    <xf numFmtId="1" fontId="18" fillId="0" borderId="0" xfId="0" applyNumberFormat="1" applyFont="1" applyAlignment="1">
      <alignment horizontal="center" vertical="center"/>
    </xf>
    <xf numFmtId="1" fontId="90" fillId="18" borderId="48" xfId="0" applyNumberFormat="1" applyFont="1" applyFill="1" applyBorder="1" applyAlignment="1">
      <alignment horizontal="center" vertical="center"/>
    </xf>
    <xf numFmtId="1" fontId="18" fillId="18" borderId="48" xfId="0" applyNumberFormat="1" applyFont="1" applyFill="1" applyBorder="1" applyAlignment="1">
      <alignment horizontal="center" vertical="center"/>
    </xf>
    <xf numFmtId="0" fontId="11" fillId="3" borderId="58" xfId="0" applyFont="1" applyFill="1" applyBorder="1" applyAlignment="1">
      <alignment horizontal="center" vertical="center"/>
    </xf>
    <xf numFmtId="0" fontId="11" fillId="3" borderId="50" xfId="0" applyFont="1" applyFill="1" applyBorder="1" applyAlignment="1">
      <alignment horizontal="center" vertical="center"/>
    </xf>
    <xf numFmtId="0" fontId="46" fillId="0" borderId="0" xfId="0" applyFont="1" applyAlignment="1">
      <alignment horizontal="center" vertical="center"/>
    </xf>
    <xf numFmtId="0" fontId="46" fillId="0" borderId="0" xfId="0" applyFont="1" applyAlignment="1">
      <alignment horizontal="center"/>
    </xf>
    <xf numFmtId="0" fontId="46" fillId="0" borderId="124" xfId="0" applyFont="1" applyBorder="1" applyAlignment="1">
      <alignment horizontal="center" vertical="center"/>
    </xf>
    <xf numFmtId="0" fontId="0" fillId="0" borderId="296" xfId="0" applyBorder="1"/>
    <xf numFmtId="0" fontId="0" fillId="0" borderId="127" xfId="0" applyBorder="1"/>
    <xf numFmtId="0" fontId="46" fillId="0" borderId="124" xfId="0" applyFont="1" applyBorder="1" applyAlignment="1">
      <alignment horizontal="left" vertical="center"/>
    </xf>
    <xf numFmtId="0" fontId="46" fillId="0" borderId="73" xfId="0" applyFont="1" applyBorder="1" applyAlignment="1">
      <alignment horizontal="center" vertical="center"/>
    </xf>
    <xf numFmtId="0" fontId="11" fillId="3" borderId="294" xfId="0" applyFont="1" applyFill="1" applyBorder="1"/>
    <xf numFmtId="0" fontId="11" fillId="3" borderId="72" xfId="0" applyFont="1" applyFill="1" applyBorder="1"/>
    <xf numFmtId="0" fontId="93" fillId="0" borderId="297" xfId="0" applyFont="1" applyBorder="1" applyAlignment="1">
      <alignment horizontal="left" vertical="center"/>
    </xf>
    <xf numFmtId="0" fontId="46" fillId="0" borderId="210" xfId="0" applyFont="1" applyBorder="1" applyAlignment="1">
      <alignment horizontal="center" vertical="center"/>
    </xf>
    <xf numFmtId="0" fontId="46" fillId="0" borderId="225" xfId="0" applyFont="1" applyBorder="1" applyAlignment="1">
      <alignment horizontal="center" vertical="center"/>
    </xf>
    <xf numFmtId="0" fontId="46" fillId="0" borderId="58" xfId="0" applyFont="1" applyBorder="1" applyAlignment="1">
      <alignment horizontal="center"/>
    </xf>
    <xf numFmtId="0" fontId="0" fillId="3" borderId="299" xfId="0" applyFill="1" applyBorder="1"/>
    <xf numFmtId="0" fontId="0" fillId="3" borderId="47" xfId="0" applyFill="1" applyBorder="1"/>
    <xf numFmtId="1" fontId="18" fillId="18" borderId="51" xfId="0" applyNumberFormat="1" applyFont="1" applyFill="1" applyBorder="1" applyAlignment="1">
      <alignment horizontal="center" vertical="center"/>
    </xf>
    <xf numFmtId="0" fontId="11" fillId="3" borderId="54" xfId="0" applyFont="1" applyFill="1" applyBorder="1" applyAlignment="1">
      <alignment horizontal="center" vertical="center"/>
    </xf>
    <xf numFmtId="1" fontId="90" fillId="18" borderId="51" xfId="0" applyNumberFormat="1" applyFont="1" applyFill="1" applyBorder="1" applyAlignment="1">
      <alignment horizontal="center" vertical="center"/>
    </xf>
    <xf numFmtId="0" fontId="0" fillId="3" borderId="300" xfId="0" applyFill="1" applyBorder="1"/>
    <xf numFmtId="0" fontId="0" fillId="3" borderId="51" xfId="0" applyFill="1" applyBorder="1"/>
    <xf numFmtId="0" fontId="93" fillId="0" borderId="287" xfId="0" applyFont="1" applyBorder="1" applyAlignment="1">
      <alignment vertical="center"/>
    </xf>
    <xf numFmtId="0" fontId="0" fillId="0" borderId="289" xfId="0" applyBorder="1"/>
    <xf numFmtId="0" fontId="0" fillId="3" borderId="293" xfId="0" applyFill="1" applyBorder="1"/>
    <xf numFmtId="0" fontId="0" fillId="0" borderId="301" xfId="0" applyBorder="1"/>
    <xf numFmtId="16" fontId="78" fillId="0" borderId="302" xfId="0" applyNumberFormat="1" applyFont="1" applyBorder="1" applyAlignment="1">
      <alignment horizontal="center" vertical="center"/>
    </xf>
    <xf numFmtId="0" fontId="78" fillId="0" borderId="5" xfId="0" applyFont="1" applyBorder="1" applyAlignment="1">
      <alignment horizontal="center" vertical="center"/>
    </xf>
    <xf numFmtId="0" fontId="78" fillId="0" borderId="1" xfId="0" applyFont="1" applyBorder="1" applyAlignment="1">
      <alignment horizontal="left" vertical="center" wrapText="1"/>
    </xf>
    <xf numFmtId="0" fontId="0" fillId="0" borderId="1" xfId="0" applyBorder="1" applyAlignment="1">
      <alignment horizontal="left" vertical="center" wrapText="1"/>
    </xf>
    <xf numFmtId="0" fontId="78" fillId="0" borderId="5" xfId="0" applyFont="1" applyBorder="1" applyAlignment="1">
      <alignment horizontal="left" vertical="center" wrapText="1"/>
    </xf>
    <xf numFmtId="16" fontId="78" fillId="0" borderId="1" xfId="0" applyNumberFormat="1" applyFont="1" applyBorder="1" applyAlignment="1">
      <alignment horizontal="center" vertical="center"/>
    </xf>
    <xf numFmtId="14" fontId="63" fillId="0" borderId="6" xfId="0" applyNumberFormat="1" applyFont="1" applyBorder="1" applyAlignment="1">
      <alignment horizontal="center" vertical="center"/>
    </xf>
    <xf numFmtId="14" fontId="63" fillId="0" borderId="1" xfId="0" applyNumberFormat="1" applyFont="1" applyBorder="1" applyAlignment="1">
      <alignment horizontal="center" vertical="center"/>
    </xf>
    <xf numFmtId="14" fontId="63" fillId="0" borderId="36" xfId="0" applyNumberFormat="1" applyFont="1" applyBorder="1" applyAlignment="1">
      <alignment horizontal="center" vertical="center"/>
    </xf>
    <xf numFmtId="14" fontId="63" fillId="0" borderId="45" xfId="0" applyNumberFormat="1" applyFont="1" applyBorder="1" applyAlignment="1">
      <alignment horizontal="center" vertical="center"/>
    </xf>
    <xf numFmtId="14" fontId="63" fillId="0" borderId="34" xfId="0" applyNumberFormat="1" applyFont="1" applyBorder="1" applyAlignment="1">
      <alignment horizontal="center" vertical="center"/>
    </xf>
    <xf numFmtId="14" fontId="63" fillId="0" borderId="37" xfId="0" applyNumberFormat="1" applyFont="1" applyBorder="1"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0" fontId="7" fillId="13" borderId="1" xfId="0" applyFont="1" applyFill="1" applyBorder="1" applyAlignment="1">
      <alignment horizontal="center" vertical="center" wrapText="1"/>
    </xf>
    <xf numFmtId="0" fontId="0" fillId="0" borderId="51" xfId="0" applyBorder="1" applyAlignment="1">
      <alignment horizontal="center"/>
    </xf>
    <xf numFmtId="0" fontId="62" fillId="0" borderId="0" xfId="0" applyFont="1" applyAlignment="1">
      <alignment horizontal="right"/>
    </xf>
    <xf numFmtId="0" fontId="67" fillId="0" borderId="0" xfId="0" applyFont="1" applyAlignment="1">
      <alignment horizontal="center" vertical="center"/>
    </xf>
    <xf numFmtId="16" fontId="60" fillId="0" borderId="0" xfId="0" applyNumberFormat="1" applyFont="1" applyAlignment="1">
      <alignment horizontal="right" vertical="center"/>
    </xf>
    <xf numFmtId="0" fontId="60" fillId="0" borderId="0" xfId="0" applyFont="1" applyAlignment="1">
      <alignment horizontal="right" vertical="center"/>
    </xf>
    <xf numFmtId="0" fontId="0" fillId="0" borderId="0" xfId="0" applyAlignment="1">
      <alignment horizontal="center" vertical="center"/>
    </xf>
    <xf numFmtId="0" fontId="7" fillId="4" borderId="1" xfId="0" applyFont="1" applyFill="1" applyBorder="1" applyAlignment="1">
      <alignment horizontal="center" vertical="center" wrapText="1"/>
    </xf>
    <xf numFmtId="0" fontId="94" fillId="0" borderId="1" xfId="0" applyFont="1" applyBorder="1" applyAlignment="1">
      <alignment horizontal="center" vertical="center" wrapText="1"/>
    </xf>
    <xf numFmtId="0" fontId="95" fillId="0" borderId="1" xfId="0" applyFont="1" applyBorder="1" applyAlignment="1">
      <alignment horizontal="center" vertical="center" wrapText="1"/>
    </xf>
    <xf numFmtId="0" fontId="97" fillId="0" borderId="1" xfId="0" applyFont="1" applyBorder="1" applyAlignment="1">
      <alignment horizontal="center" vertical="center" wrapText="1"/>
    </xf>
    <xf numFmtId="0" fontId="7" fillId="20" borderId="1" xfId="0" applyFont="1" applyFill="1" applyBorder="1" applyAlignment="1">
      <alignment horizontal="center" vertical="center"/>
    </xf>
    <xf numFmtId="0" fontId="59" fillId="0" borderId="60" xfId="0" applyFont="1" applyBorder="1" applyAlignment="1">
      <alignment horizontal="center" vertical="center"/>
    </xf>
    <xf numFmtId="0" fontId="75" fillId="0" borderId="0" xfId="0" applyFont="1" applyAlignment="1">
      <alignment horizontal="left" vertical="center"/>
    </xf>
    <xf numFmtId="0" fontId="16" fillId="0" borderId="306" xfId="0" applyFont="1" applyBorder="1"/>
    <xf numFmtId="0" fontId="75" fillId="0" borderId="305" xfId="0" applyFont="1" applyBorder="1" applyAlignment="1">
      <alignment horizontal="left" vertical="center"/>
    </xf>
    <xf numFmtId="0" fontId="64" fillId="0" borderId="0" xfId="0" applyFont="1" applyAlignment="1">
      <alignment horizontal="left" vertical="top" wrapText="1"/>
    </xf>
    <xf numFmtId="0" fontId="64" fillId="0" borderId="305" xfId="0" applyFont="1" applyBorder="1" applyAlignment="1">
      <alignment horizontal="left" vertical="top" wrapText="1"/>
    </xf>
    <xf numFmtId="0" fontId="64" fillId="0" borderId="0" xfId="0" applyFont="1" applyAlignment="1">
      <alignment horizontal="left" vertical="center" wrapText="1"/>
    </xf>
    <xf numFmtId="0" fontId="64" fillId="0" borderId="305" xfId="0" applyFont="1" applyBorder="1" applyAlignment="1">
      <alignment horizontal="left" vertical="center" wrapText="1"/>
    </xf>
    <xf numFmtId="0" fontId="0" fillId="0" borderId="48" xfId="0" applyBorder="1" applyAlignment="1">
      <alignment vertical="center"/>
    </xf>
    <xf numFmtId="0" fontId="66" fillId="0" borderId="46" xfId="0" applyFont="1" applyBorder="1" applyAlignment="1">
      <alignment horizontal="center" vertical="center" wrapText="1"/>
    </xf>
    <xf numFmtId="0" fontId="76" fillId="0" borderId="46" xfId="0" applyFont="1" applyBorder="1" applyAlignment="1">
      <alignment horizontal="center" vertical="center"/>
    </xf>
    <xf numFmtId="0" fontId="64" fillId="0" borderId="222" xfId="0" applyFont="1" applyBorder="1" applyAlignment="1">
      <alignment horizontal="left" vertical="center" wrapText="1"/>
    </xf>
    <xf numFmtId="0" fontId="64" fillId="0" borderId="222" xfId="0" applyFont="1" applyBorder="1" applyAlignment="1">
      <alignment horizontal="left" vertical="top" wrapText="1"/>
    </xf>
    <xf numFmtId="0" fontId="75" fillId="0" borderId="307" xfId="0" applyFont="1" applyBorder="1" applyAlignment="1">
      <alignment horizontal="left" vertical="center"/>
    </xf>
    <xf numFmtId="0" fontId="66" fillId="0" borderId="50" xfId="0" applyFont="1" applyBorder="1" applyAlignment="1">
      <alignment horizontal="center" vertical="center" wrapText="1"/>
    </xf>
    <xf numFmtId="0" fontId="0" fillId="0" borderId="311" xfId="0" applyBorder="1"/>
    <xf numFmtId="0" fontId="0" fillId="0" borderId="312" xfId="0" applyBorder="1"/>
    <xf numFmtId="0" fontId="11" fillId="0" borderId="46" xfId="0" applyFont="1" applyBorder="1"/>
    <xf numFmtId="0" fontId="101" fillId="0" borderId="46" xfId="0" applyFont="1" applyBorder="1" applyAlignment="1">
      <alignment horizontal="right" vertical="center"/>
    </xf>
    <xf numFmtId="1" fontId="0" fillId="0" borderId="46" xfId="0" applyNumberFormat="1" applyBorder="1"/>
    <xf numFmtId="1" fontId="18" fillId="0" borderId="46" xfId="0" applyNumberFormat="1" applyFont="1" applyBorder="1" applyAlignment="1">
      <alignment horizontal="center" vertical="center"/>
    </xf>
    <xf numFmtId="0" fontId="101" fillId="0" borderId="46" xfId="0" applyFont="1" applyBorder="1" applyAlignment="1">
      <alignment horizontal="left" vertical="center"/>
    </xf>
    <xf numFmtId="0" fontId="11" fillId="0" borderId="46" xfId="0" applyFont="1" applyBorder="1" applyAlignment="1">
      <alignment horizontal="center" vertical="center"/>
    </xf>
    <xf numFmtId="0" fontId="0" fillId="0" borderId="226" xfId="0" applyBorder="1"/>
    <xf numFmtId="0" fontId="104" fillId="0" borderId="172" xfId="0" applyFont="1" applyBorder="1" applyAlignment="1">
      <alignment horizontal="center" vertical="center"/>
    </xf>
    <xf numFmtId="0" fontId="22" fillId="0" borderId="1" xfId="0" applyFont="1" applyBorder="1" applyAlignment="1">
      <alignment horizontal="center"/>
    </xf>
    <xf numFmtId="0" fontId="104" fillId="0" borderId="313" xfId="0" applyFont="1" applyBorder="1" applyAlignment="1">
      <alignment horizontal="center" vertical="center"/>
    </xf>
    <xf numFmtId="0" fontId="104" fillId="0" borderId="314" xfId="0" applyFont="1" applyBorder="1" applyAlignment="1">
      <alignment horizontal="center" vertical="center"/>
    </xf>
    <xf numFmtId="0" fontId="22" fillId="0" borderId="147" xfId="0" applyFont="1" applyBorder="1" applyAlignment="1">
      <alignment horizontal="center"/>
    </xf>
    <xf numFmtId="0" fontId="22" fillId="0" borderId="315" xfId="0" applyFont="1" applyBorder="1" applyAlignment="1">
      <alignment horizontal="center"/>
    </xf>
    <xf numFmtId="0" fontId="22" fillId="0" borderId="172" xfId="0" applyFont="1" applyBorder="1" applyAlignment="1">
      <alignment horizontal="center" vertical="center"/>
    </xf>
    <xf numFmtId="0" fontId="16" fillId="0" borderId="172" xfId="0" applyFont="1" applyBorder="1" applyAlignment="1">
      <alignment horizontal="center" vertical="center"/>
    </xf>
    <xf numFmtId="0" fontId="83" fillId="0" borderId="65" xfId="0" applyFont="1" applyBorder="1" applyAlignment="1">
      <alignment horizontal="center" vertical="center" wrapText="1"/>
    </xf>
    <xf numFmtId="0" fontId="89" fillId="0" borderId="65" xfId="0" applyFont="1" applyBorder="1" applyAlignment="1">
      <alignment horizontal="center" vertical="center"/>
    </xf>
    <xf numFmtId="0" fontId="89" fillId="0" borderId="53" xfId="0" applyFont="1" applyBorder="1" applyAlignment="1">
      <alignment horizontal="center" vertical="center"/>
    </xf>
    <xf numFmtId="0" fontId="85" fillId="0" borderId="65" xfId="0" applyFont="1" applyBorder="1"/>
    <xf numFmtId="0" fontId="46" fillId="0" borderId="49" xfId="0" applyFont="1" applyBorder="1" applyAlignment="1">
      <alignment horizontal="center" vertical="center"/>
    </xf>
    <xf numFmtId="0" fontId="46" fillId="0" borderId="178" xfId="0" applyFont="1" applyBorder="1" applyAlignment="1">
      <alignment horizontal="center" vertical="center"/>
    </xf>
    <xf numFmtId="0" fontId="89" fillId="0" borderId="124" xfId="0" applyFont="1" applyBorder="1" applyAlignment="1">
      <alignment horizontal="left" vertical="center"/>
    </xf>
    <xf numFmtId="0" fontId="83" fillId="0" borderId="65" xfId="0" applyFont="1" applyBorder="1" applyAlignment="1">
      <alignment horizontal="left" vertical="center"/>
    </xf>
    <xf numFmtId="0" fontId="93" fillId="0" borderId="50" xfId="0" applyFont="1" applyBorder="1" applyAlignment="1">
      <alignment horizontal="left" vertical="center"/>
    </xf>
    <xf numFmtId="0" fontId="105" fillId="0" borderId="90" xfId="0" applyFont="1" applyBorder="1" applyAlignment="1">
      <alignment horizontal="center" vertical="center" wrapText="1"/>
    </xf>
    <xf numFmtId="0" fontId="48" fillId="0" borderId="94" xfId="0" applyFont="1" applyBorder="1" applyAlignment="1">
      <alignment horizontal="center" vertical="center"/>
    </xf>
    <xf numFmtId="0" fontId="46" fillId="0" borderId="89" xfId="0" applyFont="1" applyBorder="1" applyAlignment="1">
      <alignment vertical="center"/>
    </xf>
    <xf numFmtId="0" fontId="46" fillId="0" borderId="93" xfId="0" applyFont="1" applyBorder="1" applyAlignment="1">
      <alignment vertical="center"/>
    </xf>
    <xf numFmtId="0" fontId="106" fillId="0" borderId="90" xfId="0" applyFont="1" applyBorder="1" applyAlignment="1">
      <alignment horizontal="center" vertical="center" wrapText="1"/>
    </xf>
    <xf numFmtId="0" fontId="64" fillId="0" borderId="53" xfId="0" applyFont="1" applyBorder="1" applyAlignment="1">
      <alignment vertical="center"/>
    </xf>
    <xf numFmtId="0" fontId="64" fillId="0" borderId="65" xfId="0" applyFont="1" applyBorder="1" applyAlignment="1">
      <alignment vertical="center"/>
    </xf>
    <xf numFmtId="1" fontId="11" fillId="0" borderId="46" xfId="0" applyNumberFormat="1" applyFont="1" applyBorder="1"/>
    <xf numFmtId="1" fontId="102" fillId="0" borderId="46" xfId="0" applyNumberFormat="1" applyFont="1" applyBorder="1" applyAlignment="1">
      <alignment horizontal="center" vertical="center"/>
    </xf>
    <xf numFmtId="1" fontId="11" fillId="0" borderId="46" xfId="0" applyNumberFormat="1" applyFont="1" applyBorder="1" applyAlignment="1">
      <alignment horizontal="center" vertical="center"/>
    </xf>
    <xf numFmtId="0" fontId="59" fillId="0" borderId="46" xfId="0" applyFont="1" applyBorder="1" applyAlignment="1">
      <alignment horizontal="center" vertical="center"/>
    </xf>
    <xf numFmtId="0" fontId="61" fillId="19" borderId="317" xfId="0" applyFont="1" applyFill="1" applyBorder="1" applyAlignment="1">
      <alignment horizontal="center" vertical="center" wrapText="1"/>
    </xf>
    <xf numFmtId="0" fontId="0" fillId="0" borderId="90" xfId="0" applyBorder="1" applyAlignment="1">
      <alignment vertical="center"/>
    </xf>
    <xf numFmtId="0" fontId="98" fillId="0" borderId="206" xfId="0" applyFont="1" applyBorder="1"/>
    <xf numFmtId="0" fontId="22" fillId="0" borderId="221" xfId="0" applyFont="1" applyBorder="1"/>
    <xf numFmtId="0" fontId="0" fillId="0" borderId="320" xfId="0" applyBorder="1"/>
    <xf numFmtId="0" fontId="0" fillId="0" borderId="321" xfId="0" applyBorder="1"/>
    <xf numFmtId="0" fontId="0" fillId="0" borderId="322" xfId="0" applyBorder="1"/>
    <xf numFmtId="0" fontId="16" fillId="0" borderId="0" xfId="0" applyFont="1" applyAlignment="1">
      <alignment horizontal="left" vertical="top" wrapText="1"/>
    </xf>
    <xf numFmtId="0" fontId="110" fillId="0" borderId="154" xfId="0" applyFont="1" applyBorder="1" applyAlignment="1">
      <alignment horizontal="center" vertical="center"/>
    </xf>
    <xf numFmtId="0" fontId="110" fillId="0" borderId="316" xfId="0" applyFont="1" applyBorder="1" applyAlignment="1">
      <alignment horizontal="center" vertical="center"/>
    </xf>
    <xf numFmtId="0" fontId="110" fillId="0" borderId="152" xfId="0" applyFont="1" applyBorder="1" applyAlignment="1">
      <alignment horizontal="center" vertical="center"/>
    </xf>
    <xf numFmtId="9" fontId="19" fillId="9" borderId="323" xfId="0" applyNumberFormat="1" applyFont="1" applyFill="1" applyBorder="1" applyAlignment="1">
      <alignment horizontal="center" vertical="center"/>
    </xf>
    <xf numFmtId="9" fontId="19" fillId="9" borderId="325"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0" fontId="13" fillId="0" borderId="1" xfId="0" quotePrefix="1" applyFont="1" applyBorder="1"/>
    <xf numFmtId="0" fontId="42" fillId="0" borderId="1" xfId="0" applyFont="1" applyBorder="1" applyAlignment="1">
      <alignment horizontal="left" vertical="center" wrapText="1"/>
    </xf>
    <xf numFmtId="0" fontId="42" fillId="0" borderId="36" xfId="0" applyFont="1" applyBorder="1" applyAlignment="1">
      <alignment horizontal="left" vertical="center" wrapText="1"/>
    </xf>
    <xf numFmtId="0" fontId="106" fillId="0" borderId="90" xfId="0" applyFont="1" applyBorder="1" applyAlignment="1">
      <alignment horizontal="left" vertical="center" wrapText="1"/>
    </xf>
    <xf numFmtId="0" fontId="52" fillId="13" borderId="332" xfId="0" applyFont="1" applyFill="1" applyBorder="1" applyAlignment="1">
      <alignment horizontal="center" vertical="center"/>
    </xf>
    <xf numFmtId="0" fontId="7" fillId="13" borderId="334" xfId="0" applyFont="1" applyFill="1" applyBorder="1" applyAlignment="1">
      <alignment horizontal="center" vertical="center" wrapText="1"/>
    </xf>
    <xf numFmtId="0" fontId="7" fillId="13" borderId="335" xfId="0" applyFont="1" applyFill="1" applyBorder="1" applyAlignment="1">
      <alignment horizontal="center" vertical="top" wrapText="1"/>
    </xf>
    <xf numFmtId="0" fontId="52" fillId="13" borderId="336" xfId="0" applyFont="1" applyFill="1" applyBorder="1" applyAlignment="1">
      <alignment horizontal="center" vertical="center"/>
    </xf>
    <xf numFmtId="0" fontId="104" fillId="0" borderId="337" xfId="0" applyFont="1" applyBorder="1" applyAlignment="1">
      <alignment horizontal="center" vertical="center"/>
    </xf>
    <xf numFmtId="0" fontId="22" fillId="0" borderId="6" xfId="0" applyFont="1" applyBorder="1" applyAlignment="1">
      <alignment horizontal="center"/>
    </xf>
    <xf numFmtId="0" fontId="22" fillId="0" borderId="12" xfId="0" applyFont="1" applyBorder="1" applyAlignment="1">
      <alignment horizontal="center"/>
    </xf>
    <xf numFmtId="0" fontId="22" fillId="0" borderId="3" xfId="0" applyFont="1" applyBorder="1" applyAlignment="1">
      <alignment horizontal="center"/>
    </xf>
    <xf numFmtId="0" fontId="0" fillId="3" borderId="0" xfId="0" applyFill="1" applyAlignment="1">
      <alignment horizontal="center" vertical="center"/>
    </xf>
    <xf numFmtId="0" fontId="7" fillId="21" borderId="15" xfId="0" applyFont="1" applyFill="1" applyBorder="1" applyAlignment="1">
      <alignment horizontal="center" vertical="center" wrapText="1"/>
    </xf>
    <xf numFmtId="0" fontId="112" fillId="3" borderId="40" xfId="0" applyFont="1" applyFill="1" applyBorder="1" applyAlignment="1">
      <alignment horizontal="center" vertical="center" wrapText="1"/>
    </xf>
    <xf numFmtId="0" fontId="0" fillId="20" borderId="15" xfId="0" applyFill="1" applyBorder="1" applyAlignment="1">
      <alignment horizontal="center" vertical="center"/>
    </xf>
    <xf numFmtId="0" fontId="65" fillId="0" borderId="40" xfId="0" applyFont="1" applyBorder="1" applyAlignment="1">
      <alignment horizontal="center" vertical="center"/>
    </xf>
    <xf numFmtId="0" fontId="16" fillId="0" borderId="90" xfId="0" applyFont="1" applyBorder="1" applyAlignment="1">
      <alignment horizontal="left" vertical="center" wrapText="1"/>
    </xf>
    <xf numFmtId="0" fontId="16" fillId="0" borderId="92" xfId="0" applyFont="1" applyBorder="1" applyAlignment="1">
      <alignment horizontal="left" vertical="center" wrapText="1"/>
    </xf>
    <xf numFmtId="9" fontId="8" fillId="3" borderId="0" xfId="0" applyNumberFormat="1" applyFont="1" applyFill="1"/>
    <xf numFmtId="9" fontId="19" fillId="9" borderId="27" xfId="0" applyNumberFormat="1" applyFont="1" applyFill="1" applyBorder="1" applyAlignment="1">
      <alignment horizontal="left" vertical="center"/>
    </xf>
    <xf numFmtId="9" fontId="19" fillId="9" borderId="33" xfId="0" applyNumberFormat="1" applyFont="1" applyFill="1" applyBorder="1" applyAlignment="1">
      <alignment horizontal="left" vertical="center"/>
    </xf>
    <xf numFmtId="9" fontId="19" fillId="9" borderId="35" xfId="0" applyNumberFormat="1" applyFont="1" applyFill="1" applyBorder="1" applyAlignment="1">
      <alignment horizontal="left" vertical="center"/>
    </xf>
    <xf numFmtId="0" fontId="88" fillId="13" borderId="340" xfId="0" applyFont="1" applyFill="1" applyBorder="1" applyAlignment="1">
      <alignment horizontal="center" vertical="center"/>
    </xf>
    <xf numFmtId="0" fontId="87" fillId="13" borderId="79" xfId="0" applyFont="1" applyFill="1" applyBorder="1" applyAlignment="1">
      <alignment horizontal="center" vertical="center" wrapText="1"/>
    </xf>
    <xf numFmtId="0" fontId="87" fillId="13" borderId="78" xfId="0" applyFont="1" applyFill="1" applyBorder="1" applyAlignment="1">
      <alignment horizontal="center" vertical="center" wrapText="1"/>
    </xf>
    <xf numFmtId="0" fontId="87" fillId="13" borderId="341" xfId="0" applyFont="1" applyFill="1" applyBorder="1" applyAlignment="1">
      <alignment horizontal="center" vertical="center" wrapText="1"/>
    </xf>
    <xf numFmtId="0" fontId="63" fillId="0" borderId="50" xfId="0" applyFont="1" applyBorder="1" applyAlignment="1">
      <alignment horizontal="center" vertical="center"/>
    </xf>
    <xf numFmtId="14" fontId="63" fillId="0" borderId="54" xfId="0" applyNumberFormat="1" applyFont="1" applyBorder="1" applyAlignment="1">
      <alignment horizontal="center" vertical="center"/>
    </xf>
    <xf numFmtId="14" fontId="63" fillId="0" borderId="50" xfId="0" applyNumberFormat="1" applyFont="1" applyBorder="1" applyAlignment="1">
      <alignment horizontal="center" vertical="center"/>
    </xf>
    <xf numFmtId="0" fontId="63" fillId="0" borderId="27" xfId="0" applyFont="1" applyBorder="1" applyAlignment="1">
      <alignment horizontal="center" vertical="center"/>
    </xf>
    <xf numFmtId="14" fontId="63" fillId="0" borderId="32" xfId="0" applyNumberFormat="1" applyFont="1" applyBorder="1" applyAlignment="1">
      <alignment horizontal="center" vertical="center"/>
    </xf>
    <xf numFmtId="14" fontId="63" fillId="0" borderId="28" xfId="0" applyNumberFormat="1" applyFont="1" applyBorder="1" applyAlignment="1">
      <alignment horizontal="center" vertical="center"/>
    </xf>
    <xf numFmtId="0" fontId="63" fillId="0" borderId="35" xfId="0" applyFont="1" applyBorder="1" applyAlignment="1">
      <alignment horizontal="center" vertical="center"/>
    </xf>
    <xf numFmtId="0" fontId="66" fillId="0" borderId="342" xfId="0" applyFont="1" applyBorder="1" applyAlignment="1">
      <alignment horizontal="center" vertical="center"/>
    </xf>
    <xf numFmtId="0" fontId="66" fillId="0" borderId="15" xfId="0" applyFont="1" applyBorder="1" applyAlignment="1">
      <alignment horizontal="center" vertical="center"/>
    </xf>
    <xf numFmtId="0" fontId="19" fillId="2" borderId="324" xfId="0" applyFont="1" applyFill="1" applyBorder="1" applyAlignment="1">
      <alignment horizontal="left" vertical="center"/>
    </xf>
    <xf numFmtId="0" fontId="19" fillId="2" borderId="327" xfId="0" applyFont="1" applyFill="1" applyBorder="1" applyAlignment="1">
      <alignment horizontal="left" vertical="center"/>
    </xf>
    <xf numFmtId="0" fontId="19" fillId="3" borderId="327" xfId="0" applyFont="1" applyFill="1" applyBorder="1" applyAlignment="1">
      <alignment horizontal="right" vertical="center"/>
    </xf>
    <xf numFmtId="0" fontId="19" fillId="3" borderId="327" xfId="0" applyFont="1" applyFill="1" applyBorder="1" applyAlignment="1">
      <alignment horizontal="right" wrapText="1"/>
    </xf>
    <xf numFmtId="0" fontId="19" fillId="2" borderId="329" xfId="0" applyFont="1" applyFill="1" applyBorder="1" applyAlignment="1">
      <alignment horizontal="left"/>
    </xf>
    <xf numFmtId="0" fontId="110" fillId="0" borderId="316" xfId="0" applyFont="1" applyBorder="1" applyAlignment="1">
      <alignment horizontal="center" wrapText="1"/>
    </xf>
    <xf numFmtId="0" fontId="110" fillId="0" borderId="344" xfId="0" applyFont="1" applyBorder="1" applyAlignment="1">
      <alignment horizontal="center" vertical="center" wrapText="1"/>
    </xf>
    <xf numFmtId="0" fontId="0" fillId="0" borderId="60" xfId="0" applyBorder="1" applyAlignment="1">
      <alignment vertical="center" wrapText="1"/>
    </xf>
    <xf numFmtId="0" fontId="15" fillId="0" borderId="46" xfId="0" applyFont="1" applyBorder="1" applyAlignment="1">
      <alignment horizontal="center" vertical="center"/>
    </xf>
    <xf numFmtId="0" fontId="15" fillId="0" borderId="46" xfId="0" applyFont="1" applyBorder="1" applyAlignment="1">
      <alignment horizontal="center"/>
    </xf>
    <xf numFmtId="1" fontId="66" fillId="0" borderId="46" xfId="0" applyNumberFormat="1" applyFont="1" applyBorder="1" applyAlignment="1">
      <alignment horizontal="left" vertical="top"/>
    </xf>
    <xf numFmtId="0" fontId="64" fillId="0" borderId="47" xfId="0" applyFont="1" applyBorder="1" applyAlignment="1">
      <alignment horizontal="center"/>
    </xf>
    <xf numFmtId="0" fontId="64" fillId="0" borderId="48" xfId="0" applyFont="1" applyBorder="1" applyAlignment="1">
      <alignment horizontal="center"/>
    </xf>
    <xf numFmtId="0" fontId="31" fillId="6" borderId="1" xfId="0" applyFont="1" applyFill="1" applyBorder="1" applyAlignment="1">
      <alignment horizontal="center" vertical="center"/>
    </xf>
    <xf numFmtId="0" fontId="31" fillId="6" borderId="6" xfId="0" applyFont="1" applyFill="1" applyBorder="1" applyAlignment="1">
      <alignment horizontal="center" vertical="center"/>
    </xf>
    <xf numFmtId="0" fontId="32" fillId="0" borderId="1" xfId="0" applyFont="1" applyBorder="1" applyAlignment="1">
      <alignment horizontal="center" vertical="center"/>
    </xf>
    <xf numFmtId="0" fontId="25" fillId="13" borderId="0" xfId="0" applyFont="1" applyFill="1" applyAlignment="1">
      <alignment horizontal="right" vertical="top" wrapText="1"/>
    </xf>
    <xf numFmtId="0" fontId="32" fillId="0" borderId="3" xfId="0" applyFont="1" applyBorder="1" applyAlignment="1">
      <alignment horizontal="center" vertical="center"/>
    </xf>
    <xf numFmtId="0" fontId="32" fillId="0" borderId="4" xfId="0" applyFont="1" applyBorder="1" applyAlignment="1">
      <alignment horizontal="center" vertical="center"/>
    </xf>
    <xf numFmtId="0" fontId="32" fillId="6" borderId="139" xfId="0" applyFont="1" applyFill="1" applyBorder="1" applyAlignment="1">
      <alignment horizontal="center" vertical="center"/>
    </xf>
    <xf numFmtId="0" fontId="32" fillId="6" borderId="140" xfId="0" applyFont="1" applyFill="1" applyBorder="1" applyAlignment="1">
      <alignment horizontal="center" vertical="center"/>
    </xf>
    <xf numFmtId="0" fontId="32" fillId="6" borderId="141" xfId="0" applyFont="1" applyFill="1" applyBorder="1" applyAlignment="1">
      <alignment horizontal="center" vertical="center"/>
    </xf>
    <xf numFmtId="0" fontId="32" fillId="6" borderId="1" xfId="0" applyFont="1" applyFill="1" applyBorder="1" applyAlignment="1">
      <alignment horizontal="center" vertical="center"/>
    </xf>
    <xf numFmtId="0" fontId="70" fillId="13" borderId="0" xfId="0" applyFont="1" applyFill="1" applyAlignment="1">
      <alignment horizontal="center" vertical="center" wrapText="1"/>
    </xf>
    <xf numFmtId="0" fontId="27" fillId="13" borderId="0" xfId="0" applyFont="1" applyFill="1" applyAlignment="1">
      <alignment horizontal="center" vertical="center"/>
    </xf>
    <xf numFmtId="0" fontId="32" fillId="6" borderId="3" xfId="0" applyFont="1" applyFill="1" applyBorder="1" applyAlignment="1">
      <alignment horizontal="center" vertical="center"/>
    </xf>
    <xf numFmtId="0" fontId="32" fillId="6" borderId="2" xfId="0" applyFont="1" applyFill="1" applyBorder="1" applyAlignment="1">
      <alignment horizontal="center" vertical="center"/>
    </xf>
    <xf numFmtId="0" fontId="32" fillId="6" borderId="4" xfId="0" applyFont="1" applyFill="1" applyBorder="1" applyAlignment="1">
      <alignment horizontal="center" vertical="center"/>
    </xf>
    <xf numFmtId="49" fontId="72" fillId="13" borderId="0" xfId="0" applyNumberFormat="1" applyFont="1" applyFill="1" applyAlignment="1">
      <alignment horizontal="left" vertical="center" wrapText="1"/>
    </xf>
    <xf numFmtId="0" fontId="20" fillId="13" borderId="22" xfId="0" applyFont="1" applyFill="1" applyBorder="1" applyAlignment="1">
      <alignment horizontal="right" vertical="center"/>
    </xf>
    <xf numFmtId="0" fontId="20" fillId="13" borderId="0" xfId="0" applyFont="1" applyFill="1" applyAlignment="1">
      <alignment horizontal="right" vertical="center"/>
    </xf>
    <xf numFmtId="49" fontId="21" fillId="13" borderId="0" xfId="0" applyNumberFormat="1" applyFont="1" applyFill="1" applyAlignment="1">
      <alignment horizontal="left" vertical="center"/>
    </xf>
    <xf numFmtId="49" fontId="21" fillId="13" borderId="23" xfId="0" applyNumberFormat="1" applyFont="1" applyFill="1" applyBorder="1" applyAlignment="1">
      <alignment horizontal="left" vertical="center"/>
    </xf>
    <xf numFmtId="0" fontId="5" fillId="13" borderId="152" xfId="0" applyFont="1" applyFill="1" applyBorder="1" applyAlignment="1">
      <alignment horizontal="center" vertical="center"/>
    </xf>
    <xf numFmtId="0" fontId="5" fillId="13" borderId="153" xfId="0" applyFont="1" applyFill="1" applyBorder="1" applyAlignment="1">
      <alignment horizontal="center" vertical="center"/>
    </xf>
    <xf numFmtId="49" fontId="57" fillId="13" borderId="207" xfId="0" applyNumberFormat="1" applyFont="1" applyFill="1" applyBorder="1" applyAlignment="1">
      <alignment horizontal="center" vertical="center"/>
    </xf>
    <xf numFmtId="49" fontId="57" fillId="13" borderId="25" xfId="0" applyNumberFormat="1" applyFont="1" applyFill="1" applyBorder="1" applyAlignment="1">
      <alignment horizontal="center" vertical="center"/>
    </xf>
    <xf numFmtId="0" fontId="17" fillId="6" borderId="153" xfId="0" applyFont="1" applyFill="1" applyBorder="1" applyAlignment="1">
      <alignment horizontal="center" vertical="center" wrapText="1"/>
    </xf>
    <xf numFmtId="0" fontId="17" fillId="6" borderId="154" xfId="0" applyFont="1" applyFill="1" applyBorder="1" applyAlignment="1">
      <alignment horizontal="center" vertical="center" wrapText="1"/>
    </xf>
    <xf numFmtId="0" fontId="25" fillId="13" borderId="174" xfId="0" applyFont="1" applyFill="1" applyBorder="1" applyAlignment="1">
      <alignment horizontal="center" vertical="center"/>
    </xf>
    <xf numFmtId="0" fontId="25" fillId="13" borderId="0" xfId="0" applyFont="1" applyFill="1" applyAlignment="1">
      <alignment horizontal="center" vertical="center"/>
    </xf>
    <xf numFmtId="0" fontId="25" fillId="13" borderId="186" xfId="0" applyFont="1" applyFill="1" applyBorder="1" applyAlignment="1">
      <alignment horizontal="center" vertical="center"/>
    </xf>
    <xf numFmtId="0" fontId="19" fillId="3" borderId="188" xfId="0" applyFont="1" applyFill="1" applyBorder="1" applyAlignment="1">
      <alignment horizontal="center" vertical="center"/>
    </xf>
    <xf numFmtId="0" fontId="19" fillId="3" borderId="175" xfId="0" applyFont="1" applyFill="1" applyBorder="1" applyAlignment="1">
      <alignment horizontal="center" vertical="center"/>
    </xf>
    <xf numFmtId="0" fontId="19" fillId="3" borderId="189" xfId="0" applyFont="1" applyFill="1" applyBorder="1" applyAlignment="1">
      <alignment horizontal="left" vertical="center" wrapText="1"/>
    </xf>
    <xf numFmtId="0" fontId="19" fillId="3" borderId="190" xfId="0" applyFont="1" applyFill="1" applyBorder="1" applyAlignment="1">
      <alignment horizontal="left" vertical="center" wrapText="1"/>
    </xf>
    <xf numFmtId="0" fontId="26" fillId="3" borderId="174" xfId="0" applyFont="1" applyFill="1" applyBorder="1" applyAlignment="1">
      <alignment horizontal="center" vertical="center" wrapText="1"/>
    </xf>
    <xf numFmtId="0" fontId="26"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28" fillId="8" borderId="38" xfId="0" applyFont="1" applyFill="1" applyBorder="1" applyAlignment="1">
      <alignment horizontal="center" vertical="center" wrapText="1"/>
    </xf>
    <xf numFmtId="0" fontId="28" fillId="8" borderId="63"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28" fillId="9" borderId="38" xfId="0" applyFont="1" applyFill="1" applyBorder="1" applyAlignment="1">
      <alignment horizontal="center" vertical="center" wrapText="1"/>
    </xf>
    <xf numFmtId="0" fontId="28" fillId="9" borderId="63" xfId="0" applyFont="1" applyFill="1" applyBorder="1" applyAlignment="1">
      <alignment horizontal="center" vertical="center" wrapText="1"/>
    </xf>
    <xf numFmtId="0" fontId="19" fillId="3" borderId="31" xfId="0" applyFont="1" applyFill="1" applyBorder="1" applyAlignment="1">
      <alignment horizontal="center" vertical="center"/>
    </xf>
    <xf numFmtId="0" fontId="19" fillId="3" borderId="21" xfId="0" applyFont="1" applyFill="1" applyBorder="1" applyAlignment="1">
      <alignment horizontal="center" vertical="center"/>
    </xf>
    <xf numFmtId="0" fontId="19" fillId="3" borderId="13" xfId="0" applyFont="1" applyFill="1" applyBorder="1" applyAlignment="1">
      <alignment horizontal="left" vertical="center" wrapText="1"/>
    </xf>
    <xf numFmtId="0" fontId="19" fillId="3" borderId="43" xfId="0" applyFont="1" applyFill="1" applyBorder="1" applyAlignment="1">
      <alignment horizontal="left" vertical="center" wrapText="1"/>
    </xf>
    <xf numFmtId="0" fontId="19" fillId="3" borderId="29" xfId="0" applyFont="1" applyFill="1" applyBorder="1" applyAlignment="1">
      <alignment horizontal="center" vertical="center"/>
    </xf>
    <xf numFmtId="0" fontId="19" fillId="3" borderId="2" xfId="0" applyFont="1" applyFill="1" applyBorder="1" applyAlignment="1">
      <alignment horizontal="center" vertical="center"/>
    </xf>
    <xf numFmtId="0" fontId="19" fillId="3" borderId="2" xfId="0" applyFont="1" applyFill="1" applyBorder="1" applyAlignment="1">
      <alignment horizontal="left" vertical="center" wrapText="1"/>
    </xf>
    <xf numFmtId="0" fontId="19" fillId="3" borderId="30" xfId="0" applyFont="1" applyFill="1" applyBorder="1" applyAlignment="1">
      <alignment horizontal="left" vertical="center" wrapText="1"/>
    </xf>
    <xf numFmtId="0" fontId="29" fillId="2" borderId="15" xfId="0" applyFont="1" applyFill="1" applyBorder="1" applyAlignment="1">
      <alignment horizontal="center" vertical="center"/>
    </xf>
    <xf numFmtId="0" fontId="29" fillId="2" borderId="16" xfId="0" applyFont="1" applyFill="1" applyBorder="1" applyAlignment="1">
      <alignment horizontal="center" vertical="center"/>
    </xf>
    <xf numFmtId="0" fontId="29" fillId="2" borderId="42" xfId="0" applyFont="1" applyFill="1" applyBorder="1" applyAlignment="1">
      <alignment horizontal="center" vertical="center"/>
    </xf>
    <xf numFmtId="0" fontId="64" fillId="0" borderId="200" xfId="0" applyFont="1" applyBorder="1" applyAlignment="1">
      <alignment horizontal="left" vertical="top" wrapText="1"/>
    </xf>
    <xf numFmtId="0" fontId="64" fillId="0" borderId="140" xfId="0" applyFont="1" applyBorder="1" applyAlignment="1">
      <alignment horizontal="left" vertical="top" wrapText="1"/>
    </xf>
    <xf numFmtId="0" fontId="64" fillId="0" borderId="141" xfId="0" applyFont="1" applyBorder="1" applyAlignment="1">
      <alignment horizontal="left" vertical="top" wrapText="1"/>
    </xf>
    <xf numFmtId="0" fontId="22" fillId="0" borderId="74" xfId="0" applyFont="1" applyBorder="1" applyAlignment="1">
      <alignment horizontal="center" vertical="center"/>
    </xf>
    <xf numFmtId="0" fontId="22" fillId="0" borderId="2" xfId="0" applyFont="1" applyBorder="1" applyAlignment="1">
      <alignment horizontal="center" vertical="center"/>
    </xf>
    <xf numFmtId="14" fontId="63" fillId="0" borderId="114" xfId="0" applyNumberFormat="1" applyFont="1" applyBorder="1" applyAlignment="1">
      <alignment horizontal="center" vertical="center" wrapText="1"/>
    </xf>
    <xf numFmtId="0" fontId="63" fillId="0" borderId="115" xfId="0" applyFont="1" applyBorder="1" applyAlignment="1">
      <alignment horizontal="center" vertical="center"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87" fillId="13" borderId="19" xfId="0" applyFont="1" applyFill="1" applyBorder="1" applyAlignment="1">
      <alignment horizontal="center" vertical="center" wrapText="1"/>
    </xf>
    <xf numFmtId="0" fontId="87" fillId="13" borderId="205" xfId="0" applyFont="1" applyFill="1" applyBorder="1" applyAlignment="1">
      <alignment horizontal="center" vertical="center" wrapText="1"/>
    </xf>
    <xf numFmtId="14" fontId="63" fillId="0" borderId="12" xfId="0" applyNumberFormat="1" applyFont="1" applyBorder="1" applyAlignment="1">
      <alignment horizontal="center" vertical="center"/>
    </xf>
    <xf numFmtId="0" fontId="63" fillId="0" borderId="14" xfId="0" applyFont="1" applyBorder="1" applyAlignment="1">
      <alignment horizontal="center" vertical="center"/>
    </xf>
    <xf numFmtId="14" fontId="63" fillId="0" borderId="3" xfId="0" applyNumberFormat="1" applyFont="1" applyBorder="1" applyAlignment="1">
      <alignment horizontal="center" vertical="center"/>
    </xf>
    <xf numFmtId="0" fontId="63" fillId="0" borderId="4" xfId="0" applyFont="1" applyBorder="1" applyAlignment="1">
      <alignment horizontal="center" vertical="center"/>
    </xf>
    <xf numFmtId="14" fontId="63" fillId="0" borderId="4" xfId="0" applyNumberFormat="1" applyFont="1" applyBorder="1" applyAlignment="1">
      <alignment horizontal="center" vertical="center"/>
    </xf>
    <xf numFmtId="0" fontId="64" fillId="0" borderId="46" xfId="0" applyFont="1" applyBorder="1" applyAlignment="1">
      <alignment horizontal="left" vertical="top" wrapText="1"/>
    </xf>
    <xf numFmtId="0" fontId="64" fillId="0" borderId="210" xfId="0" applyFont="1" applyBorder="1" applyAlignment="1">
      <alignment horizontal="left" vertical="top" wrapText="1"/>
    </xf>
    <xf numFmtId="0" fontId="64" fillId="0" borderId="153" xfId="0" applyFont="1" applyBorder="1" applyAlignment="1">
      <alignment horizontal="left" vertical="top" wrapText="1"/>
    </xf>
    <xf numFmtId="0" fontId="64" fillId="0" borderId="154" xfId="0" applyFont="1" applyBorder="1" applyAlignment="1">
      <alignment horizontal="left" vertical="top" wrapText="1"/>
    </xf>
    <xf numFmtId="0" fontId="64" fillId="0" borderId="50" xfId="0" applyFont="1" applyBorder="1" applyAlignment="1">
      <alignment horizontal="left" vertical="top" wrapText="1"/>
    </xf>
    <xf numFmtId="14" fontId="63" fillId="0" borderId="32" xfId="0" applyNumberFormat="1" applyFont="1" applyBorder="1" applyAlignment="1">
      <alignment horizontal="center" vertical="center"/>
    </xf>
    <xf numFmtId="0" fontId="63" fillId="0" borderId="32" xfId="0" applyFont="1" applyBorder="1" applyAlignment="1">
      <alignment horizontal="center" vertical="center"/>
    </xf>
    <xf numFmtId="14" fontId="63" fillId="0" borderId="0" xfId="0" applyNumberFormat="1" applyFont="1" applyAlignment="1">
      <alignment horizontal="center" vertical="center"/>
    </xf>
    <xf numFmtId="0" fontId="63" fillId="0" borderId="0" xfId="0" applyFont="1" applyAlignment="1">
      <alignment horizontal="center" vertical="center"/>
    </xf>
    <xf numFmtId="14" fontId="63" fillId="0" borderId="1" xfId="0" applyNumberFormat="1" applyFont="1" applyBorder="1" applyAlignment="1">
      <alignment horizontal="center" vertical="center"/>
    </xf>
    <xf numFmtId="14" fontId="63" fillId="0" borderId="36" xfId="0" applyNumberFormat="1" applyFont="1" applyBorder="1" applyAlignment="1">
      <alignment horizontal="center" vertical="center"/>
    </xf>
    <xf numFmtId="0" fontId="64" fillId="0" borderId="343" xfId="0" applyFont="1" applyBorder="1" applyAlignment="1">
      <alignment horizontal="left" vertical="top" wrapText="1"/>
    </xf>
    <xf numFmtId="0" fontId="64" fillId="0" borderId="16" xfId="0" applyFont="1" applyBorder="1" applyAlignment="1">
      <alignment horizontal="left" vertical="top" wrapText="1"/>
    </xf>
    <xf numFmtId="0" fontId="64" fillId="0" borderId="42" xfId="0" applyFont="1" applyBorder="1" applyAlignment="1">
      <alignment horizontal="left" vertical="top" wrapText="1"/>
    </xf>
    <xf numFmtId="0" fontId="74" fillId="0" borderId="47" xfId="0" applyFont="1" applyBorder="1" applyAlignment="1">
      <alignment horizontal="left" vertical="center"/>
    </xf>
    <xf numFmtId="0" fontId="74" fillId="0" borderId="51" xfId="0" applyFont="1" applyBorder="1" applyAlignment="1">
      <alignment horizontal="left" vertical="center"/>
    </xf>
    <xf numFmtId="0" fontId="74" fillId="0" borderId="48" xfId="0" applyFont="1" applyBorder="1" applyAlignment="1">
      <alignment horizontal="left" vertical="center"/>
    </xf>
    <xf numFmtId="0" fontId="55" fillId="0" borderId="126" xfId="0" applyFont="1" applyBorder="1" applyAlignment="1">
      <alignment horizontal="center" vertical="center" wrapText="1"/>
    </xf>
    <xf numFmtId="0" fontId="55" fillId="0" borderId="127" xfId="0" applyFont="1" applyBorder="1" applyAlignment="1">
      <alignment horizontal="center" vertical="center" wrapText="1"/>
    </xf>
    <xf numFmtId="0" fontId="55" fillId="0" borderId="128" xfId="0" applyFont="1" applyBorder="1" applyAlignment="1">
      <alignment horizontal="center" vertical="center" wrapText="1"/>
    </xf>
    <xf numFmtId="0" fontId="48" fillId="0" borderId="59" xfId="0" applyFont="1" applyBorder="1" applyAlignment="1">
      <alignment horizontal="center" vertical="center"/>
    </xf>
    <xf numFmtId="0" fontId="48" fillId="0" borderId="135" xfId="0" applyFont="1" applyBorder="1" applyAlignment="1">
      <alignment horizontal="center" vertical="center"/>
    </xf>
    <xf numFmtId="0" fontId="48" fillId="0" borderId="54" xfId="0" applyFont="1" applyBorder="1" applyAlignment="1">
      <alignment horizontal="center" vertical="center"/>
    </xf>
    <xf numFmtId="0" fontId="48" fillId="0" borderId="136" xfId="0" applyFont="1" applyBorder="1" applyAlignment="1">
      <alignment horizontal="center" vertical="center"/>
    </xf>
    <xf numFmtId="0" fontId="43" fillId="0" borderId="131" xfId="0" applyFont="1" applyBorder="1" applyAlignment="1">
      <alignment horizontal="center" vertical="center"/>
    </xf>
    <xf numFmtId="0" fontId="43" fillId="0" borderId="88" xfId="0" applyFont="1" applyBorder="1" applyAlignment="1">
      <alignment horizontal="center" vertical="center"/>
    </xf>
    <xf numFmtId="0" fontId="48" fillId="0" borderId="47" xfId="0" applyFont="1" applyBorder="1" applyAlignment="1">
      <alignment horizontal="center" vertical="center"/>
    </xf>
    <xf numFmtId="0" fontId="48" fillId="0" borderId="51" xfId="0" applyFont="1" applyBorder="1" applyAlignment="1">
      <alignment horizontal="center" vertical="center"/>
    </xf>
    <xf numFmtId="0" fontId="48" fillId="0" borderId="129"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74" fillId="0" borderId="120" xfId="0" applyFont="1" applyBorder="1" applyAlignment="1">
      <alignment horizontal="left" vertical="center"/>
    </xf>
    <xf numFmtId="0" fontId="74" fillId="0" borderId="111" xfId="0" applyFont="1" applyBorder="1" applyAlignment="1">
      <alignment horizontal="left" vertical="center"/>
    </xf>
    <xf numFmtId="0" fontId="0" fillId="0" borderId="97" xfId="0" applyBorder="1" applyAlignment="1">
      <alignment horizontal="center" vertical="center"/>
    </xf>
    <xf numFmtId="0" fontId="51" fillId="13" borderId="166" xfId="0" applyFont="1" applyFill="1" applyBorder="1" applyAlignment="1">
      <alignment horizontal="center" vertical="center"/>
    </xf>
    <xf numFmtId="0" fontId="0" fillId="0" borderId="50" xfId="0" applyBorder="1" applyAlignment="1">
      <alignment horizontal="center"/>
    </xf>
    <xf numFmtId="0" fontId="0" fillId="0" borderId="46" xfId="0" applyBorder="1" applyAlignment="1">
      <alignment horizontal="center"/>
    </xf>
    <xf numFmtId="0" fontId="0" fillId="0" borderId="112" xfId="0" applyBorder="1" applyAlignment="1">
      <alignment horizontal="center"/>
    </xf>
    <xf numFmtId="0" fontId="0" fillId="0" borderId="119"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6" fillId="0" borderId="46" xfId="0" applyFont="1" applyBorder="1" applyAlignment="1">
      <alignment horizontal="center" vertical="top"/>
    </xf>
    <xf numFmtId="0" fontId="55" fillId="0" borderId="124" xfId="0" applyFont="1" applyBorder="1" applyAlignment="1">
      <alignment horizontal="center" vertical="top"/>
    </xf>
    <xf numFmtId="0" fontId="55" fillId="0" borderId="90" xfId="0" applyFont="1" applyBorder="1" applyAlignment="1">
      <alignment horizontal="center" vertical="top"/>
    </xf>
    <xf numFmtId="0" fontId="44" fillId="0" borderId="126" xfId="0" applyFont="1" applyBorder="1" applyAlignment="1">
      <alignment horizontal="center" vertical="center" wrapText="1"/>
    </xf>
    <xf numFmtId="0" fontId="44" fillId="0" borderId="127" xfId="0" applyFont="1" applyBorder="1" applyAlignment="1">
      <alignment horizontal="center" vertical="center" wrapText="1"/>
    </xf>
    <xf numFmtId="0" fontId="44" fillId="0" borderId="128" xfId="0" applyFont="1" applyBorder="1" applyAlignment="1">
      <alignment horizontal="center" vertical="center" wrapText="1"/>
    </xf>
    <xf numFmtId="0" fontId="0" fillId="0" borderId="11" xfId="0" applyBorder="1" applyAlignment="1">
      <alignment horizontal="center"/>
    </xf>
    <xf numFmtId="0" fontId="0" fillId="0" borderId="10" xfId="0" applyBorder="1" applyAlignment="1">
      <alignment horizontal="center"/>
    </xf>
    <xf numFmtId="0" fontId="47" fillId="13" borderId="1" xfId="0" applyFont="1" applyFill="1" applyBorder="1" applyAlignment="1">
      <alignment horizontal="center" vertical="center" wrapText="1" readingOrder="1"/>
    </xf>
    <xf numFmtId="0" fontId="55" fillId="0" borderId="126" xfId="0" applyFont="1" applyBorder="1" applyAlignment="1">
      <alignment horizontal="center"/>
    </xf>
    <xf numFmtId="0" fontId="55" fillId="0" borderId="127" xfId="0" applyFont="1" applyBorder="1" applyAlignment="1">
      <alignment horizontal="center"/>
    </xf>
    <xf numFmtId="0" fontId="55" fillId="0" borderId="128" xfId="0" applyFont="1" applyBorder="1" applyAlignment="1">
      <alignment horizontal="center"/>
    </xf>
    <xf numFmtId="0" fontId="50" fillId="13" borderId="19" xfId="0" applyFont="1" applyFill="1" applyBorder="1" applyAlignment="1">
      <alignment horizontal="center" vertical="center" wrapText="1" readingOrder="1"/>
    </xf>
    <xf numFmtId="0" fontId="50" fillId="13" borderId="20" xfId="0" applyFont="1" applyFill="1" applyBorder="1" applyAlignment="1">
      <alignment horizontal="center" vertical="center" wrapText="1" readingOrder="1"/>
    </xf>
    <xf numFmtId="0" fontId="50" fillId="13" borderId="17"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130" xfId="0" applyBorder="1" applyAlignment="1">
      <alignment horizontal="center" vertical="center"/>
    </xf>
    <xf numFmtId="0" fontId="0" fillId="0" borderId="133" xfId="0" applyBorder="1" applyAlignment="1">
      <alignment horizontal="center"/>
    </xf>
    <xf numFmtId="0" fontId="0" fillId="0" borderId="18" xfId="0" applyBorder="1" applyAlignment="1">
      <alignment horizontal="center"/>
    </xf>
    <xf numFmtId="0" fontId="0" fillId="0" borderId="134" xfId="0" applyBorder="1" applyAlignment="1">
      <alignment horizontal="center"/>
    </xf>
    <xf numFmtId="0" fontId="0" fillId="0" borderId="33" xfId="0" applyBorder="1" applyAlignment="1">
      <alignment horizontal="center" vertical="center"/>
    </xf>
    <xf numFmtId="0" fontId="0" fillId="0" borderId="118" xfId="0" applyBorder="1" applyAlignment="1">
      <alignment horizontal="center"/>
    </xf>
    <xf numFmtId="0" fontId="0" fillId="0" borderId="57" xfId="0" applyBorder="1" applyAlignment="1">
      <alignment horizontal="center"/>
    </xf>
    <xf numFmtId="0" fontId="0" fillId="0" borderId="120" xfId="0" applyBorder="1" applyAlignment="1">
      <alignment horizontal="center"/>
    </xf>
    <xf numFmtId="0" fontId="0" fillId="0" borderId="111" xfId="0" applyBorder="1" applyAlignment="1">
      <alignment horizontal="center"/>
    </xf>
    <xf numFmtId="0" fontId="0" fillId="0" borderId="122" xfId="0" applyBorder="1" applyAlignment="1">
      <alignment horizontal="center"/>
    </xf>
    <xf numFmtId="0" fontId="0" fillId="0" borderId="123" xfId="0" applyBorder="1" applyAlignment="1">
      <alignment horizontal="center"/>
    </xf>
    <xf numFmtId="0" fontId="0" fillId="0" borderId="95" xfId="0" applyBorder="1" applyAlignment="1">
      <alignment horizontal="center"/>
    </xf>
    <xf numFmtId="0" fontId="51" fillId="13" borderId="35" xfId="0" applyFont="1" applyFill="1" applyBorder="1" applyAlignment="1">
      <alignment horizontal="center" vertical="center"/>
    </xf>
    <xf numFmtId="0" fontId="51" fillId="13" borderId="36" xfId="0" applyFont="1" applyFill="1" applyBorder="1" applyAlignment="1">
      <alignment horizontal="center" vertical="center"/>
    </xf>
    <xf numFmtId="0" fontId="51" fillId="13" borderId="114" xfId="0" applyFont="1" applyFill="1" applyBorder="1" applyAlignment="1">
      <alignment horizontal="center" vertical="center"/>
    </xf>
    <xf numFmtId="0" fontId="0" fillId="0" borderId="164" xfId="0" applyBorder="1" applyAlignment="1">
      <alignment horizontal="center"/>
    </xf>
    <xf numFmtId="0" fontId="0" fillId="0" borderId="165" xfId="0" applyBorder="1" applyAlignment="1">
      <alignment horizontal="center"/>
    </xf>
    <xf numFmtId="0" fontId="0" fillId="0" borderId="121" xfId="0" applyBorder="1" applyAlignment="1">
      <alignment horizontal="center"/>
    </xf>
    <xf numFmtId="0" fontId="47" fillId="13" borderId="33" xfId="0" applyFont="1" applyFill="1" applyBorder="1" applyAlignment="1">
      <alignment horizontal="center" vertical="center" wrapText="1" readingOrder="1"/>
    </xf>
    <xf numFmtId="0" fontId="0" fillId="0" borderId="7" xfId="0" applyBorder="1" applyAlignment="1">
      <alignment horizontal="center" vertical="center"/>
    </xf>
    <xf numFmtId="0" fontId="16" fillId="0" borderId="1" xfId="0" applyFont="1" applyBorder="1" applyAlignment="1">
      <alignment horizontal="center" vertical="center"/>
    </xf>
    <xf numFmtId="0" fontId="16" fillId="0" borderId="34" xfId="0" applyFont="1" applyBorder="1" applyAlignment="1">
      <alignment horizontal="center" vertical="center"/>
    </xf>
    <xf numFmtId="0" fontId="16" fillId="0" borderId="3" xfId="0" applyFont="1" applyBorder="1" applyAlignment="1">
      <alignment horizontal="center" vertical="center"/>
    </xf>
    <xf numFmtId="0" fontId="47" fillId="13" borderId="34" xfId="0" applyFont="1" applyFill="1" applyBorder="1" applyAlignment="1">
      <alignment horizontal="center" vertical="center" wrapText="1" readingOrder="1"/>
    </xf>
    <xf numFmtId="0" fontId="52" fillId="13" borderId="36" xfId="0" applyFont="1" applyFill="1" applyBorder="1" applyAlignment="1">
      <alignment horizontal="center" vertical="center"/>
    </xf>
    <xf numFmtId="0" fontId="52" fillId="13" borderId="37" xfId="0" applyFont="1" applyFill="1" applyBorder="1" applyAlignment="1">
      <alignment horizontal="center" vertical="center"/>
    </xf>
    <xf numFmtId="0" fontId="54" fillId="0" borderId="108" xfId="0" applyFont="1" applyBorder="1" applyAlignment="1">
      <alignment horizontal="center"/>
    </xf>
    <xf numFmtId="0" fontId="54" fillId="0" borderId="117" xfId="0" applyFont="1" applyBorder="1" applyAlignment="1">
      <alignment horizontal="center"/>
    </xf>
    <xf numFmtId="0" fontId="54" fillId="0" borderId="107" xfId="0" applyFont="1" applyBorder="1" applyAlignment="1">
      <alignment horizontal="center"/>
    </xf>
    <xf numFmtId="0" fontId="52" fillId="13" borderId="114" xfId="0" applyFont="1" applyFill="1" applyBorder="1" applyAlignment="1">
      <alignment horizontal="center" vertical="center"/>
    </xf>
    <xf numFmtId="0" fontId="52" fillId="13" borderId="61" xfId="0" applyFont="1" applyFill="1" applyBorder="1" applyAlignment="1">
      <alignment horizontal="center" vertical="center"/>
    </xf>
    <xf numFmtId="0" fontId="52" fillId="13" borderId="115" xfId="0" applyFont="1" applyFill="1" applyBorder="1" applyAlignment="1">
      <alignment horizontal="center" vertical="center"/>
    </xf>
    <xf numFmtId="0" fontId="52" fillId="13" borderId="35" xfId="0" applyFont="1" applyFill="1" applyBorder="1" applyAlignment="1">
      <alignment horizontal="center" vertical="center"/>
    </xf>
    <xf numFmtId="0" fontId="56" fillId="0" borderId="108" xfId="0" applyFont="1" applyBorder="1" applyAlignment="1">
      <alignment horizontal="center"/>
    </xf>
    <xf numFmtId="0" fontId="56" fillId="0" borderId="107" xfId="0" applyFont="1" applyBorder="1" applyAlignment="1">
      <alignment horizontal="center"/>
    </xf>
    <xf numFmtId="0" fontId="46" fillId="0" borderId="47" xfId="0" applyFont="1" applyBorder="1" applyAlignment="1">
      <alignment horizontal="center" vertical="top"/>
    </xf>
    <xf numFmtId="0" fontId="46" fillId="0" borderId="71" xfId="0" applyFont="1" applyBorder="1" applyAlignment="1">
      <alignment horizontal="center" vertical="top"/>
    </xf>
    <xf numFmtId="0" fontId="46" fillId="0" borderId="51" xfId="0" applyFont="1" applyBorder="1" applyAlignment="1">
      <alignment horizontal="center" vertical="top"/>
    </xf>
    <xf numFmtId="0" fontId="54" fillId="0" borderId="108" xfId="0" applyFont="1" applyBorder="1" applyAlignment="1">
      <alignment horizontal="right"/>
    </xf>
    <xf numFmtId="0" fontId="54" fillId="0" borderId="117" xfId="0" applyFont="1" applyBorder="1" applyAlignment="1">
      <alignment horizontal="right"/>
    </xf>
    <xf numFmtId="0" fontId="54" fillId="0" borderId="107" xfId="0" applyFont="1" applyBorder="1" applyAlignment="1">
      <alignment horizontal="right"/>
    </xf>
    <xf numFmtId="0" fontId="46" fillId="0" borderId="47" xfId="0" applyFont="1" applyBorder="1" applyAlignment="1">
      <alignment horizontal="center" vertical="center"/>
    </xf>
    <xf numFmtId="0" fontId="46" fillId="0" borderId="51" xfId="0" applyFont="1" applyBorder="1" applyAlignment="1">
      <alignment horizontal="center" vertical="center"/>
    </xf>
    <xf numFmtId="0" fontId="46" fillId="0" borderId="71" xfId="0" applyFont="1" applyBorder="1" applyAlignment="1">
      <alignment horizontal="center" vertical="center"/>
    </xf>
    <xf numFmtId="0" fontId="28" fillId="0" borderId="33" xfId="0" applyFont="1" applyBorder="1" applyAlignment="1">
      <alignment horizontal="center" vertical="center" wrapText="1" readingOrder="1"/>
    </xf>
    <xf numFmtId="0" fontId="28" fillId="0" borderId="1" xfId="0" applyFont="1" applyBorder="1" applyAlignment="1">
      <alignment horizontal="center" vertical="center" wrapText="1" readingOrder="1"/>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13" borderId="139" xfId="0" applyFont="1" applyFill="1" applyBorder="1" applyAlignment="1">
      <alignment horizontal="center" vertical="center"/>
    </xf>
    <xf numFmtId="0" fontId="3" fillId="13" borderId="140" xfId="0" applyFont="1" applyFill="1" applyBorder="1" applyAlignment="1">
      <alignment horizontal="center" vertical="center"/>
    </xf>
    <xf numFmtId="0" fontId="3" fillId="13" borderId="141" xfId="0" applyFont="1" applyFill="1" applyBorder="1" applyAlignment="1">
      <alignment horizontal="center" vertical="center"/>
    </xf>
    <xf numFmtId="0" fontId="23" fillId="13" borderId="152" xfId="0" applyFont="1" applyFill="1" applyBorder="1" applyAlignment="1">
      <alignment horizontal="center" vertical="top" wrapText="1"/>
    </xf>
    <xf numFmtId="0" fontId="23" fillId="13" borderId="153" xfId="0" applyFont="1" applyFill="1" applyBorder="1" applyAlignment="1">
      <alignment horizontal="center" vertical="top" wrapText="1"/>
    </xf>
    <xf numFmtId="0" fontId="23" fillId="13" borderId="154" xfId="0" applyFont="1" applyFill="1" applyBorder="1" applyAlignment="1">
      <alignment horizontal="center" vertical="top" wrapText="1"/>
    </xf>
    <xf numFmtId="49" fontId="24" fillId="13" borderId="160" xfId="0" applyNumberFormat="1" applyFont="1" applyFill="1" applyBorder="1" applyAlignment="1">
      <alignment horizontal="center" vertical="top" wrapText="1"/>
    </xf>
    <xf numFmtId="49" fontId="24" fillId="13" borderId="161" xfId="0" applyNumberFormat="1" applyFont="1" applyFill="1" applyBorder="1" applyAlignment="1">
      <alignment horizontal="center" vertical="top" wrapText="1"/>
    </xf>
    <xf numFmtId="49" fontId="24" fillId="13" borderId="162" xfId="0" applyNumberFormat="1" applyFont="1" applyFill="1" applyBorder="1" applyAlignment="1">
      <alignment horizontal="center" vertical="top" wrapText="1"/>
    </xf>
    <xf numFmtId="0" fontId="40" fillId="13" borderId="27" xfId="0" applyFont="1" applyFill="1" applyBorder="1" applyAlignment="1">
      <alignment horizontal="center" vertical="center"/>
    </xf>
    <xf numFmtId="0" fontId="40" fillId="13" borderId="32" xfId="0" applyFont="1" applyFill="1" applyBorder="1" applyAlignment="1">
      <alignment horizontal="center" vertical="center"/>
    </xf>
    <xf numFmtId="0" fontId="40" fillId="13" borderId="28" xfId="0" applyFont="1" applyFill="1" applyBorder="1" applyAlignment="1">
      <alignment horizontal="center" vertical="center"/>
    </xf>
    <xf numFmtId="0" fontId="40" fillId="13" borderId="144" xfId="0" applyFont="1" applyFill="1" applyBorder="1" applyAlignment="1">
      <alignment horizontal="center" vertical="center"/>
    </xf>
    <xf numFmtId="0" fontId="40" fillId="13" borderId="145" xfId="0" applyFont="1" applyFill="1" applyBorder="1" applyAlignment="1">
      <alignment horizontal="center" vertical="center"/>
    </xf>
    <xf numFmtId="0" fontId="40" fillId="13" borderId="146" xfId="0" applyFont="1" applyFill="1" applyBorder="1" applyAlignment="1">
      <alignment horizontal="center" vertical="center"/>
    </xf>
    <xf numFmtId="0" fontId="47" fillId="13" borderId="5" xfId="0" applyFont="1" applyFill="1" applyBorder="1" applyAlignment="1">
      <alignment horizontal="center" vertical="center" wrapText="1" readingOrder="1"/>
    </xf>
    <xf numFmtId="0" fontId="47" fillId="13" borderId="163" xfId="0" applyFont="1" applyFill="1" applyBorder="1" applyAlignment="1">
      <alignment horizontal="center" vertical="center" wrapText="1" readingOrder="1"/>
    </xf>
    <xf numFmtId="0" fontId="50" fillId="13" borderId="1" xfId="0" applyFont="1" applyFill="1" applyBorder="1" applyAlignment="1">
      <alignment horizontal="center" vertical="center" wrapText="1" readingOrder="1"/>
    </xf>
    <xf numFmtId="0" fontId="50" fillId="13" borderId="34" xfId="0" applyFont="1" applyFill="1" applyBorder="1" applyAlignment="1">
      <alignment horizontal="center" vertical="center" wrapText="1" readingOrder="1"/>
    </xf>
    <xf numFmtId="0" fontId="49" fillId="13" borderId="27" xfId="0" applyFont="1" applyFill="1" applyBorder="1" applyAlignment="1">
      <alignment horizontal="center" vertical="center" wrapText="1" readingOrder="1"/>
    </xf>
    <xf numFmtId="0" fontId="49" fillId="13" borderId="32" xfId="0" applyFont="1" applyFill="1" applyBorder="1" applyAlignment="1">
      <alignment horizontal="center" vertical="center" wrapText="1" readingOrder="1"/>
    </xf>
    <xf numFmtId="0" fontId="49" fillId="13" borderId="28" xfId="0" applyFont="1" applyFill="1" applyBorder="1" applyAlignment="1">
      <alignment horizontal="center" vertical="center" wrapText="1" readingOrder="1"/>
    </xf>
    <xf numFmtId="0" fontId="50" fillId="13" borderId="33" xfId="0" applyFont="1" applyFill="1" applyBorder="1" applyAlignment="1">
      <alignment horizontal="center" vertical="center" wrapText="1" readingOrder="1"/>
    </xf>
    <xf numFmtId="0" fontId="53" fillId="0" borderId="0" xfId="0" applyFont="1" applyAlignment="1">
      <alignment horizontal="center" vertical="center" textRotation="90"/>
    </xf>
    <xf numFmtId="0" fontId="31"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9" fontId="19" fillId="9" borderId="323" xfId="0" applyNumberFormat="1" applyFont="1" applyFill="1" applyBorder="1" applyAlignment="1">
      <alignment horizontal="center" vertical="center"/>
    </xf>
    <xf numFmtId="9" fontId="19" fillId="9" borderId="328"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9" fontId="19" fillId="9" borderId="331" xfId="0" applyNumberFormat="1" applyFont="1" applyFill="1" applyBorder="1" applyAlignment="1">
      <alignment horizontal="center" vertical="center"/>
    </xf>
    <xf numFmtId="0" fontId="93" fillId="0" borderId="50" xfId="0" applyFont="1" applyBorder="1" applyAlignment="1">
      <alignment horizontal="right" vertical="center"/>
    </xf>
    <xf numFmtId="0" fontId="93" fillId="0" borderId="46" xfId="0" applyFont="1" applyBorder="1" applyAlignment="1">
      <alignment horizontal="right" vertical="center"/>
    </xf>
    <xf numFmtId="0" fontId="108" fillId="13" borderId="140" xfId="0" applyFont="1" applyFill="1" applyBorder="1" applyAlignment="1">
      <alignment horizontal="center" vertical="center"/>
    </xf>
    <xf numFmtId="0" fontId="108" fillId="13" borderId="141" xfId="0" applyFont="1" applyFill="1" applyBorder="1" applyAlignment="1">
      <alignment horizontal="center" vertical="center"/>
    </xf>
    <xf numFmtId="0" fontId="80" fillId="0" borderId="140" xfId="0" applyFont="1" applyBorder="1" applyAlignment="1">
      <alignment horizontal="center"/>
    </xf>
    <xf numFmtId="0" fontId="80" fillId="0" borderId="141" xfId="0" applyFont="1" applyBorder="1" applyAlignment="1">
      <alignment horizontal="center"/>
    </xf>
    <xf numFmtId="0" fontId="107" fillId="13" borderId="153" xfId="0" applyFont="1" applyFill="1" applyBorder="1" applyAlignment="1">
      <alignment horizontal="center" vertical="center"/>
    </xf>
    <xf numFmtId="0" fontId="107" fillId="13" borderId="154" xfId="0" applyFont="1" applyFill="1" applyBorder="1" applyAlignment="1">
      <alignment horizontal="center" vertical="center"/>
    </xf>
    <xf numFmtId="0" fontId="109" fillId="13" borderId="189" xfId="0" applyFont="1" applyFill="1" applyBorder="1" applyAlignment="1">
      <alignment horizontal="center" vertical="center"/>
    </xf>
    <xf numFmtId="0" fontId="109" fillId="13" borderId="191" xfId="0" applyFont="1" applyFill="1" applyBorder="1" applyAlignment="1">
      <alignment horizontal="center" vertical="center"/>
    </xf>
    <xf numFmtId="0" fontId="89" fillId="0" borderId="65" xfId="0" applyFont="1" applyBorder="1" applyAlignment="1">
      <alignment horizontal="left" vertical="center"/>
    </xf>
    <xf numFmtId="0" fontId="101" fillId="0" borderId="46" xfId="0" applyFont="1" applyBorder="1" applyAlignment="1">
      <alignment horizontal="right" vertical="center"/>
    </xf>
    <xf numFmtId="0" fontId="114" fillId="0" borderId="228" xfId="0" applyFont="1" applyBorder="1" applyAlignment="1">
      <alignment horizontal="left" vertical="center"/>
    </xf>
    <xf numFmtId="0" fontId="114" fillId="0" borderId="229" xfId="0" applyFont="1" applyBorder="1" applyAlignment="1">
      <alignment horizontal="left" vertical="center"/>
    </xf>
    <xf numFmtId="0" fontId="114" fillId="0" borderId="230" xfId="0" applyFont="1" applyBorder="1" applyAlignment="1">
      <alignment horizontal="left" vertical="center"/>
    </xf>
    <xf numFmtId="0" fontId="52" fillId="13" borderId="333" xfId="0" applyFont="1" applyFill="1" applyBorder="1" applyAlignment="1">
      <alignment horizontal="center" vertical="center"/>
    </xf>
    <xf numFmtId="0" fontId="52" fillId="13" borderId="334" xfId="0" applyFont="1" applyFill="1" applyBorder="1" applyAlignment="1">
      <alignment horizontal="center" vertical="center"/>
    </xf>
    <xf numFmtId="0" fontId="52" fillId="13" borderId="15" xfId="0" applyFont="1" applyFill="1" applyBorder="1" applyAlignment="1">
      <alignment horizontal="center" vertical="center"/>
    </xf>
    <xf numFmtId="0" fontId="52" fillId="13" borderId="16" xfId="0" applyFont="1" applyFill="1" applyBorder="1" applyAlignment="1">
      <alignment horizontal="center" vertical="center"/>
    </xf>
    <xf numFmtId="0" fontId="52" fillId="13" borderId="42" xfId="0" applyFont="1" applyFill="1" applyBorder="1" applyAlignment="1">
      <alignment horizontal="center" vertical="center"/>
    </xf>
    <xf numFmtId="0" fontId="110" fillId="0" borderId="152" xfId="0" applyFont="1" applyBorder="1" applyAlignment="1">
      <alignment horizontal="center" vertical="center"/>
    </xf>
    <xf numFmtId="0" fontId="110" fillId="0" borderId="154" xfId="0" applyFont="1" applyBorder="1" applyAlignment="1">
      <alignment horizontal="center" vertical="center"/>
    </xf>
    <xf numFmtId="9" fontId="19" fillId="9" borderId="325" xfId="0" applyNumberFormat="1" applyFont="1" applyFill="1" applyBorder="1" applyAlignment="1">
      <alignment horizontal="center" vertical="center"/>
    </xf>
    <xf numFmtId="9" fontId="19" fillId="9" borderId="326" xfId="0" applyNumberFormat="1" applyFont="1" applyFill="1" applyBorder="1" applyAlignment="1">
      <alignment horizontal="center" vertical="center"/>
    </xf>
    <xf numFmtId="0" fontId="103" fillId="13" borderId="19" xfId="0" applyFont="1" applyFill="1" applyBorder="1" applyAlignment="1">
      <alignment horizontal="center" vertical="center"/>
    </xf>
    <xf numFmtId="0" fontId="103" fillId="13" borderId="17" xfId="0" applyFont="1" applyFill="1" applyBorder="1" applyAlignment="1">
      <alignment horizontal="center" vertical="center"/>
    </xf>
    <xf numFmtId="0" fontId="103" fillId="13" borderId="24" xfId="0" applyFont="1" applyFill="1" applyBorder="1" applyAlignment="1">
      <alignment horizontal="center" vertical="center"/>
    </xf>
    <xf numFmtId="0" fontId="103" fillId="13" borderId="26" xfId="0" applyFont="1" applyFill="1" applyBorder="1" applyAlignment="1">
      <alignment horizontal="center" vertical="center"/>
    </xf>
    <xf numFmtId="0" fontId="103" fillId="13" borderId="19" xfId="0" applyFont="1" applyFill="1" applyBorder="1" applyAlignment="1">
      <alignment horizontal="center" vertical="center" wrapText="1"/>
    </xf>
    <xf numFmtId="0" fontId="103" fillId="13" borderId="20" xfId="0" applyFont="1" applyFill="1" applyBorder="1" applyAlignment="1">
      <alignment horizontal="center" vertical="center" wrapText="1"/>
    </xf>
    <xf numFmtId="0" fontId="103" fillId="13" borderId="17" xfId="0" applyFont="1" applyFill="1" applyBorder="1" applyAlignment="1">
      <alignment horizontal="center" vertical="center" wrapText="1"/>
    </xf>
    <xf numFmtId="0" fontId="103" fillId="13" borderId="24" xfId="0" applyFont="1" applyFill="1" applyBorder="1" applyAlignment="1">
      <alignment horizontal="center" vertical="center" wrapText="1"/>
    </xf>
    <xf numFmtId="0" fontId="103" fillId="13" borderId="25" xfId="0" applyFont="1" applyFill="1" applyBorder="1" applyAlignment="1">
      <alignment horizontal="center" vertical="center" wrapText="1"/>
    </xf>
    <xf numFmtId="0" fontId="103" fillId="13" borderId="26" xfId="0" applyFont="1" applyFill="1" applyBorder="1" applyAlignment="1">
      <alignment horizontal="center" vertical="center" wrapText="1"/>
    </xf>
    <xf numFmtId="0" fontId="22" fillId="0" borderId="27" xfId="0" applyFont="1" applyBorder="1" applyAlignment="1">
      <alignment horizontal="center"/>
    </xf>
    <xf numFmtId="0" fontId="22" fillId="0" borderId="28" xfId="0" applyFont="1" applyBorder="1" applyAlignment="1">
      <alignment horizontal="center"/>
    </xf>
    <xf numFmtId="0" fontId="22" fillId="0" borderId="33" xfId="0" applyFont="1" applyBorder="1" applyAlignment="1">
      <alignment horizontal="center"/>
    </xf>
    <xf numFmtId="0" fontId="22" fillId="0" borderId="34" xfId="0" applyFont="1" applyBorder="1" applyAlignment="1">
      <alignment horizontal="center"/>
    </xf>
    <xf numFmtId="0" fontId="22" fillId="0" borderId="172" xfId="0" applyFont="1" applyBorder="1" applyAlignment="1">
      <alignment horizontal="center" vertical="center"/>
    </xf>
    <xf numFmtId="0" fontId="103" fillId="13" borderId="62" xfId="0" applyFont="1" applyFill="1" applyBorder="1" applyAlignment="1">
      <alignment horizontal="center" vertical="center"/>
    </xf>
    <xf numFmtId="0" fontId="103" fillId="13" borderId="35" xfId="0" applyFont="1" applyFill="1" applyBorder="1" applyAlignment="1">
      <alignment horizontal="center" vertical="center"/>
    </xf>
    <xf numFmtId="0" fontId="103" fillId="13" borderId="6" xfId="0" applyFont="1" applyFill="1" applyBorder="1" applyAlignment="1">
      <alignment horizontal="center" vertical="center" wrapText="1"/>
    </xf>
    <xf numFmtId="0" fontId="103" fillId="13" borderId="36" xfId="0" applyFont="1" applyFill="1" applyBorder="1" applyAlignment="1">
      <alignment horizontal="center" vertical="center" wrapText="1"/>
    </xf>
    <xf numFmtId="0" fontId="103" fillId="13" borderId="22" xfId="0" applyFont="1" applyFill="1" applyBorder="1" applyAlignment="1">
      <alignment horizontal="center" vertical="center" wrapText="1"/>
    </xf>
    <xf numFmtId="0" fontId="103" fillId="13" borderId="339" xfId="0" applyFont="1" applyFill="1" applyBorder="1" applyAlignment="1">
      <alignment horizontal="center" vertical="center" wrapText="1"/>
    </xf>
    <xf numFmtId="0" fontId="103" fillId="13" borderId="338" xfId="0" applyFont="1" applyFill="1" applyBorder="1" applyAlignment="1">
      <alignment horizontal="center" vertical="center" wrapText="1"/>
    </xf>
    <xf numFmtId="0" fontId="22" fillId="0" borderId="35" xfId="0" applyFont="1" applyBorder="1" applyAlignment="1">
      <alignment horizontal="center"/>
    </xf>
    <xf numFmtId="0" fontId="22" fillId="0" borderId="37" xfId="0" applyFont="1" applyBorder="1" applyAlignment="1">
      <alignment horizontal="center"/>
    </xf>
    <xf numFmtId="0" fontId="16" fillId="0" borderId="47" xfId="0" applyFont="1" applyBorder="1" applyAlignment="1">
      <alignment horizontal="left" vertical="center" wrapText="1"/>
    </xf>
    <xf numFmtId="0" fontId="16" fillId="0" borderId="48" xfId="0" applyFont="1" applyBorder="1" applyAlignment="1">
      <alignment horizontal="left" vertical="center" wrapText="1"/>
    </xf>
    <xf numFmtId="0" fontId="16" fillId="0" borderId="178" xfId="0" applyFont="1" applyBorder="1" applyAlignment="1">
      <alignment horizontal="center" vertical="center" wrapText="1"/>
    </xf>
    <xf numFmtId="0" fontId="16" fillId="0" borderId="48" xfId="0" applyFont="1" applyBorder="1" applyAlignment="1">
      <alignment horizontal="center" vertical="center" wrapText="1"/>
    </xf>
    <xf numFmtId="0" fontId="100" fillId="0" borderId="303" xfId="0" applyFont="1" applyBorder="1" applyAlignment="1">
      <alignment horizontal="left" vertical="center" wrapText="1"/>
    </xf>
    <xf numFmtId="0" fontId="100" fillId="0" borderId="8" xfId="0" applyFont="1" applyBorder="1" applyAlignment="1">
      <alignment horizontal="left" vertical="center" wrapText="1"/>
    </xf>
    <xf numFmtId="0" fontId="100" fillId="0" borderId="304" xfId="0" applyFont="1" applyBorder="1" applyAlignment="1">
      <alignment horizontal="left" vertical="center" wrapText="1"/>
    </xf>
    <xf numFmtId="0" fontId="16" fillId="0" borderId="182" xfId="0" applyFont="1" applyBorder="1" applyAlignment="1">
      <alignment horizontal="left" vertical="center" wrapText="1"/>
    </xf>
    <xf numFmtId="0" fontId="16" fillId="0" borderId="173" xfId="0" applyFont="1" applyBorder="1" applyAlignment="1">
      <alignment horizontal="left" vertical="center" wrapText="1"/>
    </xf>
    <xf numFmtId="0" fontId="89" fillId="0" borderId="178" xfId="0" applyFont="1" applyBorder="1" applyAlignment="1">
      <alignment horizontal="left" vertical="center" wrapText="1"/>
    </xf>
    <xf numFmtId="0" fontId="111" fillId="0" borderId="51" xfId="0" applyFont="1" applyBorder="1" applyAlignment="1">
      <alignment horizontal="left" vertical="center" wrapText="1"/>
    </xf>
    <xf numFmtId="0" fontId="111" fillId="0" borderId="129" xfId="0" applyFont="1" applyBorder="1" applyAlignment="1">
      <alignment horizontal="left" vertical="center" wrapText="1"/>
    </xf>
    <xf numFmtId="0" fontId="7" fillId="4" borderId="1" xfId="0" applyFont="1" applyFill="1" applyBorder="1" applyAlignment="1">
      <alignment horizontal="center" vertical="center"/>
    </xf>
    <xf numFmtId="0" fontId="74" fillId="0" borderId="318" xfId="0" applyFont="1" applyBorder="1" applyAlignment="1">
      <alignment horizontal="left" vertical="center"/>
    </xf>
    <xf numFmtId="0" fontId="74" fillId="0" borderId="127" xfId="0" applyFont="1" applyBorder="1" applyAlignment="1">
      <alignment horizontal="left" vertical="center"/>
    </xf>
    <xf numFmtId="0" fontId="74" fillId="0" borderId="319" xfId="0" applyFont="1" applyBorder="1" applyAlignment="1">
      <alignment horizontal="left" vertical="center"/>
    </xf>
    <xf numFmtId="0" fontId="94" fillId="0" borderId="1" xfId="0" applyFont="1" applyBorder="1" applyAlignment="1">
      <alignment horizontal="center" vertical="center" wrapText="1"/>
    </xf>
    <xf numFmtId="0" fontId="96" fillId="0" borderId="1" xfId="0" applyFont="1" applyBorder="1" applyAlignment="1">
      <alignment horizontal="center" vertical="center" wrapText="1"/>
    </xf>
    <xf numFmtId="0" fontId="68" fillId="0" borderId="0" xfId="0" applyFont="1" applyAlignment="1">
      <alignment horizontal="right" vertical="center"/>
    </xf>
    <xf numFmtId="0" fontId="16" fillId="0" borderId="181" xfId="0" applyFont="1" applyBorder="1" applyAlignment="1">
      <alignment horizontal="center" vertical="center" wrapText="1"/>
    </xf>
    <xf numFmtId="0" fontId="16" fillId="0" borderId="173" xfId="0" applyFont="1" applyBorder="1" applyAlignment="1">
      <alignment horizontal="center" vertical="center" wrapText="1"/>
    </xf>
    <xf numFmtId="0" fontId="52" fillId="13" borderId="58" xfId="0" applyFont="1" applyFill="1" applyBorder="1" applyAlignment="1">
      <alignment horizontal="right" vertical="center"/>
    </xf>
    <xf numFmtId="0" fontId="52" fillId="13" borderId="0" xfId="0" applyFont="1" applyFill="1" applyAlignment="1">
      <alignment horizontal="right" vertical="center"/>
    </xf>
    <xf numFmtId="49" fontId="79" fillId="13" borderId="0" xfId="0" applyNumberFormat="1" applyFont="1" applyFill="1" applyAlignment="1">
      <alignment horizontal="left" vertical="center"/>
    </xf>
    <xf numFmtId="49" fontId="79" fillId="13" borderId="60" xfId="0" applyNumberFormat="1" applyFont="1" applyFill="1" applyBorder="1" applyAlignment="1">
      <alignment horizontal="left" vertical="center"/>
    </xf>
    <xf numFmtId="0" fontId="89" fillId="0" borderId="54" xfId="0" applyFont="1" applyBorder="1" applyAlignment="1">
      <alignment horizontal="left" vertical="center"/>
    </xf>
    <xf numFmtId="0" fontId="89" fillId="0" borderId="49" xfId="0" applyFont="1" applyBorder="1" applyAlignment="1">
      <alignment horizontal="left" vertical="center"/>
    </xf>
    <xf numFmtId="0" fontId="89" fillId="0" borderId="55" xfId="0" applyFont="1" applyBorder="1" applyAlignment="1">
      <alignment horizontal="left" vertical="center"/>
    </xf>
    <xf numFmtId="0" fontId="7" fillId="20" borderId="1" xfId="0" applyFont="1" applyFill="1" applyBorder="1" applyAlignment="1">
      <alignment horizontal="center" vertical="center"/>
    </xf>
    <xf numFmtId="0" fontId="7" fillId="13" borderId="1" xfId="0" applyFont="1" applyFill="1" applyBorder="1" applyAlignment="1">
      <alignment horizontal="center" vertical="center" wrapText="1"/>
    </xf>
    <xf numFmtId="0" fontId="99" fillId="0" borderId="177" xfId="0" applyFont="1" applyBorder="1" applyAlignment="1">
      <alignment horizontal="left" vertical="center" wrapText="1"/>
    </xf>
    <xf numFmtId="0" fontId="99" fillId="0" borderId="194" xfId="0" applyFont="1" applyBorder="1" applyAlignment="1">
      <alignment horizontal="left" vertical="center" wrapText="1"/>
    </xf>
    <xf numFmtId="0" fontId="99" fillId="0" borderId="176" xfId="0" applyFont="1" applyBorder="1" applyAlignment="1">
      <alignment horizontal="left" vertical="center" wrapText="1"/>
    </xf>
    <xf numFmtId="0" fontId="52" fillId="13" borderId="58" xfId="0" applyFont="1" applyFill="1" applyBorder="1" applyAlignment="1">
      <alignment horizontal="center" vertical="center"/>
    </xf>
    <xf numFmtId="0" fontId="52" fillId="13" borderId="0" xfId="0" applyFont="1" applyFill="1" applyAlignment="1">
      <alignment horizontal="center" vertical="center"/>
    </xf>
    <xf numFmtId="0" fontId="52" fillId="13" borderId="60" xfId="0" applyFont="1" applyFill="1" applyBorder="1" applyAlignment="1">
      <alignment horizontal="center" vertical="center"/>
    </xf>
    <xf numFmtId="0" fontId="7" fillId="13" borderId="1" xfId="0" applyFont="1" applyFill="1" applyBorder="1" applyAlignment="1">
      <alignment horizontal="center" vertical="center"/>
    </xf>
    <xf numFmtId="0" fontId="16" fillId="0" borderId="126" xfId="0" applyFont="1" applyBorder="1" applyAlignment="1">
      <alignment horizontal="left" vertical="center" wrapText="1"/>
    </xf>
    <xf numFmtId="0" fontId="16" fillId="0" borderId="319" xfId="0" applyFont="1" applyBorder="1" applyAlignment="1">
      <alignment horizontal="left" vertical="center" wrapText="1"/>
    </xf>
    <xf numFmtId="0" fontId="61" fillId="19" borderId="5" xfId="0" applyFont="1" applyFill="1" applyBorder="1" applyAlignment="1">
      <alignment horizontal="center" vertical="center" wrapText="1"/>
    </xf>
    <xf numFmtId="0" fontId="61" fillId="19" borderId="156" xfId="0" applyFont="1" applyFill="1" applyBorder="1" applyAlignment="1">
      <alignment horizontal="center" vertical="center" wrapText="1"/>
    </xf>
    <xf numFmtId="0" fontId="36" fillId="0" borderId="59" xfId="0" applyFont="1" applyBorder="1" applyAlignment="1">
      <alignment horizontal="center"/>
    </xf>
    <xf numFmtId="0" fontId="36" fillId="0" borderId="52" xfId="0" applyFont="1" applyBorder="1" applyAlignment="1">
      <alignment horizontal="center"/>
    </xf>
    <xf numFmtId="0" fontId="7" fillId="13" borderId="308" xfId="0" applyFont="1" applyFill="1" applyBorder="1" applyAlignment="1">
      <alignment horizontal="center" vertical="center"/>
    </xf>
    <xf numFmtId="0" fontId="7" fillId="13" borderId="309" xfId="0" applyFont="1" applyFill="1" applyBorder="1" applyAlignment="1">
      <alignment horizontal="center" vertical="center"/>
    </xf>
    <xf numFmtId="0" fontId="7" fillId="13" borderId="310" xfId="0" applyFont="1" applyFill="1" applyBorder="1" applyAlignment="1">
      <alignment horizontal="center" vertical="center"/>
    </xf>
    <xf numFmtId="0" fontId="16" fillId="0" borderId="318" xfId="0" applyFont="1" applyBorder="1" applyAlignment="1">
      <alignment horizontal="center" vertical="center" wrapText="1"/>
    </xf>
    <xf numFmtId="0" fontId="16" fillId="0" borderId="319" xfId="0" applyFont="1" applyBorder="1" applyAlignment="1">
      <alignment horizontal="center" vertical="center" wrapText="1"/>
    </xf>
    <xf numFmtId="0" fontId="93" fillId="0" borderId="298" xfId="0" applyFont="1" applyBorder="1" applyAlignment="1">
      <alignment horizontal="right" vertical="center"/>
    </xf>
    <xf numFmtId="0" fontId="93" fillId="0" borderId="295" xfId="0" applyFont="1" applyBorder="1" applyAlignment="1">
      <alignment horizontal="right" vertical="center"/>
    </xf>
    <xf numFmtId="0" fontId="0" fillId="0" borderId="36" xfId="0" applyBorder="1" applyAlignment="1">
      <alignment horizontal="center"/>
    </xf>
    <xf numFmtId="0" fontId="0" fillId="0" borderId="37" xfId="0" applyBorder="1" applyAlignment="1">
      <alignment horizontal="center"/>
    </xf>
    <xf numFmtId="0" fontId="81" fillId="13" borderId="19" xfId="0" applyFont="1" applyFill="1" applyBorder="1" applyAlignment="1">
      <alignment horizontal="center" vertical="center"/>
    </xf>
    <xf numFmtId="0" fontId="81" fillId="13" borderId="20" xfId="0" applyFont="1" applyFill="1" applyBorder="1" applyAlignment="1">
      <alignment horizontal="center" vertical="center"/>
    </xf>
    <xf numFmtId="0" fontId="81" fillId="13" borderId="24" xfId="0" applyFont="1" applyFill="1" applyBorder="1" applyAlignment="1">
      <alignment horizontal="center" vertical="center"/>
    </xf>
    <xf numFmtId="0" fontId="81" fillId="13" borderId="25" xfId="0" applyFont="1" applyFill="1" applyBorder="1" applyAlignment="1">
      <alignment horizontal="center" vertical="center"/>
    </xf>
    <xf numFmtId="0" fontId="81" fillId="13" borderId="17" xfId="0" applyFont="1" applyFill="1" applyBorder="1" applyAlignment="1">
      <alignment horizontal="center" vertical="center"/>
    </xf>
    <xf numFmtId="0" fontId="81" fillId="13" borderId="22" xfId="0" applyFont="1" applyFill="1" applyBorder="1" applyAlignment="1">
      <alignment horizontal="center" vertical="center"/>
    </xf>
    <xf numFmtId="0" fontId="81" fillId="13" borderId="23" xfId="0" applyFont="1" applyFill="1" applyBorder="1" applyAlignment="1">
      <alignment horizontal="center" vertical="center"/>
    </xf>
    <xf numFmtId="0" fontId="65" fillId="0" borderId="33" xfId="0" applyFont="1" applyBorder="1" applyAlignment="1">
      <alignment horizontal="center" vertical="center"/>
    </xf>
    <xf numFmtId="0" fontId="65" fillId="0" borderId="1" xfId="0" applyFont="1" applyBorder="1" applyAlignment="1">
      <alignment horizontal="center" vertical="center"/>
    </xf>
    <xf numFmtId="0" fontId="0" fillId="0" borderId="34" xfId="0" applyBorder="1" applyAlignment="1">
      <alignment horizontal="center"/>
    </xf>
    <xf numFmtId="0" fontId="81" fillId="13" borderId="27" xfId="0" applyFont="1" applyFill="1" applyBorder="1" applyAlignment="1">
      <alignment horizontal="center" vertical="center" wrapText="1"/>
    </xf>
    <xf numFmtId="0" fontId="81" fillId="13" borderId="32" xfId="0" applyFont="1" applyFill="1" applyBorder="1" applyAlignment="1">
      <alignment horizontal="center" vertical="center" wrapText="1"/>
    </xf>
    <xf numFmtId="0" fontId="81" fillId="13" borderId="216" xfId="0" applyFont="1" applyFill="1" applyBorder="1" applyAlignment="1">
      <alignment horizontal="center" vertical="center" wrapText="1"/>
    </xf>
    <xf numFmtId="0" fontId="81" fillId="13" borderId="33" xfId="0" applyFont="1" applyFill="1" applyBorder="1" applyAlignment="1">
      <alignment horizontal="center" vertical="center" wrapText="1"/>
    </xf>
    <xf numFmtId="0" fontId="81" fillId="13" borderId="1" xfId="0" applyFont="1" applyFill="1" applyBorder="1" applyAlignment="1">
      <alignment horizontal="center" vertical="center" wrapText="1"/>
    </xf>
    <xf numFmtId="0" fontId="81" fillId="13" borderId="3" xfId="0" applyFont="1" applyFill="1" applyBorder="1" applyAlignment="1">
      <alignment horizontal="center" vertical="center" wrapText="1"/>
    </xf>
    <xf numFmtId="0" fontId="81" fillId="13" borderId="217" xfId="0" applyFont="1" applyFill="1" applyBorder="1" applyAlignment="1">
      <alignment horizontal="center" vertical="center" wrapText="1"/>
    </xf>
    <xf numFmtId="0" fontId="81" fillId="13" borderId="5" xfId="0" applyFont="1" applyFill="1" applyBorder="1" applyAlignment="1">
      <alignment horizontal="center" vertical="center" wrapText="1"/>
    </xf>
    <xf numFmtId="0" fontId="81" fillId="13" borderId="7" xfId="0" applyFont="1" applyFill="1" applyBorder="1" applyAlignment="1">
      <alignment horizontal="center" vertical="center" wrapText="1"/>
    </xf>
    <xf numFmtId="0" fontId="92" fillId="13" borderId="62" xfId="0" applyFont="1" applyFill="1" applyBorder="1" applyAlignment="1">
      <alignment horizontal="center" vertical="center"/>
    </xf>
    <xf numFmtId="0" fontId="92" fillId="13" borderId="6" xfId="0" applyFont="1" applyFill="1" applyBorder="1" applyAlignment="1">
      <alignment horizontal="center" vertical="center"/>
    </xf>
    <xf numFmtId="0" fontId="92" fillId="13" borderId="217" xfId="0" applyFont="1" applyFill="1" applyBorder="1" applyAlignment="1">
      <alignment horizontal="center" vertical="center"/>
    </xf>
    <xf numFmtId="0" fontId="92" fillId="13" borderId="5" xfId="0" applyFont="1" applyFill="1" applyBorder="1" applyAlignment="1">
      <alignment horizontal="center" vertical="center"/>
    </xf>
    <xf numFmtId="0" fontId="92" fillId="13" borderId="6" xfId="0" applyFont="1" applyFill="1" applyBorder="1" applyAlignment="1">
      <alignment horizontal="center" vertical="center" wrapText="1"/>
    </xf>
    <xf numFmtId="0" fontId="92" fillId="13" borderId="45" xfId="0" applyFont="1" applyFill="1" applyBorder="1" applyAlignment="1">
      <alignment horizontal="center" vertical="center" wrapText="1"/>
    </xf>
    <xf numFmtId="0" fontId="92" fillId="13" borderId="5" xfId="0" applyFont="1" applyFill="1" applyBorder="1" applyAlignment="1">
      <alignment horizontal="center" vertical="center" wrapText="1"/>
    </xf>
    <xf numFmtId="0" fontId="92" fillId="13" borderId="163" xfId="0" applyFont="1" applyFill="1" applyBorder="1" applyAlignment="1">
      <alignment horizontal="center" vertical="center" wrapText="1"/>
    </xf>
    <xf numFmtId="0" fontId="92" fillId="13" borderId="22" xfId="0" applyFont="1" applyFill="1" applyBorder="1" applyAlignment="1">
      <alignment horizontal="center" vertical="center" wrapText="1"/>
    </xf>
    <xf numFmtId="0" fontId="92" fillId="13" borderId="0" xfId="0" applyFont="1" applyFill="1" applyAlignment="1">
      <alignment horizontal="center" vertical="center" wrapText="1"/>
    </xf>
    <xf numFmtId="0" fontId="80" fillId="13" borderId="139" xfId="0" applyFont="1" applyFill="1" applyBorder="1" applyAlignment="1">
      <alignment horizontal="center"/>
    </xf>
    <xf numFmtId="0" fontId="80" fillId="13" borderId="140" xfId="0" applyFont="1" applyFill="1" applyBorder="1" applyAlignment="1">
      <alignment horizontal="center"/>
    </xf>
    <xf numFmtId="0" fontId="80" fillId="13" borderId="141" xfId="0" applyFont="1" applyFill="1" applyBorder="1" applyAlignment="1">
      <alignment horizontal="center"/>
    </xf>
    <xf numFmtId="0" fontId="86" fillId="0" borderId="228" xfId="0" applyFont="1" applyBorder="1" applyAlignment="1">
      <alignment horizontal="left" vertical="center"/>
    </xf>
    <xf numFmtId="0" fontId="86" fillId="0" borderId="229" xfId="0" applyFont="1" applyBorder="1" applyAlignment="1">
      <alignment horizontal="left" vertical="center"/>
    </xf>
    <xf numFmtId="0" fontId="86" fillId="0" borderId="230" xfId="0" applyFont="1" applyBorder="1" applyAlignment="1">
      <alignment horizontal="left" vertical="center"/>
    </xf>
    <xf numFmtId="0" fontId="15" fillId="0" borderId="139" xfId="0" applyFont="1" applyBorder="1" applyAlignment="1">
      <alignment horizontal="center" vertical="center"/>
    </xf>
    <xf numFmtId="0" fontId="15" fillId="0" borderId="140" xfId="0" applyFont="1" applyBorder="1" applyAlignment="1">
      <alignment horizontal="center" vertical="center"/>
    </xf>
    <xf numFmtId="0" fontId="15" fillId="0" borderId="152" xfId="0" applyFont="1" applyBorder="1" applyAlignment="1">
      <alignment horizontal="center" vertical="center" wrapText="1"/>
    </xf>
    <xf numFmtId="0" fontId="15" fillId="0" borderId="153" xfId="0" applyFont="1" applyBorder="1" applyAlignment="1">
      <alignment horizontal="center" vertical="center" wrapText="1"/>
    </xf>
    <xf numFmtId="0" fontId="15" fillId="0" borderId="154" xfId="0" applyFont="1" applyBorder="1" applyAlignment="1">
      <alignment horizontal="center" vertical="center" wrapText="1"/>
    </xf>
    <xf numFmtId="0" fontId="15" fillId="0" borderId="206" xfId="0" applyFont="1" applyBorder="1" applyAlignment="1">
      <alignment horizontal="center" vertical="center" wrapText="1"/>
    </xf>
    <xf numFmtId="0" fontId="15" fillId="0" borderId="189" xfId="0" applyFont="1" applyBorder="1" applyAlignment="1">
      <alignment horizontal="center" vertical="center" wrapText="1"/>
    </xf>
    <xf numFmtId="0" fontId="15" fillId="0" borderId="191" xfId="0" applyFont="1" applyBorder="1" applyAlignment="1">
      <alignment horizontal="center" vertical="center" wrapText="1"/>
    </xf>
    <xf numFmtId="0" fontId="83" fillId="0" borderId="210" xfId="0" applyFont="1" applyBorder="1" applyAlignment="1">
      <alignment horizontal="left" vertical="center"/>
    </xf>
    <xf numFmtId="0" fontId="83" fillId="0" borderId="153" xfId="0" applyFont="1" applyBorder="1" applyAlignment="1">
      <alignment horizontal="left" vertical="center"/>
    </xf>
    <xf numFmtId="0" fontId="83" fillId="0" borderId="154" xfId="0" applyFont="1" applyBorder="1" applyAlignment="1">
      <alignment horizontal="left" vertical="center"/>
    </xf>
    <xf numFmtId="0" fontId="83" fillId="0" borderId="54" xfId="0" applyFont="1" applyBorder="1" applyAlignment="1">
      <alignment horizontal="left" vertical="center"/>
    </xf>
    <xf numFmtId="0" fontId="83" fillId="0" borderId="49" xfId="0" applyFont="1" applyBorder="1" applyAlignment="1">
      <alignment horizontal="left" vertical="center"/>
    </xf>
    <xf numFmtId="0" fontId="83" fillId="0" borderId="136" xfId="0" applyFont="1" applyBorder="1" applyAlignment="1">
      <alignment horizontal="left" vertical="center"/>
    </xf>
    <xf numFmtId="0" fontId="80" fillId="0" borderId="139" xfId="0" applyFont="1" applyBorder="1" applyAlignment="1">
      <alignment horizontal="center"/>
    </xf>
    <xf numFmtId="0" fontId="89" fillId="0" borderId="210" xfId="0" applyFont="1" applyBorder="1" applyAlignment="1">
      <alignment horizontal="center" vertical="center"/>
    </xf>
    <xf numFmtId="0" fontId="89" fillId="0" borderId="153" xfId="0" applyFont="1" applyBorder="1" applyAlignment="1">
      <alignment horizontal="center" vertical="center"/>
    </xf>
    <xf numFmtId="0" fontId="89" fillId="0" borderId="154" xfId="0" applyFont="1" applyBorder="1" applyAlignment="1">
      <alignment horizontal="center" vertical="center"/>
    </xf>
    <xf numFmtId="0" fontId="89" fillId="0" borderId="54" xfId="0" applyFont="1" applyBorder="1" applyAlignment="1">
      <alignment horizontal="center" vertical="center"/>
    </xf>
    <xf numFmtId="0" fontId="89" fillId="0" borderId="49" xfId="0" applyFont="1" applyBorder="1" applyAlignment="1">
      <alignment horizontal="center" vertical="center"/>
    </xf>
    <xf numFmtId="0" fontId="89" fillId="0" borderId="136" xfId="0" applyFont="1" applyBorder="1" applyAlignment="1">
      <alignment horizontal="center" vertical="center"/>
    </xf>
    <xf numFmtId="0" fontId="46" fillId="0" borderId="59" xfId="0" applyFont="1" applyBorder="1" applyAlignment="1">
      <alignment horizontal="center" vertical="center"/>
    </xf>
    <xf numFmtId="0" fontId="46" fillId="0" borderId="52" xfId="0" applyFont="1" applyBorder="1" applyAlignment="1">
      <alignment horizontal="center" vertical="center"/>
    </xf>
    <xf numFmtId="0" fontId="46" fillId="0" borderId="135" xfId="0" applyFont="1" applyBorder="1" applyAlignment="1">
      <alignment horizontal="center" vertical="center"/>
    </xf>
    <xf numFmtId="0" fontId="46" fillId="0" borderId="211" xfId="0" applyFont="1" applyBorder="1" applyAlignment="1">
      <alignment horizontal="center" vertical="center"/>
    </xf>
    <xf numFmtId="0" fontId="46" fillId="0" borderId="189" xfId="0" applyFont="1" applyBorder="1" applyAlignment="1">
      <alignment horizontal="center" vertical="center"/>
    </xf>
    <xf numFmtId="0" fontId="46" fillId="0" borderId="191" xfId="0" applyFont="1" applyBorder="1" applyAlignment="1">
      <alignment horizontal="center" vertical="center"/>
    </xf>
    <xf numFmtId="0" fontId="82" fillId="13" borderId="206" xfId="0" applyFont="1" applyFill="1" applyBorder="1" applyAlignment="1">
      <alignment horizontal="center" vertical="center"/>
    </xf>
    <xf numFmtId="0" fontId="82" fillId="13" borderId="189" xfId="0" applyFont="1" applyFill="1" applyBorder="1" applyAlignment="1">
      <alignment horizontal="center" vertical="center"/>
    </xf>
    <xf numFmtId="0" fontId="82" fillId="13" borderId="191" xfId="0" applyFont="1" applyFill="1" applyBorder="1" applyAlignment="1">
      <alignment horizontal="center" vertical="center"/>
    </xf>
    <xf numFmtId="0" fontId="81" fillId="13" borderId="152" xfId="0" applyFont="1" applyFill="1" applyBorder="1" applyAlignment="1">
      <alignment horizontal="center"/>
    </xf>
    <xf numFmtId="0" fontId="81" fillId="13" borderId="153" xfId="0" applyFont="1" applyFill="1" applyBorder="1" applyAlignment="1">
      <alignment horizontal="center"/>
    </xf>
    <xf numFmtId="0" fontId="81" fillId="13" borderId="154" xfId="0" applyFont="1" applyFill="1" applyBorder="1" applyAlignment="1">
      <alignment horizontal="center"/>
    </xf>
    <xf numFmtId="0" fontId="89" fillId="0" borderId="58" xfId="0" applyFont="1" applyBorder="1" applyAlignment="1">
      <alignment horizontal="center" vertical="center"/>
    </xf>
    <xf numFmtId="0" fontId="89" fillId="0" borderId="0" xfId="0" applyFont="1" applyAlignment="1">
      <alignment horizontal="center" vertical="center"/>
    </xf>
    <xf numFmtId="0" fontId="89" fillId="0" borderId="186" xfId="0" applyFont="1" applyBorder="1" applyAlignment="1">
      <alignment horizontal="center" vertical="center"/>
    </xf>
    <xf numFmtId="0" fontId="89" fillId="0" borderId="210" xfId="0" applyFont="1" applyBorder="1" applyAlignment="1">
      <alignment horizontal="left" vertical="center"/>
    </xf>
    <xf numFmtId="0" fontId="89" fillId="0" borderId="154" xfId="0" applyFont="1" applyBorder="1" applyAlignment="1">
      <alignment horizontal="left" vertical="center"/>
    </xf>
    <xf numFmtId="0" fontId="89" fillId="0" borderId="136" xfId="0" applyFont="1" applyBorder="1" applyAlignment="1">
      <alignment horizontal="left" vertical="center"/>
    </xf>
    <xf numFmtId="0" fontId="0" fillId="0" borderId="114" xfId="0" applyBorder="1" applyAlignment="1">
      <alignment horizontal="center"/>
    </xf>
    <xf numFmtId="0" fontId="0" fillId="0" borderId="61" xfId="0" applyBorder="1" applyAlignment="1">
      <alignment horizontal="center"/>
    </xf>
    <xf numFmtId="0" fontId="0" fillId="0" borderId="115" xfId="0" applyBorder="1" applyAlignment="1">
      <alignment horizontal="center"/>
    </xf>
    <xf numFmtId="0" fontId="85" fillId="0" borderId="79" xfId="0" applyFont="1" applyBorder="1" applyAlignment="1">
      <alignment horizontal="center" vertical="center" wrapText="1"/>
    </xf>
    <xf numFmtId="0" fontId="85" fillId="0" borderId="20" xfId="0" applyFont="1" applyBorder="1" applyAlignment="1">
      <alignment horizontal="center" vertical="center" wrapText="1"/>
    </xf>
    <xf numFmtId="0" fontId="85" fillId="0" borderId="17" xfId="0" applyFont="1" applyBorder="1" applyAlignment="1">
      <alignment horizontal="center" vertical="center" wrapText="1"/>
    </xf>
    <xf numFmtId="0" fontId="85" fillId="0" borderId="54" xfId="0" applyFont="1" applyBorder="1" applyAlignment="1">
      <alignment horizontal="center" vertical="center" wrapText="1"/>
    </xf>
    <xf numFmtId="0" fontId="85" fillId="0" borderId="49" xfId="0" applyFont="1" applyBorder="1" applyAlignment="1">
      <alignment horizontal="center" vertical="center" wrapText="1"/>
    </xf>
    <xf numFmtId="0" fontId="85" fillId="0" borderId="70" xfId="0" applyFont="1" applyBorder="1" applyAlignment="1">
      <alignment horizontal="center" vertical="center" wrapText="1"/>
    </xf>
    <xf numFmtId="0" fontId="46" fillId="0" borderId="68" xfId="0" applyFont="1" applyBorder="1" applyAlignment="1">
      <alignment horizontal="center" vertical="center"/>
    </xf>
    <xf numFmtId="0" fontId="46" fillId="0" borderId="218" xfId="0" applyFont="1" applyBorder="1" applyAlignment="1">
      <alignment horizontal="center" vertical="center"/>
    </xf>
    <xf numFmtId="0" fontId="46" fillId="0" borderId="25" xfId="0" applyFont="1" applyBorder="1" applyAlignment="1">
      <alignment horizontal="center" vertical="center"/>
    </xf>
    <xf numFmtId="0" fontId="46" fillId="0" borderId="26" xfId="0" applyFont="1" applyBorder="1" applyAlignment="1">
      <alignment horizontal="center" vertical="center"/>
    </xf>
    <xf numFmtId="0" fontId="46" fillId="0" borderId="59" xfId="0" applyFont="1" applyBorder="1" applyAlignment="1">
      <alignment horizontal="left" vertical="center"/>
    </xf>
    <xf numFmtId="0" fontId="46" fillId="0" borderId="135" xfId="0" applyFont="1" applyBorder="1" applyAlignment="1">
      <alignment horizontal="left" vertical="center"/>
    </xf>
    <xf numFmtId="0" fontId="46" fillId="0" borderId="211" xfId="0" applyFont="1" applyBorder="1" applyAlignment="1">
      <alignment horizontal="left" vertical="center"/>
    </xf>
    <xf numFmtId="0" fontId="46" fillId="0" borderId="191" xfId="0" applyFont="1" applyBorder="1" applyAlignment="1">
      <alignment horizontal="left" vertical="center"/>
    </xf>
    <xf numFmtId="0" fontId="65" fillId="0" borderId="35" xfId="0" applyFont="1" applyBorder="1" applyAlignment="1">
      <alignment horizontal="center" vertical="center"/>
    </xf>
    <xf numFmtId="0" fontId="65" fillId="0" borderId="36" xfId="0" applyFont="1" applyBorder="1" applyAlignment="1">
      <alignment horizontal="center" vertical="center"/>
    </xf>
    <xf numFmtId="9" fontId="0" fillId="0" borderId="238" xfId="0" applyNumberFormat="1" applyBorder="1" applyAlignment="1">
      <alignment horizontal="center" vertical="center"/>
    </xf>
    <xf numFmtId="9" fontId="0" fillId="0" borderId="231" xfId="0" applyNumberFormat="1" applyBorder="1" applyAlignment="1">
      <alignment horizontal="center" vertical="center"/>
    </xf>
    <xf numFmtId="9" fontId="0" fillId="0" borderId="265" xfId="0" applyNumberFormat="1" applyBorder="1" applyAlignment="1">
      <alignment horizontal="center" vertical="center"/>
    </xf>
    <xf numFmtId="0" fontId="0" fillId="0" borderId="264" xfId="0" applyBorder="1" applyAlignment="1">
      <alignment horizontal="right"/>
    </xf>
    <xf numFmtId="0" fontId="0" fillId="0" borderId="231" xfId="0" applyBorder="1" applyAlignment="1">
      <alignment horizontal="right"/>
    </xf>
    <xf numFmtId="0" fontId="0" fillId="0" borderId="233" xfId="0" applyBorder="1" applyAlignment="1">
      <alignment horizontal="right"/>
    </xf>
    <xf numFmtId="0" fontId="0" fillId="0" borderId="264" xfId="0" applyBorder="1" applyAlignment="1">
      <alignment horizontal="right" vertical="center"/>
    </xf>
    <xf numFmtId="0" fontId="0" fillId="0" borderId="231" xfId="0" applyBorder="1" applyAlignment="1">
      <alignment horizontal="right" vertical="center"/>
    </xf>
    <xf numFmtId="0" fontId="0" fillId="0" borderId="233" xfId="0" applyBorder="1" applyAlignment="1">
      <alignment horizontal="right" vertical="center"/>
    </xf>
    <xf numFmtId="0" fontId="0" fillId="18" borderId="264" xfId="0" applyFill="1" applyBorder="1" applyAlignment="1">
      <alignment horizontal="left" vertical="center"/>
    </xf>
    <xf numFmtId="0" fontId="0" fillId="18" borderId="231" xfId="0" applyFill="1" applyBorder="1" applyAlignment="1">
      <alignment horizontal="left" vertical="center"/>
    </xf>
    <xf numFmtId="0" fontId="0" fillId="18" borderId="233" xfId="0" applyFill="1" applyBorder="1" applyAlignment="1">
      <alignment horizontal="left" vertical="center"/>
    </xf>
    <xf numFmtId="9" fontId="84" fillId="0" borderId="232" xfId="0" applyNumberFormat="1" applyFont="1" applyBorder="1" applyAlignment="1">
      <alignment horizontal="center" vertical="center"/>
    </xf>
    <xf numFmtId="9" fontId="84" fillId="0" borderId="231" xfId="0" applyNumberFormat="1" applyFont="1" applyBorder="1" applyAlignment="1">
      <alignment horizontal="center" vertical="center"/>
    </xf>
    <xf numFmtId="9" fontId="84" fillId="0" borderId="233" xfId="0" applyNumberFormat="1" applyFont="1" applyBorder="1" applyAlignment="1">
      <alignment horizontal="center" vertical="center"/>
    </xf>
    <xf numFmtId="9" fontId="0" fillId="0" borderId="234" xfId="0" applyNumberFormat="1" applyBorder="1" applyAlignment="1">
      <alignment horizontal="center" vertical="center"/>
    </xf>
    <xf numFmtId="9" fontId="0" fillId="0" borderId="235" xfId="0" applyNumberFormat="1" applyBorder="1" applyAlignment="1">
      <alignment horizontal="center" vertical="center"/>
    </xf>
    <xf numFmtId="9" fontId="0" fillId="18" borderId="234" xfId="0" applyNumberFormat="1" applyFill="1" applyBorder="1" applyAlignment="1">
      <alignment horizontal="center" vertical="center"/>
    </xf>
    <xf numFmtId="9" fontId="0" fillId="18" borderId="235" xfId="0" applyNumberFormat="1" applyFill="1" applyBorder="1" applyAlignment="1">
      <alignment horizontal="center" vertical="center"/>
    </xf>
    <xf numFmtId="9" fontId="84" fillId="18" borderId="232" xfId="0" applyNumberFormat="1" applyFont="1" applyFill="1" applyBorder="1" applyAlignment="1">
      <alignment horizontal="center" vertical="center"/>
    </xf>
    <xf numFmtId="9" fontId="84" fillId="18" borderId="231" xfId="0" applyNumberFormat="1" applyFont="1" applyFill="1" applyBorder="1" applyAlignment="1">
      <alignment horizontal="center" vertical="center"/>
    </xf>
    <xf numFmtId="9" fontId="84" fillId="18" borderId="233" xfId="0" applyNumberFormat="1" applyFont="1" applyFill="1" applyBorder="1" applyAlignment="1">
      <alignment horizontal="center" vertical="center"/>
    </xf>
    <xf numFmtId="0" fontId="15" fillId="0" borderId="276" xfId="0" applyFont="1" applyBorder="1" applyAlignment="1">
      <alignment horizontal="center" vertical="center"/>
    </xf>
    <xf numFmtId="0" fontId="15" fillId="0" borderId="141" xfId="0" applyFont="1" applyBorder="1" applyAlignment="1">
      <alignment horizontal="center" vertical="center"/>
    </xf>
    <xf numFmtId="9" fontId="0" fillId="18" borderId="261" xfId="0" applyNumberFormat="1" applyFill="1" applyBorder="1" applyAlignment="1">
      <alignment horizontal="center" vertical="center"/>
    </xf>
    <xf numFmtId="9" fontId="0" fillId="18" borderId="256" xfId="0" applyNumberFormat="1" applyFill="1" applyBorder="1" applyAlignment="1">
      <alignment horizontal="center" vertical="center"/>
    </xf>
    <xf numFmtId="9" fontId="0" fillId="18" borderId="263" xfId="0" applyNumberFormat="1" applyFill="1" applyBorder="1" applyAlignment="1">
      <alignment horizontal="center" vertical="center"/>
    </xf>
    <xf numFmtId="9" fontId="0" fillId="18" borderId="238" xfId="0" applyNumberFormat="1" applyFill="1" applyBorder="1" applyAlignment="1">
      <alignment horizontal="center" vertical="center"/>
    </xf>
    <xf numFmtId="9" fontId="0" fillId="18" borderId="231" xfId="0" applyNumberFormat="1" applyFill="1" applyBorder="1" applyAlignment="1">
      <alignment horizontal="center" vertical="center"/>
    </xf>
    <xf numFmtId="9" fontId="0" fillId="18" borderId="265" xfId="0" applyNumberFormat="1" applyFill="1" applyBorder="1" applyAlignment="1">
      <alignment horizontal="center" vertical="center"/>
    </xf>
    <xf numFmtId="9" fontId="0" fillId="0" borderId="239" xfId="0" applyNumberFormat="1" applyBorder="1" applyAlignment="1">
      <alignment horizontal="center" vertical="center"/>
    </xf>
    <xf numFmtId="0" fontId="15" fillId="0" borderId="277" xfId="0" applyFont="1" applyBorder="1" applyAlignment="1">
      <alignment horizontal="center" vertical="center"/>
    </xf>
    <xf numFmtId="9" fontId="0" fillId="18" borderId="262" xfId="0" applyNumberFormat="1" applyFill="1" applyBorder="1" applyAlignment="1">
      <alignment horizontal="center" vertical="center"/>
    </xf>
    <xf numFmtId="9" fontId="0" fillId="18" borderId="239" xfId="0" applyNumberFormat="1" applyFill="1" applyBorder="1" applyAlignment="1">
      <alignment horizontal="center" vertical="center"/>
    </xf>
    <xf numFmtId="9" fontId="0" fillId="18" borderId="273" xfId="0" applyNumberFormat="1" applyFill="1" applyBorder="1" applyAlignment="1">
      <alignment horizontal="center" vertical="center"/>
    </xf>
    <xf numFmtId="9" fontId="0" fillId="18" borderId="269" xfId="0" applyNumberFormat="1" applyFill="1" applyBorder="1" applyAlignment="1">
      <alignment horizontal="center" vertical="center"/>
    </xf>
    <xf numFmtId="9" fontId="0" fillId="18" borderId="274" xfId="0" applyNumberFormat="1" applyFill="1" applyBorder="1" applyAlignment="1">
      <alignment horizontal="center" vertical="center"/>
    </xf>
    <xf numFmtId="9" fontId="0" fillId="18" borderId="275" xfId="0" applyNumberFormat="1" applyFill="1" applyBorder="1" applyAlignment="1">
      <alignment horizontal="center" vertical="center"/>
    </xf>
    <xf numFmtId="0" fontId="7" fillId="13" borderId="282" xfId="0" applyFont="1" applyFill="1" applyBorder="1" applyAlignment="1">
      <alignment horizontal="center" vertical="center"/>
    </xf>
    <xf numFmtId="0" fontId="7" fillId="13" borderId="283" xfId="0" applyFont="1" applyFill="1" applyBorder="1" applyAlignment="1">
      <alignment horizontal="center" vertical="center"/>
    </xf>
    <xf numFmtId="0" fontId="7" fillId="13" borderId="284" xfId="0" applyFont="1" applyFill="1" applyBorder="1" applyAlignment="1">
      <alignment horizontal="center" vertical="center"/>
    </xf>
    <xf numFmtId="0" fontId="7" fillId="13" borderId="159" xfId="0" applyFont="1" applyFill="1" applyBorder="1" applyAlignment="1">
      <alignment horizontal="center" vertical="center"/>
    </xf>
    <xf numFmtId="0" fontId="7" fillId="13" borderId="285" xfId="0" applyFont="1" applyFill="1" applyBorder="1" applyAlignment="1">
      <alignment horizontal="center" vertical="center"/>
    </xf>
    <xf numFmtId="0" fontId="7" fillId="13" borderId="215" xfId="0" applyFont="1" applyFill="1" applyBorder="1" applyAlignment="1">
      <alignment horizontal="center" vertical="center"/>
    </xf>
    <xf numFmtId="0" fontId="59" fillId="13" borderId="160" xfId="0" applyFont="1" applyFill="1" applyBorder="1" applyAlignment="1">
      <alignment horizontal="center" vertical="center"/>
    </xf>
    <xf numFmtId="0" fontId="59" fillId="13" borderId="161" xfId="0" applyFont="1" applyFill="1" applyBorder="1" applyAlignment="1">
      <alignment horizontal="center" vertical="center"/>
    </xf>
    <xf numFmtId="0" fontId="59" fillId="13" borderId="162" xfId="0" applyFont="1" applyFill="1" applyBorder="1" applyAlignment="1">
      <alignment horizontal="center" vertical="center"/>
    </xf>
    <xf numFmtId="0" fontId="59" fillId="13" borderId="160" xfId="0" applyFont="1" applyFill="1" applyBorder="1" applyAlignment="1">
      <alignment horizontal="center" vertical="center" wrapText="1"/>
    </xf>
    <xf numFmtId="0" fontId="59" fillId="13" borderId="162" xfId="0" applyFont="1" applyFill="1" applyBorder="1" applyAlignment="1">
      <alignment horizontal="center" vertical="center" wrapText="1"/>
    </xf>
    <xf numFmtId="9" fontId="0" fillId="18" borderId="253" xfId="0" applyNumberFormat="1" applyFill="1" applyBorder="1" applyAlignment="1">
      <alignment horizontal="center" vertical="center"/>
    </xf>
    <xf numFmtId="9" fontId="0" fillId="18" borderId="249" xfId="0" applyNumberFormat="1" applyFill="1" applyBorder="1" applyAlignment="1">
      <alignment horizontal="center" vertical="center"/>
    </xf>
    <xf numFmtId="9" fontId="0" fillId="18" borderId="267" xfId="0" applyNumberFormat="1" applyFill="1" applyBorder="1" applyAlignment="1">
      <alignment horizontal="center" vertical="center"/>
    </xf>
    <xf numFmtId="9" fontId="0" fillId="0" borderId="97" xfId="0" applyNumberFormat="1" applyBorder="1" applyAlignment="1">
      <alignment horizontal="center" vertical="center"/>
    </xf>
    <xf numFmtId="9" fontId="0" fillId="0" borderId="214" xfId="0" applyNumberFormat="1" applyBorder="1" applyAlignment="1">
      <alignment horizontal="center" vertical="center"/>
    </xf>
    <xf numFmtId="9" fontId="0" fillId="18" borderId="254" xfId="0" applyNumberFormat="1" applyFill="1" applyBorder="1" applyAlignment="1">
      <alignment horizontal="center" vertical="center"/>
    </xf>
    <xf numFmtId="9" fontId="0" fillId="18" borderId="251" xfId="0" applyNumberFormat="1" applyFill="1" applyBorder="1" applyAlignment="1">
      <alignment horizontal="center" vertical="center"/>
    </xf>
    <xf numFmtId="9" fontId="0" fillId="18" borderId="252" xfId="0" applyNumberFormat="1" applyFill="1" applyBorder="1" applyAlignment="1">
      <alignment horizontal="center" vertical="center"/>
    </xf>
    <xf numFmtId="0" fontId="65" fillId="0" borderId="172" xfId="0" applyFont="1" applyBorder="1" applyAlignment="1">
      <alignment horizontal="center" vertical="center"/>
    </xf>
    <xf numFmtId="9" fontId="0" fillId="18" borderId="259" xfId="0" applyNumberFormat="1" applyFill="1" applyBorder="1" applyAlignment="1">
      <alignment horizontal="center" vertical="center"/>
    </xf>
    <xf numFmtId="9" fontId="0" fillId="18" borderId="260" xfId="0" applyNumberFormat="1" applyFill="1" applyBorder="1" applyAlignment="1">
      <alignment horizontal="center" vertical="center"/>
    </xf>
    <xf numFmtId="9" fontId="84" fillId="18" borderId="271" xfId="0" applyNumberFormat="1" applyFont="1" applyFill="1" applyBorder="1" applyAlignment="1">
      <alignment horizontal="center" vertical="center"/>
    </xf>
    <xf numFmtId="9" fontId="84" fillId="18" borderId="269" xfId="0" applyNumberFormat="1" applyFont="1" applyFill="1" applyBorder="1" applyAlignment="1">
      <alignment horizontal="center" vertical="center"/>
    </xf>
    <xf numFmtId="9" fontId="84" fillId="18" borderId="270" xfId="0" applyNumberFormat="1" applyFont="1" applyFill="1" applyBorder="1" applyAlignment="1">
      <alignment horizontal="center" vertical="center"/>
    </xf>
    <xf numFmtId="9" fontId="0" fillId="18" borderId="272" xfId="0" applyNumberFormat="1" applyFill="1" applyBorder="1" applyAlignment="1">
      <alignment horizontal="center" vertical="center"/>
    </xf>
    <xf numFmtId="9" fontId="0" fillId="18" borderId="189" xfId="0" applyNumberFormat="1" applyFill="1" applyBorder="1" applyAlignment="1">
      <alignment horizontal="center" vertical="center"/>
    </xf>
    <xf numFmtId="9" fontId="84" fillId="0" borderId="97" xfId="0" applyNumberFormat="1" applyFont="1" applyBorder="1" applyAlignment="1">
      <alignment horizontal="center" vertical="center"/>
    </xf>
    <xf numFmtId="9" fontId="84" fillId="18" borderId="248" xfId="0" applyNumberFormat="1" applyFont="1" applyFill="1" applyBorder="1" applyAlignment="1">
      <alignment horizontal="center" vertical="center"/>
    </xf>
    <xf numFmtId="9" fontId="84" fillId="18" borderId="249" xfId="0" applyNumberFormat="1" applyFont="1" applyFill="1" applyBorder="1" applyAlignment="1">
      <alignment horizontal="center" vertical="center"/>
    </xf>
    <xf numFmtId="9" fontId="84" fillId="18" borderId="250" xfId="0" applyNumberFormat="1" applyFont="1" applyFill="1" applyBorder="1" applyAlignment="1">
      <alignment horizontal="center" vertical="center"/>
    </xf>
    <xf numFmtId="0" fontId="0" fillId="18" borderId="255" xfId="0" applyFill="1" applyBorder="1" applyAlignment="1">
      <alignment horizontal="left" vertical="center"/>
    </xf>
    <xf numFmtId="0" fontId="0" fillId="18" borderId="256" xfId="0" applyFill="1" applyBorder="1" applyAlignment="1">
      <alignment horizontal="left" vertical="center"/>
    </xf>
    <xf numFmtId="0" fontId="0" fillId="18" borderId="257" xfId="0" applyFill="1" applyBorder="1" applyAlignment="1">
      <alignment horizontal="left" vertical="center"/>
    </xf>
    <xf numFmtId="9" fontId="84" fillId="18" borderId="258" xfId="0" applyNumberFormat="1" applyFont="1" applyFill="1" applyBorder="1" applyAlignment="1">
      <alignment horizontal="center" vertical="center"/>
    </xf>
    <xf numFmtId="9" fontId="84" fillId="18" borderId="256" xfId="0" applyNumberFormat="1" applyFont="1" applyFill="1" applyBorder="1" applyAlignment="1">
      <alignment horizontal="center" vertical="center"/>
    </xf>
    <xf numFmtId="9" fontId="84" fillId="18" borderId="257" xfId="0" applyNumberFormat="1" applyFont="1" applyFill="1" applyBorder="1" applyAlignment="1">
      <alignment horizontal="center" vertical="center"/>
    </xf>
    <xf numFmtId="0" fontId="0" fillId="18" borderId="268" xfId="0" applyFill="1" applyBorder="1" applyAlignment="1">
      <alignment horizontal="center"/>
    </xf>
    <xf numFmtId="0" fontId="0" fillId="18" borderId="269" xfId="0" applyFill="1" applyBorder="1" applyAlignment="1">
      <alignment horizontal="center"/>
    </xf>
    <xf numFmtId="0" fontId="0" fillId="18" borderId="270" xfId="0" applyFill="1" applyBorder="1" applyAlignment="1">
      <alignment horizontal="center"/>
    </xf>
    <xf numFmtId="0" fontId="0" fillId="18" borderId="266" xfId="0" applyFill="1" applyBorder="1" applyAlignment="1">
      <alignment horizontal="left"/>
    </xf>
    <xf numFmtId="0" fontId="0" fillId="18" borderId="249" xfId="0" applyFill="1" applyBorder="1" applyAlignment="1">
      <alignment horizontal="left"/>
    </xf>
    <xf numFmtId="0" fontId="0" fillId="18" borderId="250" xfId="0" applyFill="1" applyBorder="1" applyAlignment="1">
      <alignment horizontal="left"/>
    </xf>
    <xf numFmtId="0" fontId="0" fillId="0" borderId="157" xfId="0" applyBorder="1" applyAlignment="1">
      <alignment horizontal="center"/>
    </xf>
    <xf numFmtId="0" fontId="0" fillId="0" borderId="97" xfId="0" applyBorder="1" applyAlignment="1">
      <alignment horizontal="center"/>
    </xf>
    <xf numFmtId="0" fontId="59" fillId="13" borderId="160" xfId="0" applyFont="1" applyFill="1" applyBorder="1" applyAlignment="1">
      <alignment horizontal="center" vertical="top" wrapText="1"/>
    </xf>
    <xf numFmtId="0" fontId="59" fillId="13" borderId="162" xfId="0" applyFont="1" applyFill="1" applyBorder="1" applyAlignment="1">
      <alignment horizontal="center" vertical="top" wrapText="1"/>
    </xf>
    <xf numFmtId="0" fontId="7" fillId="13" borderId="160" xfId="0" applyFont="1" applyFill="1" applyBorder="1" applyAlignment="1">
      <alignment horizontal="center"/>
    </xf>
    <xf numFmtId="0" fontId="7" fillId="13" borderId="161" xfId="0" applyFont="1" applyFill="1" applyBorder="1" applyAlignment="1">
      <alignment horizontal="center"/>
    </xf>
    <xf numFmtId="0" fontId="7" fillId="13" borderId="162" xfId="0" applyFont="1" applyFill="1" applyBorder="1" applyAlignment="1">
      <alignment horizontal="center"/>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36">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FF0000"/>
      </font>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s>
  <tableStyles count="0" defaultTableStyle="TableStyleMedium9" defaultPivotStyle="PivotStyleLight16"/>
  <colors>
    <mruColors>
      <color rgb="FFF4EE00"/>
      <color rgb="FF00808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1.4202276107328634E-3"/>
          <c:w val="0.99106419149983993"/>
          <c:h val="0.96960114108482809"/>
        </c:manualLayout>
      </c:layou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accent4">
                  <a:shade val="76000"/>
                </a:schemeClr>
              </a:solidFill>
              <a:ln w="9525">
                <a:solidFill>
                  <a:schemeClr val="accent4">
                    <a:shade val="76000"/>
                  </a:schemeClr>
                </a:solidFill>
              </a:ln>
              <a:effectLst/>
            </c:spPr>
          </c:marker>
          <c:dLbls>
            <c:dLbl>
              <c:idx val="0"/>
              <c:tx>
                <c:rich>
                  <a:bodyPr/>
                  <a:lstStyle/>
                  <a:p>
                    <a:fld id="{F4C8493B-D265-497E-BB27-ACE19CA0B718}"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3701-4AFD-AD30-FB29783E89E6}"/>
                </c:ext>
              </c:extLst>
            </c:dLbl>
            <c:dLbl>
              <c:idx val="1"/>
              <c:tx>
                <c:rich>
                  <a:bodyPr/>
                  <a:lstStyle/>
                  <a:p>
                    <a:fld id="{3C44E438-0C1B-4694-B2FA-B21309D53CD9}"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972-4B61-A4C9-C0557F774F48}"/>
                </c:ext>
              </c:extLst>
            </c:dLbl>
            <c:dLbl>
              <c:idx val="2"/>
              <c:tx>
                <c:rich>
                  <a:bodyPr/>
                  <a:lstStyle/>
                  <a:p>
                    <a:fld id="{18145A7C-3543-430A-8CE8-49A8D5F19703}"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972-4B61-A4C9-C0557F774F48}"/>
                </c:ext>
              </c:extLst>
            </c:dLbl>
            <c:dLbl>
              <c:idx val="3"/>
              <c:tx>
                <c:rich>
                  <a:bodyPr/>
                  <a:lstStyle/>
                  <a:p>
                    <a:fld id="{1F69AF2A-E6E2-4737-A5B9-0C537E3012D2}"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972-4B61-A4C9-C0557F774F48}"/>
                </c:ext>
              </c:extLst>
            </c:dLbl>
            <c:dLbl>
              <c:idx val="4"/>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BA6B5383-5236-438B-B75C-09F30FAC5566}"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3-B972-4B61-A4C9-C0557F774F48}"/>
                </c:ext>
              </c:extLst>
            </c:dLbl>
            <c:dLbl>
              <c:idx val="5"/>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406D18E1-D49E-49B0-BDC2-F5DEC5C25D3B}"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4-B972-4B61-A4C9-C0557F774F48}"/>
                </c:ext>
              </c:extLst>
            </c:dLbl>
            <c:dLbl>
              <c:idx val="6"/>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6B9CAAD9-0633-45E3-B8BD-19E9F71A36AD}"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5-B972-4B61-A4C9-C0557F774F48}"/>
                </c:ext>
              </c:extLst>
            </c:dLbl>
            <c:dLbl>
              <c:idx val="7"/>
              <c:tx>
                <c:rich>
                  <a:bodyPr/>
                  <a:lstStyle/>
                  <a:p>
                    <a:fld id="{ACCF0283-D294-44B4-AC02-8CE588908A24}"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972-4B61-A4C9-C0557F774F48}"/>
                </c:ext>
              </c:extLst>
            </c:dLbl>
            <c:dLbl>
              <c:idx val="8"/>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E7A3F590-9074-400A-B35F-9C68764127E5}"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7-B972-4B61-A4C9-C0557F774F48}"/>
                </c:ext>
              </c:extLst>
            </c:dLbl>
            <c:dLbl>
              <c:idx val="9"/>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D47A2140-2321-4D74-A3F0-72D1B3405838}"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8-B972-4B61-A4C9-C0557F774F48}"/>
                </c:ext>
              </c:extLst>
            </c:dLbl>
            <c:dLbl>
              <c:idx val="10"/>
              <c:layout>
                <c:manualLayout>
                  <c:x val="-4.4168837573263169E-2"/>
                  <c:y val="-3.8888904199481093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76CB552A-7B67-41BB-B6B8-A77EB93CA1F0}"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B972-4B61-A4C9-C0557F774F48}"/>
                </c:ext>
              </c:extLst>
            </c:dLbl>
            <c:dLbl>
              <c:idx val="11"/>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4612769D-2E5D-44F6-AE28-DA639819A571}"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10-3701-4AFD-AD30-FB29783E89E6}"/>
                </c:ext>
              </c:extLst>
            </c:dLbl>
            <c:dLbl>
              <c:idx val="12"/>
              <c:layout>
                <c:manualLayout>
                  <c:x val="-1.4736449047351169E-2"/>
                  <c:y val="-8.9444479658806531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4D94C595-AEAA-42CD-BE43-D584ACCD424C}"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11-3701-4AFD-AD30-FB29783E89E6}"/>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datos_graficos!$A$3:$B$15</c:f>
              <c:multiLvlStrCache>
                <c:ptCount val="13"/>
                <c:lvl>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lvl>
                <c:lvl>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lvl>
              </c:multiLvlStrCache>
            </c:multiLvlStrRef>
          </c:cat>
          <c:val>
            <c:numRef>
              <c:f>datos_graficos!$C$3:$C$15</c:f>
              <c:numCache>
                <c:formatCode>General</c:formatCode>
                <c:ptCount val="13"/>
                <c:pt idx="0">
                  <c:v>2</c:v>
                </c:pt>
                <c:pt idx="1">
                  <c:v>-1</c:v>
                </c:pt>
                <c:pt idx="2">
                  <c:v>1</c:v>
                </c:pt>
                <c:pt idx="3">
                  <c:v>-1</c:v>
                </c:pt>
                <c:pt idx="4">
                  <c:v>2</c:v>
                </c:pt>
                <c:pt idx="5">
                  <c:v>-1</c:v>
                </c:pt>
                <c:pt idx="6">
                  <c:v>2</c:v>
                </c:pt>
                <c:pt idx="7">
                  <c:v>-1</c:v>
                </c:pt>
                <c:pt idx="8">
                  <c:v>1</c:v>
                </c:pt>
                <c:pt idx="9">
                  <c:v>-1</c:v>
                </c:pt>
                <c:pt idx="10">
                  <c:v>1</c:v>
                </c:pt>
                <c:pt idx="11">
                  <c:v>-1</c:v>
                </c:pt>
                <c:pt idx="12">
                  <c:v>2</c:v>
                </c:pt>
              </c:numCache>
            </c:numRef>
          </c:val>
          <c:smooth val="0"/>
          <c:extLst>
            <c:ext xmlns:c15="http://schemas.microsoft.com/office/drawing/2012/chart" uri="{02D57815-91ED-43cb-92C2-25804820EDAC}">
              <c15:datalabelsRange>
                <c15:f>datos_graficos!$B$3:$B$15</c15:f>
                <c15:dlblRangeCache>
                  <c:ptCount val="13"/>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15:dlblRangeCache>
              </c15:datalabelsRange>
            </c:ext>
            <c:ext xmlns:c16="http://schemas.microsoft.com/office/drawing/2014/chart" uri="{C3380CC4-5D6E-409C-BE32-E72D297353CC}">
              <c16:uniqueId val="{0000000C-800B-48A3-B694-03BD4409CB64}"/>
            </c:ext>
          </c:extLst>
        </c:ser>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accent4">
                  <a:tint val="77000"/>
                </a:schemeClr>
              </a:solidFill>
              <a:ln w="9525">
                <a:solidFill>
                  <a:schemeClr val="accent4">
                    <a:tint val="77000"/>
                  </a:schemeClr>
                </a:solidFill>
              </a:ln>
              <a:effectLst/>
            </c:spPr>
          </c:marker>
          <c:dLbls>
            <c:dLbl>
              <c:idx val="0"/>
              <c:tx>
                <c:rich>
                  <a:bodyPr/>
                  <a:lstStyle/>
                  <a:p>
                    <a:fld id="{3F1E2E35-B48D-4DD8-9876-02A092307586}" type="CELLRANGE">
                      <a:rPr lang="en-US"/>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3701-4AFD-AD30-FB29783E89E6}"/>
                </c:ext>
              </c:extLst>
            </c:dLbl>
            <c:dLbl>
              <c:idx val="1"/>
              <c:tx>
                <c:rich>
                  <a:bodyPr/>
                  <a:lstStyle/>
                  <a:p>
                    <a:fld id="{B0321A0A-EBAD-464D-90FA-2777D8A3405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3701-4AFD-AD30-FB29783E89E6}"/>
                </c:ext>
              </c:extLst>
            </c:dLbl>
            <c:dLbl>
              <c:idx val="2"/>
              <c:tx>
                <c:rich>
                  <a:bodyPr/>
                  <a:lstStyle/>
                  <a:p>
                    <a:fld id="{120BE1BF-08BE-4356-ADA4-94F99DB8AE25}"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3701-4AFD-AD30-FB29783E89E6}"/>
                </c:ext>
              </c:extLst>
            </c:dLbl>
            <c:dLbl>
              <c:idx val="3"/>
              <c:tx>
                <c:rich>
                  <a:bodyPr/>
                  <a:lstStyle/>
                  <a:p>
                    <a:fld id="{D39D4D92-0EA3-47C3-A62F-CEC949093CB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3701-4AFD-AD30-FB29783E89E6}"/>
                </c:ext>
              </c:extLst>
            </c:dLbl>
            <c:dLbl>
              <c:idx val="4"/>
              <c:tx>
                <c:rich>
                  <a:bodyPr/>
                  <a:lstStyle/>
                  <a:p>
                    <a:fld id="{42E9044F-4E67-478B-BB5E-8B1CF5A45201}"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3701-4AFD-AD30-FB29783E89E6}"/>
                </c:ext>
              </c:extLst>
            </c:dLbl>
            <c:dLbl>
              <c:idx val="5"/>
              <c:tx>
                <c:rich>
                  <a:bodyPr/>
                  <a:lstStyle/>
                  <a:p>
                    <a:fld id="{D3639BB2-C3AD-4EAF-A90D-E203D191F668}"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3701-4AFD-AD30-FB29783E89E6}"/>
                </c:ext>
              </c:extLst>
            </c:dLbl>
            <c:dLbl>
              <c:idx val="6"/>
              <c:tx>
                <c:rich>
                  <a:bodyPr/>
                  <a:lstStyle/>
                  <a:p>
                    <a:fld id="{651C1975-94BB-442B-812B-9D2404E9391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3701-4AFD-AD30-FB29783E89E6}"/>
                </c:ext>
              </c:extLst>
            </c:dLbl>
            <c:dLbl>
              <c:idx val="7"/>
              <c:tx>
                <c:rich>
                  <a:bodyPr/>
                  <a:lstStyle/>
                  <a:p>
                    <a:fld id="{D1FE5970-4A72-4C74-9263-67D2B7D11E1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3701-4AFD-AD30-FB29783E89E6}"/>
                </c:ext>
              </c:extLst>
            </c:dLbl>
            <c:dLbl>
              <c:idx val="8"/>
              <c:tx>
                <c:rich>
                  <a:bodyPr/>
                  <a:lstStyle/>
                  <a:p>
                    <a:fld id="{A7E22677-3C9B-46F5-88A9-1E170F70BEA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3701-4AFD-AD30-FB29783E89E6}"/>
                </c:ext>
              </c:extLst>
            </c:dLbl>
            <c:dLbl>
              <c:idx val="9"/>
              <c:tx>
                <c:rich>
                  <a:bodyPr/>
                  <a:lstStyle/>
                  <a:p>
                    <a:fld id="{BF96E584-6DBE-44BA-B716-C9135E50B4F3}"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3701-4AFD-AD30-FB29783E89E6}"/>
                </c:ext>
              </c:extLst>
            </c:dLbl>
            <c:dLbl>
              <c:idx val="10"/>
              <c:tx>
                <c:rich>
                  <a:bodyPr/>
                  <a:lstStyle/>
                  <a:p>
                    <a:fld id="{0E7924D7-344D-47BC-B4CF-FB2B8AC61F1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3701-4AFD-AD30-FB29783E89E6}"/>
                </c:ext>
              </c:extLst>
            </c:dLbl>
            <c:dLbl>
              <c:idx val="11"/>
              <c:tx>
                <c:rich>
                  <a:bodyPr/>
                  <a:lstStyle/>
                  <a:p>
                    <a:fld id="{CDA642CB-5542-4A2C-9FEF-BAEF3994E0C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3701-4AFD-AD30-FB29783E89E6}"/>
                </c:ext>
              </c:extLst>
            </c:dLbl>
            <c:dLbl>
              <c:idx val="12"/>
              <c:tx>
                <c:rich>
                  <a:bodyPr/>
                  <a:lstStyle/>
                  <a:p>
                    <a:fld id="{EAD1F672-080A-4911-8DDC-81775E86156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3701-4AFD-AD30-FB29783E89E6}"/>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cat>
            <c:multiLvlStrRef>
              <c:f>datos_graficos!$A$3:$B$15</c:f>
              <c:multiLvlStrCache>
                <c:ptCount val="13"/>
                <c:lvl>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lvl>
                <c:lvl>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lvl>
              </c:multiLvlStrCache>
            </c:multiLvlStrRef>
          </c:cat>
          <c:val>
            <c:numRef>
              <c:f>datos_graficos!$D$3:$D$15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5="http://schemas.microsoft.com/office/drawing/2012/chart" uri="{02D57815-91ED-43cb-92C2-25804820EDAC}">
              <c15:datalabelsRange>
                <c15:f>datos_graficos!$A$3:$A$15</c15:f>
                <c15:dlblRangeCache>
                  <c:ptCount val="13"/>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15:dlblRangeCache>
              </c15:datalabelsRange>
            </c:ext>
            <c:ext xmlns:c16="http://schemas.microsoft.com/office/drawing/2014/chart" uri="{C3380CC4-5D6E-409C-BE32-E72D297353CC}">
              <c16:uniqueId val="{0000000C-3701-4AFD-AD30-FB29783E89E6}"/>
            </c:ext>
          </c:extLst>
        </c:ser>
        <c:dLbls>
          <c:showLegendKey val="0"/>
          <c:showVal val="0"/>
          <c:showCatName val="0"/>
          <c:showSerName val="0"/>
          <c:showPercent val="0"/>
          <c:showBubbleSize val="0"/>
        </c:dLbls>
        <c:marker val="1"/>
        <c:smooth val="0"/>
        <c:axId val="813805136"/>
        <c:axId val="813812816"/>
      </c:lineChart>
      <c:valAx>
        <c:axId val="813812816"/>
        <c:scaling>
          <c:orientation val="minMax"/>
        </c:scaling>
        <c:delete val="1"/>
        <c:axPos val="r"/>
        <c:numFmt formatCode="General" sourceLinked="1"/>
        <c:majorTickMark val="out"/>
        <c:minorTickMark val="none"/>
        <c:tickLblPos val="nextTo"/>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4803149606299213" l="0.70866141732283472" r="0.70866141732283472" t="0.74803149606299213" header="0.31496062992125984" footer="0.31496062992125984"/>
    <c:pageSetup paperSize="5"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s-ES" sz="1400" b="1" i="0" u="none" strike="noStrike" baseline="0">
                <a:solidFill>
                  <a:srgbClr val="002060"/>
                </a:solidFill>
                <a:latin typeface="Calibri"/>
              </a:rPr>
              <a:t>DISTRIBUCIÓN DE PROGRAMAS SOCIALES POR SUBSECRETARÍA/SERVICIO</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0.24185653235466295"/>
          <c:y val="0.18555720087095778"/>
          <c:w val="0.52806313680803951"/>
          <c:h val="0.77801687821185128"/>
        </c:manualLayout>
      </c:layout>
      <c:pieChart>
        <c:varyColors val="1"/>
        <c:ser>
          <c:idx val="0"/>
          <c:order val="0"/>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CC4-498B-893F-3A6896D0E3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CC4-498B-893F-3A6896D0E3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CC4-498B-893F-3A6896D0E3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CC4-498B-893F-3A6896D0E3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CC4-498B-893F-3A6896D0E3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CC4-498B-893F-3A6896D0E3CE}"/>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baseline="0">
                    <a:solidFill>
                      <a:schemeClr val="lt1"/>
                    </a:solidFill>
                    <a:latin typeface="+mn-lt"/>
                    <a:ea typeface="+mn-ea"/>
                    <a:cs typeface="+mn-cs"/>
                  </a:defRPr>
                </a:pPr>
                <a:endParaRPr lang="es-CL"/>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'programas sociales'!$B$16:$B$21</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sociales'!$C$16:$C$21</c:f>
              <c:numCache>
                <c:formatCode>General</c:formatCode>
                <c:ptCount val="6"/>
                <c:pt idx="0">
                  <c:v>4</c:v>
                </c:pt>
                <c:pt idx="1">
                  <c:v>26</c:v>
                </c:pt>
                <c:pt idx="2">
                  <c:v>5</c:v>
                </c:pt>
                <c:pt idx="3">
                  <c:v>31</c:v>
                </c:pt>
                <c:pt idx="4">
                  <c:v>6</c:v>
                </c:pt>
                <c:pt idx="5">
                  <c:v>25</c:v>
                </c:pt>
              </c:numCache>
            </c:numRef>
          </c:val>
          <c:extLst>
            <c:ext xmlns:c16="http://schemas.microsoft.com/office/drawing/2014/chart" uri="{C3380CC4-5D6E-409C-BE32-E72D297353CC}">
              <c16:uniqueId val="{00000000-E5DB-4671-833D-964FE1986CA3}"/>
            </c:ext>
          </c:extLst>
        </c:ser>
        <c:dLbls>
          <c:showLegendKey val="0"/>
          <c:showVal val="0"/>
          <c:showCatName val="0"/>
          <c:showSerName val="0"/>
          <c:showPercent val="1"/>
          <c:showBubbleSize val="0"/>
          <c:showLeaderLines val="1"/>
        </c:dLbls>
        <c:firstSliceAng val="0"/>
      </c:pieChart>
      <c:spPr>
        <a:noFill/>
        <a:ln>
          <a:noFill/>
        </a:ln>
        <a:effectLst/>
      </c:spPr>
    </c:plotArea>
    <c:legend>
      <c:legendPos val="t"/>
      <c:layout>
        <c:manualLayout>
          <c:xMode val="edge"/>
          <c:yMode val="edge"/>
          <c:x val="3.9131551691905528E-3"/>
          <c:y val="0.18609515298523341"/>
          <c:w val="0.33766026319435988"/>
          <c:h val="0.63417237612948063"/>
        </c:manualLayout>
      </c:layout>
      <c:overlay val="0"/>
      <c:spPr>
        <a:noFill/>
        <a:ln>
          <a:noFill/>
        </a:ln>
        <a:effectLst/>
      </c:spPr>
      <c:txPr>
        <a:bodyPr rot="0" spcFirstLastPara="1" vertOverflow="ellipsis" vert="horz" wrap="square" anchor="ctr" anchorCtr="1"/>
        <a:lstStyle/>
        <a:p>
          <a:pPr>
            <a:defRPr sz="1200" b="1" i="0" u="none" strike="noStrike"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96480"/>
        <c:axId val="602897440"/>
      </c:barChart>
      <c:catAx>
        <c:axId val="60289648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7440"/>
        <c:crosses val="autoZero"/>
        <c:auto val="1"/>
        <c:lblAlgn val="ctr"/>
        <c:lblOffset val="100"/>
        <c:noMultiLvlLbl val="0"/>
      </c:catAx>
      <c:valAx>
        <c:axId val="60289744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56160"/>
        <c:axId val="602841280"/>
      </c:barChart>
      <c:catAx>
        <c:axId val="60285616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41280"/>
        <c:crosses val="autoZero"/>
        <c:auto val="1"/>
        <c:lblAlgn val="ctr"/>
        <c:lblOffset val="100"/>
        <c:noMultiLvlLbl val="0"/>
      </c:catAx>
      <c:valAx>
        <c:axId val="60284128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561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5.2692038495188102E-2"/>
          <c:y val="0.18560185185185185"/>
          <c:w val="0.90286351706036749"/>
          <c:h val="0.61498432487605714"/>
        </c:manualLayout>
      </c:layout>
      <c:barChart>
        <c:barDir val="col"/>
        <c:grouping val="clustered"/>
        <c:varyColors val="0"/>
        <c:ser>
          <c:idx val="0"/>
          <c:order val="0"/>
          <c:spPr>
            <a:solidFill>
              <a:schemeClr val="accent1"/>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tratamientos'!$F$14:$L$14</c15:sqref>
                  </c15:fullRef>
                </c:ext>
              </c:extLst>
              <c:f>('Planes tratamientos'!$F$14,'Planes tratamientos'!$H$14,'Planes tratamientos'!$J$14)</c:f>
              <c:numCache>
                <c:formatCode>General</c:formatCode>
                <c:ptCount val="3"/>
                <c:pt idx="0">
                  <c:v>0</c:v>
                </c:pt>
                <c:pt idx="1">
                  <c:v>0</c:v>
                </c:pt>
                <c:pt idx="2">
                  <c:v>0</c:v>
                </c:pt>
              </c:numCache>
            </c:numRef>
          </c:val>
          <c:extLst>
            <c:ext xmlns:c16="http://schemas.microsoft.com/office/drawing/2014/chart" uri="{C3380CC4-5D6E-409C-BE32-E72D297353CC}">
              <c16:uniqueId val="{00000000-55E8-43DE-B88C-03C9DD214920}"/>
            </c:ext>
          </c:extLst>
        </c:ser>
        <c:ser>
          <c:idx val="1"/>
          <c:order val="1"/>
          <c:spPr>
            <a:solidFill>
              <a:schemeClr val="accent2"/>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tratamientos'!$F$15:$L$15</c15:sqref>
                  </c15:fullRef>
                </c:ext>
              </c:extLst>
              <c:f>('Planes tratamientos'!$F$15,'Planes tratamientos'!$H$15,'Planes tratamientos'!$J$15)</c:f>
              <c:numCache>
                <c:formatCode>General</c:formatCode>
                <c:ptCount val="3"/>
              </c:numCache>
            </c:numRef>
          </c:val>
          <c:extLst>
            <c:ext xmlns:c16="http://schemas.microsoft.com/office/drawing/2014/chart" uri="{C3380CC4-5D6E-409C-BE32-E72D297353CC}">
              <c16:uniqueId val="{00000001-55E8-43DE-B88C-03C9DD214920}"/>
            </c:ext>
          </c:extLst>
        </c:ser>
        <c:ser>
          <c:idx val="2"/>
          <c:order val="2"/>
          <c:spPr>
            <a:solidFill>
              <a:schemeClr val="accent3"/>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tratamientos'!$F$16:$L$16</c15:sqref>
                  </c15:fullRef>
                </c:ext>
              </c:extLst>
              <c:f>('Planes tratamientos'!$F$16,'Planes tratamientos'!$H$16,'Planes tratamientos'!$J$16)</c:f>
              <c:numCache>
                <c:formatCode>General</c:formatCode>
                <c:ptCount val="3"/>
                <c:pt idx="0">
                  <c:v>2</c:v>
                </c:pt>
                <c:pt idx="1">
                  <c:v>14</c:v>
                </c:pt>
                <c:pt idx="2">
                  <c:v>0</c:v>
                </c:pt>
              </c:numCache>
            </c:numRef>
          </c:val>
          <c:extLst>
            <c:ext xmlns:c16="http://schemas.microsoft.com/office/drawing/2014/chart" uri="{C3380CC4-5D6E-409C-BE32-E72D297353CC}">
              <c16:uniqueId val="{00000002-55E8-43DE-B88C-03C9DD214920}"/>
            </c:ext>
          </c:extLst>
        </c:ser>
        <c:ser>
          <c:idx val="3"/>
          <c:order val="3"/>
          <c:spPr>
            <a:solidFill>
              <a:schemeClr val="accent4"/>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tratamientos'!$F$17:$L$17</c15:sqref>
                  </c15:fullRef>
                </c:ext>
              </c:extLst>
              <c:f>('Planes tratamientos'!$F$17,'Planes tratamientos'!$H$17,'Planes tratamientos'!$J$17)</c:f>
              <c:numCache>
                <c:formatCode>General</c:formatCode>
                <c:ptCount val="3"/>
                <c:pt idx="0">
                  <c:v>0</c:v>
                </c:pt>
                <c:pt idx="1">
                  <c:v>10</c:v>
                </c:pt>
                <c:pt idx="2">
                  <c:v>0</c:v>
                </c:pt>
              </c:numCache>
            </c:numRef>
          </c:val>
          <c:extLst>
            <c:ext xmlns:c16="http://schemas.microsoft.com/office/drawing/2014/chart" uri="{C3380CC4-5D6E-409C-BE32-E72D297353CC}">
              <c16:uniqueId val="{00000003-55E8-43DE-B88C-03C9DD214920}"/>
            </c:ext>
          </c:extLst>
        </c:ser>
        <c:dLbls>
          <c:showLegendKey val="0"/>
          <c:showVal val="0"/>
          <c:showCatName val="0"/>
          <c:showSerName val="0"/>
          <c:showPercent val="0"/>
          <c:showBubbleSize val="0"/>
        </c:dLbls>
        <c:gapWidth val="219"/>
        <c:overlap val="-27"/>
        <c:axId val="602912320"/>
        <c:axId val="602912800"/>
        <c:extLst>
          <c:ext xmlns:c15="http://schemas.microsoft.com/office/drawing/2012/chart" uri="{02D57815-91ED-43cb-92C2-25804820EDAC}">
            <c15:filteredBarSeries>
              <c15:ser>
                <c:idx val="4"/>
                <c:order val="4"/>
                <c:spPr>
                  <a:solidFill>
                    <a:schemeClr val="accent5"/>
                  </a:solidFill>
                  <a:ln>
                    <a:noFill/>
                  </a:ln>
                  <a:effectLst/>
                </c:spPr>
                <c:invertIfNegative val="0"/>
                <c:val>
                  <c:numRef>
                    <c:extLst>
                      <c:ext uri="{02D57815-91ED-43cb-92C2-25804820EDAC}">
                        <c15:fullRef>
                          <c15:sqref>'Planes tratamientos'!$F$18:$L$18</c15:sqref>
                        </c15:fullRef>
                        <c15:formulaRef>
                          <c15:sqref>('Planes tratamientos'!$F$18,'Planes tratamientos'!$H$18,'Planes tratamientos'!$J$18)</c15:sqref>
                        </c15:formulaRef>
                      </c:ext>
                    </c:extLst>
                    <c:numCache>
                      <c:formatCode>General</c:formatCode>
                      <c:ptCount val="3"/>
                      <c:pt idx="0">
                        <c:v>10</c:v>
                      </c:pt>
                      <c:pt idx="1">
                        <c:v>38</c:v>
                      </c:pt>
                      <c:pt idx="2">
                        <c:v>25</c:v>
                      </c:pt>
                    </c:numCache>
                  </c:numRef>
                </c:val>
                <c:extLst>
                  <c:ext xmlns:c16="http://schemas.microsoft.com/office/drawing/2014/chart" uri="{C3380CC4-5D6E-409C-BE32-E72D297353CC}">
                    <c16:uniqueId val="{00000004-55E8-43DE-B88C-03C9DD214920}"/>
                  </c:ext>
                </c:extLst>
              </c15:ser>
            </c15:filteredBarSeries>
          </c:ext>
        </c:extLst>
      </c:barChart>
      <c:catAx>
        <c:axId val="602912320"/>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800"/>
        <c:crosses val="autoZero"/>
        <c:auto val="1"/>
        <c:lblAlgn val="ctr"/>
        <c:lblOffset val="100"/>
        <c:noMultiLvlLbl val="0"/>
      </c:catAx>
      <c:valAx>
        <c:axId val="602912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320"/>
        <c:crosses val="autoZero"/>
        <c:crossBetween val="between"/>
      </c:valAx>
      <c:spPr>
        <a:noFill/>
        <a:ln>
          <a:noFill/>
        </a:ln>
        <a:effectLst/>
      </c:spPr>
    </c:plotArea>
    <c:legend>
      <c:legendPos val="b"/>
      <c:legendEntry>
        <c:idx val="1"/>
        <c:delete val="1"/>
      </c:legendEntry>
      <c:layout>
        <c:manualLayout>
          <c:xMode val="edge"/>
          <c:yMode val="edge"/>
          <c:x val="0.13980720556813819"/>
          <c:y val="0.86949969889676904"/>
          <c:w val="0.70492665323375769"/>
          <c:h val="0.100671821904719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emf"/><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emf"/><Relationship Id="rId3" Type="http://schemas.openxmlformats.org/officeDocument/2006/relationships/image" Target="../media/image9.emf"/><Relationship Id="rId7" Type="http://schemas.openxmlformats.org/officeDocument/2006/relationships/image" Target="../media/image13.emf"/><Relationship Id="rId2" Type="http://schemas.openxmlformats.org/officeDocument/2006/relationships/image" Target="../media/image8.emf"/><Relationship Id="rId1" Type="http://schemas.openxmlformats.org/officeDocument/2006/relationships/image" Target="../media/image7.emf"/><Relationship Id="rId6" Type="http://schemas.openxmlformats.org/officeDocument/2006/relationships/image" Target="../media/image12.emf"/><Relationship Id="rId5" Type="http://schemas.openxmlformats.org/officeDocument/2006/relationships/image" Target="../media/image11.emf"/><Relationship Id="rId10" Type="http://schemas.openxmlformats.org/officeDocument/2006/relationships/image" Target="../media/image16.emf"/><Relationship Id="rId4" Type="http://schemas.openxmlformats.org/officeDocument/2006/relationships/image" Target="../media/image10.emf"/><Relationship Id="rId9" Type="http://schemas.openxmlformats.org/officeDocument/2006/relationships/image" Target="../media/image15.emf"/></Relationships>
</file>

<file path=xl/drawings/_rels/drawing5.xml.rels><?xml version="1.0" encoding="UTF-8" standalone="yes"?>
<Relationships xmlns="http://schemas.openxmlformats.org/package/2006/relationships"><Relationship Id="rId1" Type="http://schemas.openxmlformats.org/officeDocument/2006/relationships/image" Target="../media/image27.png"/></Relationships>
</file>

<file path=xl/drawings/_rels/drawing6.xml.rels><?xml version="1.0" encoding="UTF-8" standalone="yes"?>
<Relationships xmlns="http://schemas.openxmlformats.org/package/2006/relationships"><Relationship Id="rId1" Type="http://schemas.openxmlformats.org/officeDocument/2006/relationships/image" Target="../media/image27.png"/></Relationships>
</file>

<file path=xl/drawings/_rels/drawing7.xml.rels><?xml version="1.0" encoding="UTF-8" standalone="yes"?>
<Relationships xmlns="http://schemas.openxmlformats.org/package/2006/relationships"><Relationship Id="rId8" Type="http://schemas.openxmlformats.org/officeDocument/2006/relationships/image" Target="../media/image34.png"/><Relationship Id="rId3" Type="http://schemas.openxmlformats.org/officeDocument/2006/relationships/image" Target="../media/image29.png"/><Relationship Id="rId7" Type="http://schemas.openxmlformats.org/officeDocument/2006/relationships/image" Target="../media/image33.png"/><Relationship Id="rId2" Type="http://schemas.microsoft.com/office/2007/relationships/hdphoto" Target="../media/hdphoto1.wdp"/><Relationship Id="rId1" Type="http://schemas.openxmlformats.org/officeDocument/2006/relationships/image" Target="../media/image28.png"/><Relationship Id="rId6" Type="http://schemas.openxmlformats.org/officeDocument/2006/relationships/image" Target="../media/image32.png"/><Relationship Id="rId11" Type="http://schemas.openxmlformats.org/officeDocument/2006/relationships/chart" Target="../charts/chart1.xml"/><Relationship Id="rId5" Type="http://schemas.openxmlformats.org/officeDocument/2006/relationships/image" Target="../media/image31.png"/><Relationship Id="rId10" Type="http://schemas.openxmlformats.org/officeDocument/2006/relationships/image" Target="../media/image36.png"/><Relationship Id="rId4" Type="http://schemas.openxmlformats.org/officeDocument/2006/relationships/image" Target="../media/image30.png"/><Relationship Id="rId9" Type="http://schemas.openxmlformats.org/officeDocument/2006/relationships/image" Target="../media/image35.png"/></Relationships>
</file>

<file path=xl/drawings/_rels/drawing8.xml.rels><?xml version="1.0" encoding="UTF-8" standalone="yes"?>
<Relationships xmlns="http://schemas.openxmlformats.org/package/2006/relationships"><Relationship Id="rId3" Type="http://schemas.openxmlformats.org/officeDocument/2006/relationships/image" Target="../media/image37.png"/><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image" Target="../media/image38.png"/></Relationships>
</file>

<file path=xl/drawings/_rels/drawing9.xml.rels><?xml version="1.0" encoding="UTF-8" standalone="yes"?>
<Relationships xmlns="http://schemas.openxmlformats.org/package/2006/relationships"><Relationship Id="rId8" Type="http://schemas.openxmlformats.org/officeDocument/2006/relationships/image" Target="../media/image41.png"/><Relationship Id="rId3" Type="http://schemas.openxmlformats.org/officeDocument/2006/relationships/image" Target="../media/image33.png"/><Relationship Id="rId7" Type="http://schemas.openxmlformats.org/officeDocument/2006/relationships/image" Target="../media/image40.png"/><Relationship Id="rId2" Type="http://schemas.openxmlformats.org/officeDocument/2006/relationships/image" Target="../media/image34.png"/><Relationship Id="rId1" Type="http://schemas.openxmlformats.org/officeDocument/2006/relationships/image" Target="../media/image32.png"/><Relationship Id="rId6" Type="http://schemas.openxmlformats.org/officeDocument/2006/relationships/image" Target="../media/image39.png"/><Relationship Id="rId5" Type="http://schemas.openxmlformats.org/officeDocument/2006/relationships/image" Target="../media/image36.png"/><Relationship Id="rId4" Type="http://schemas.openxmlformats.org/officeDocument/2006/relationships/image" Target="../media/image35.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34.png"/><Relationship Id="rId7" Type="http://schemas.openxmlformats.org/officeDocument/2006/relationships/chart" Target="../charts/chart7.xml"/><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chart" Target="../charts/chart6.xml"/><Relationship Id="rId5" Type="http://schemas.openxmlformats.org/officeDocument/2006/relationships/image" Target="../media/image36.png"/><Relationship Id="rId4" Type="http://schemas.openxmlformats.org/officeDocument/2006/relationships/image" Target="../media/image35.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24.emf"/><Relationship Id="rId3" Type="http://schemas.openxmlformats.org/officeDocument/2006/relationships/image" Target="../media/image19.emf"/><Relationship Id="rId7" Type="http://schemas.openxmlformats.org/officeDocument/2006/relationships/image" Target="../media/image23.emf"/><Relationship Id="rId2" Type="http://schemas.openxmlformats.org/officeDocument/2006/relationships/image" Target="../media/image18.emf"/><Relationship Id="rId1" Type="http://schemas.openxmlformats.org/officeDocument/2006/relationships/image" Target="../media/image17.emf"/><Relationship Id="rId6" Type="http://schemas.openxmlformats.org/officeDocument/2006/relationships/image" Target="../media/image22.emf"/><Relationship Id="rId5" Type="http://schemas.openxmlformats.org/officeDocument/2006/relationships/image" Target="../media/image21.emf"/><Relationship Id="rId10" Type="http://schemas.openxmlformats.org/officeDocument/2006/relationships/image" Target="../media/image26.emf"/><Relationship Id="rId4" Type="http://schemas.openxmlformats.org/officeDocument/2006/relationships/image" Target="../media/image20.emf"/><Relationship Id="rId9" Type="http://schemas.openxmlformats.org/officeDocument/2006/relationships/image" Target="../media/image25.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440379</xdr:colOff>
      <xdr:row>14</xdr:row>
      <xdr:rowOff>225384</xdr:rowOff>
    </xdr:from>
    <xdr:to>
      <xdr:col>12</xdr:col>
      <xdr:colOff>467591</xdr:colOff>
      <xdr:row>15</xdr:row>
      <xdr:rowOff>177574</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744197" y="5490111"/>
          <a:ext cx="6261758"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622218</xdr:colOff>
      <xdr:row>14</xdr:row>
      <xdr:rowOff>232017</xdr:rowOff>
    </xdr:from>
    <xdr:to>
      <xdr:col>17</xdr:col>
      <xdr:colOff>5645728</xdr:colOff>
      <xdr:row>15</xdr:row>
      <xdr:rowOff>166995</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60582" y="5496744"/>
          <a:ext cx="9612828"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277091</xdr:colOff>
      <xdr:row>32</xdr:row>
      <xdr:rowOff>34636</xdr:rowOff>
    </xdr:from>
    <xdr:to>
      <xdr:col>12</xdr:col>
      <xdr:colOff>421821</xdr:colOff>
      <xdr:row>34</xdr:row>
      <xdr:rowOff>22265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580909" y="10477500"/>
          <a:ext cx="6379276" cy="36862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640772</xdr:colOff>
      <xdr:row>32</xdr:row>
      <xdr:rowOff>34636</xdr:rowOff>
    </xdr:from>
    <xdr:to>
      <xdr:col>17</xdr:col>
      <xdr:colOff>5645727</xdr:colOff>
      <xdr:row>34</xdr:row>
      <xdr:rowOff>17319</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79136" y="10477500"/>
          <a:ext cx="9594273" cy="363683"/>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311727</xdr:colOff>
      <xdr:row>34</xdr:row>
      <xdr:rowOff>155865</xdr:rowOff>
    </xdr:from>
    <xdr:to>
      <xdr:col>12</xdr:col>
      <xdr:colOff>415637</xdr:colOff>
      <xdr:row>47</xdr:row>
      <xdr:rowOff>31214</xdr:rowOff>
    </xdr:to>
    <xdr:pic>
      <xdr:nvPicPr>
        <xdr:cNvPr id="11" name="Imagen 10">
          <a:extLst>
            <a:ext uri="{FF2B5EF4-FFF2-40B4-BE49-F238E27FC236}">
              <a16:creationId xmlns:a16="http://schemas.microsoft.com/office/drawing/2014/main" id="{607F6107-A714-5C1E-D974-1E72C24CFDF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615545" y="10979729"/>
          <a:ext cx="6338456" cy="3546803"/>
        </a:xfrm>
        <a:prstGeom prst="rect">
          <a:avLst/>
        </a:prstGeom>
      </xdr:spPr>
    </xdr:pic>
    <xdr:clientData/>
  </xdr:twoCellAnchor>
  <xdr:twoCellAnchor editAs="oneCell">
    <xdr:from>
      <xdr:col>12</xdr:col>
      <xdr:colOff>640774</xdr:colOff>
      <xdr:row>35</xdr:row>
      <xdr:rowOff>17317</xdr:rowOff>
    </xdr:from>
    <xdr:to>
      <xdr:col>17</xdr:col>
      <xdr:colOff>5645729</xdr:colOff>
      <xdr:row>46</xdr:row>
      <xdr:rowOff>484162</xdr:rowOff>
    </xdr:to>
    <xdr:pic>
      <xdr:nvPicPr>
        <xdr:cNvPr id="9" name="Imagen 8">
          <a:extLst>
            <a:ext uri="{FF2B5EF4-FFF2-40B4-BE49-F238E27FC236}">
              <a16:creationId xmlns:a16="http://schemas.microsoft.com/office/drawing/2014/main" id="{741C9EC1-6D28-8D03-C732-0299EB5B7E9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179138" y="11031681"/>
          <a:ext cx="9594273" cy="3289708"/>
        </a:xfrm>
        <a:prstGeom prst="rect">
          <a:avLst/>
        </a:prstGeom>
      </xdr:spPr>
    </xdr:pic>
    <xdr:clientData/>
  </xdr:twoCellAnchor>
  <xdr:twoCellAnchor editAs="oneCell">
    <xdr:from>
      <xdr:col>12</xdr:col>
      <xdr:colOff>623453</xdr:colOff>
      <xdr:row>15</xdr:row>
      <xdr:rowOff>329047</xdr:rowOff>
    </xdr:from>
    <xdr:to>
      <xdr:col>17</xdr:col>
      <xdr:colOff>5628409</xdr:colOff>
      <xdr:row>28</xdr:row>
      <xdr:rowOff>113861</xdr:rowOff>
    </xdr:to>
    <xdr:pic>
      <xdr:nvPicPr>
        <xdr:cNvPr id="10" name="Imagen 9">
          <a:extLst>
            <a:ext uri="{FF2B5EF4-FFF2-40B4-BE49-F238E27FC236}">
              <a16:creationId xmlns:a16="http://schemas.microsoft.com/office/drawing/2014/main" id="{19B291BF-E706-A475-E6EF-BFA5F9EBD35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161817" y="6078683"/>
          <a:ext cx="9594274" cy="3681405"/>
        </a:xfrm>
        <a:prstGeom prst="rect">
          <a:avLst/>
        </a:prstGeom>
      </xdr:spPr>
    </xdr:pic>
    <xdr:clientData/>
  </xdr:twoCellAnchor>
  <xdr:twoCellAnchor editAs="oneCell">
    <xdr:from>
      <xdr:col>5</xdr:col>
      <xdr:colOff>450273</xdr:colOff>
      <xdr:row>15</xdr:row>
      <xdr:rowOff>259775</xdr:rowOff>
    </xdr:from>
    <xdr:to>
      <xdr:col>12</xdr:col>
      <xdr:colOff>381001</xdr:colOff>
      <xdr:row>29</xdr:row>
      <xdr:rowOff>72803</xdr:rowOff>
    </xdr:to>
    <xdr:pic>
      <xdr:nvPicPr>
        <xdr:cNvPr id="8" name="Imagen 7">
          <a:extLst>
            <a:ext uri="{FF2B5EF4-FFF2-40B4-BE49-F238E27FC236}">
              <a16:creationId xmlns:a16="http://schemas.microsoft.com/office/drawing/2014/main" id="{B366094E-BED3-01EE-8108-FF734886A17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754091" y="6009411"/>
          <a:ext cx="6165274" cy="412525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974911</xdr:colOff>
      <xdr:row>7</xdr:row>
      <xdr:rowOff>179040</xdr:rowOff>
    </xdr:from>
    <xdr:to>
      <xdr:col>7</xdr:col>
      <xdr:colOff>485774</xdr:colOff>
      <xdr:row>15</xdr:row>
      <xdr:rowOff>9525</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08361" y="1550640"/>
          <a:ext cx="4254313" cy="1430685"/>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485774</xdr:colOff>
      <xdr:row>11</xdr:row>
      <xdr:rowOff>94283</xdr:rowOff>
    </xdr:from>
    <xdr:to>
      <xdr:col>13</xdr:col>
      <xdr:colOff>333375</xdr:colOff>
      <xdr:row>11</xdr:row>
      <xdr:rowOff>104775</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a:off x="6162674" y="2265983"/>
          <a:ext cx="4429126" cy="1049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REF!" spid="_x0000_s341824"/>
                </a:ext>
              </a:extLst>
            </xdr:cNvPicPr>
          </xdr:nvPicPr>
          <xdr:blipFill rotWithShape="1">
            <a:blip xmlns:r="http://schemas.openxmlformats.org/officeDocument/2006/relationships" r:embed="rId1"/>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REF!" spid="_x0000_s341825"/>
                </a:ext>
              </a:extLst>
            </xdr:cNvPicPr>
          </xdr:nvPicPr>
          <xdr:blipFill rotWithShape="1">
            <a:blip xmlns:r="http://schemas.openxmlformats.org/officeDocument/2006/relationships" r:embed="rId2"/>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18</xdr:col>
          <xdr:colOff>563218</xdr:colOff>
          <xdr:row>18</xdr:row>
          <xdr:rowOff>45166</xdr:rowOff>
        </xdr:from>
        <xdr:to>
          <xdr:col>25</xdr:col>
          <xdr:colOff>629478</xdr:colOff>
          <xdr:row>29</xdr:row>
          <xdr:rowOff>33131</xdr:rowOff>
        </xdr:to>
        <xdr:pic>
          <xdr:nvPicPr>
            <xdr:cNvPr id="31" name="Imagen 30">
              <a:extLst>
                <a:ext uri="{FF2B5EF4-FFF2-40B4-BE49-F238E27FC236}">
                  <a16:creationId xmlns:a16="http://schemas.microsoft.com/office/drawing/2014/main" id="{7E64E507-4D13-FCBF-F10E-444C68DB23FA}"/>
                </a:ext>
              </a:extLst>
            </xdr:cNvPr>
            <xdr:cNvPicPr>
              <a:picLocks noChangeAspect="1" noChangeArrowheads="1"/>
              <a:extLst>
                <a:ext uri="{84589F7E-364E-4C9E-8A38-B11213B215E9}">
                  <a14:cameraTool cellRange="data_status_NC!$B$6:$C$10" spid="_x0000_s341826"/>
                </a:ext>
              </a:extLst>
            </xdr:cNvPicPr>
          </xdr:nvPicPr>
          <xdr:blipFill>
            <a:blip xmlns:r="http://schemas.openxmlformats.org/officeDocument/2006/relationships" r:embed="rId3"/>
            <a:srcRect/>
            <a:stretch>
              <a:fillRect/>
            </a:stretch>
          </xdr:blipFill>
          <xdr:spPr bwMode="auto">
            <a:xfrm>
              <a:off x="14635370" y="3590123"/>
              <a:ext cx="5541065" cy="217457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488673</xdr:colOff>
          <xdr:row>35</xdr:row>
          <xdr:rowOff>190500</xdr:rowOff>
        </xdr:from>
        <xdr:to>
          <xdr:col>12</xdr:col>
          <xdr:colOff>248478</xdr:colOff>
          <xdr:row>42</xdr:row>
          <xdr:rowOff>91109</xdr:rowOff>
        </xdr:to>
        <xdr:pic>
          <xdr:nvPicPr>
            <xdr:cNvPr id="32" name="Imagen 31">
              <a:extLst>
                <a:ext uri="{FF2B5EF4-FFF2-40B4-BE49-F238E27FC236}">
                  <a16:creationId xmlns:a16="http://schemas.microsoft.com/office/drawing/2014/main" id="{A9BAB3F4-6EE9-D80F-1EDD-FE5D6557D93B}"/>
                </a:ext>
              </a:extLst>
            </xdr:cNvPr>
            <xdr:cNvPicPr>
              <a:picLocks noChangeAspect="1" noChangeArrowheads="1"/>
              <a:extLst>
                <a:ext uri="{84589F7E-364E-4C9E-8A38-B11213B215E9}">
                  <a14:cameraTool cellRange="data_status_NC!$B$11:$C$14" spid="_x0000_s341827"/>
                </a:ext>
              </a:extLst>
            </xdr:cNvPicPr>
          </xdr:nvPicPr>
          <xdr:blipFill>
            <a:blip xmlns:r="http://schemas.openxmlformats.org/officeDocument/2006/relationships" r:embed="rId4"/>
            <a:srcRect/>
            <a:stretch>
              <a:fillRect/>
            </a:stretch>
          </xdr:blipFill>
          <xdr:spPr bwMode="auto">
            <a:xfrm>
              <a:off x="5408543" y="7114761"/>
              <a:ext cx="4340087" cy="1292087"/>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342901</xdr:colOff>
          <xdr:row>36</xdr:row>
          <xdr:rowOff>22412</xdr:rowOff>
        </xdr:from>
        <xdr:to>
          <xdr:col>5</xdr:col>
          <xdr:colOff>247651</xdr:colOff>
          <xdr:row>42</xdr:row>
          <xdr:rowOff>171450</xdr:rowOff>
        </xdr:to>
        <xdr:pic>
          <xdr:nvPicPr>
            <xdr:cNvPr id="34" name="Imagen 33">
              <a:extLst>
                <a:ext uri="{FF2B5EF4-FFF2-40B4-BE49-F238E27FC236}">
                  <a16:creationId xmlns:a16="http://schemas.microsoft.com/office/drawing/2014/main" id="{D09C4B67-2347-49EF-8126-2C8FB40F7AC5}"/>
                </a:ext>
              </a:extLst>
            </xdr:cNvPr>
            <xdr:cNvPicPr>
              <a:picLocks noChangeAspect="1" noChangeArrowheads="1"/>
              <a:extLst>
                <a:ext uri="{84589F7E-364E-4C9E-8A38-B11213B215E9}">
                  <a14:cameraTool cellRange="data_status_NC!$B$15:$C$18" spid="_x0000_s341828"/>
                </a:ext>
              </a:extLst>
            </xdr:cNvPicPr>
          </xdr:nvPicPr>
          <xdr:blipFill>
            <a:blip xmlns:r="http://schemas.openxmlformats.org/officeDocument/2006/relationships" r:embed="rId5"/>
            <a:srcRect/>
            <a:stretch>
              <a:fillRect/>
            </a:stretch>
          </xdr:blipFill>
          <xdr:spPr bwMode="auto">
            <a:xfrm>
              <a:off x="342901" y="7194737"/>
              <a:ext cx="4057650" cy="1349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1064804</xdr:colOff>
          <xdr:row>51</xdr:row>
          <xdr:rowOff>142875</xdr:rowOff>
        </xdr:from>
        <xdr:to>
          <xdr:col>9</xdr:col>
          <xdr:colOff>270618</xdr:colOff>
          <xdr:row>60</xdr:row>
          <xdr:rowOff>933450</xdr:rowOff>
        </xdr:to>
        <xdr:pic>
          <xdr:nvPicPr>
            <xdr:cNvPr id="35" name="Imagen 34">
              <a:extLst>
                <a:ext uri="{FF2B5EF4-FFF2-40B4-BE49-F238E27FC236}">
                  <a16:creationId xmlns:a16="http://schemas.microsoft.com/office/drawing/2014/main" id="{DF7DBC16-8C4D-7C4E-BE05-AE4D29702139}"/>
                </a:ext>
              </a:extLst>
            </xdr:cNvPr>
            <xdr:cNvPicPr>
              <a:picLocks noChangeAspect="1" noChangeArrowheads="1"/>
              <a:extLst>
                <a:ext uri="{84589F7E-364E-4C9E-8A38-B11213B215E9}">
                  <a14:cameraTool cellRange="data_status_NC!$B$19:$C$26" spid="_x0000_s341829"/>
                </a:ext>
              </a:extLst>
            </xdr:cNvPicPr>
          </xdr:nvPicPr>
          <xdr:blipFill>
            <a:blip xmlns:r="http://schemas.openxmlformats.org/officeDocument/2006/relationships" r:embed="rId6"/>
            <a:srcRect/>
            <a:stretch>
              <a:fillRect/>
            </a:stretch>
          </xdr:blipFill>
          <xdr:spPr bwMode="auto">
            <a:xfrm>
              <a:off x="1998254" y="10315575"/>
              <a:ext cx="5473264" cy="25908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66675</xdr:colOff>
          <xdr:row>36</xdr:row>
          <xdr:rowOff>0</xdr:rowOff>
        </xdr:from>
        <xdr:to>
          <xdr:col>23</xdr:col>
          <xdr:colOff>666750</xdr:colOff>
          <xdr:row>43</xdr:row>
          <xdr:rowOff>180975</xdr:rowOff>
        </xdr:to>
        <xdr:pic>
          <xdr:nvPicPr>
            <xdr:cNvPr id="36" name="Imagen 35">
              <a:extLst>
                <a:ext uri="{FF2B5EF4-FFF2-40B4-BE49-F238E27FC236}">
                  <a16:creationId xmlns:a16="http://schemas.microsoft.com/office/drawing/2014/main" id="{00BB4001-3DEF-9950-FCB0-42D3B9FC86E1}"/>
                </a:ext>
              </a:extLst>
            </xdr:cNvPr>
            <xdr:cNvPicPr>
              <a:picLocks noChangeAspect="1" noChangeArrowheads="1"/>
              <a:extLst>
                <a:ext uri="{84589F7E-364E-4C9E-8A38-B11213B215E9}">
                  <a14:cameraTool cellRange="data_status_NC!$B$27:$C$32" spid="_x0000_s341830"/>
                </a:ext>
              </a:extLst>
            </xdr:cNvPicPr>
          </xdr:nvPicPr>
          <xdr:blipFill>
            <a:blip xmlns:r="http://schemas.openxmlformats.org/officeDocument/2006/relationships" r:embed="rId7"/>
            <a:srcRect/>
            <a:stretch>
              <a:fillRect/>
            </a:stretch>
          </xdr:blipFill>
          <xdr:spPr bwMode="auto">
            <a:xfrm>
              <a:off x="13373100" y="7172325"/>
              <a:ext cx="5314950" cy="158115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505696</xdr:colOff>
          <xdr:row>51</xdr:row>
          <xdr:rowOff>198556</xdr:rowOff>
        </xdr:from>
        <xdr:to>
          <xdr:col>18</xdr:col>
          <xdr:colOff>561975</xdr:colOff>
          <xdr:row>60</xdr:row>
          <xdr:rowOff>619124</xdr:rowOff>
        </xdr:to>
        <xdr:pic>
          <xdr:nvPicPr>
            <xdr:cNvPr id="37" name="Imagen 36">
              <a:extLst>
                <a:ext uri="{FF2B5EF4-FFF2-40B4-BE49-F238E27FC236}">
                  <a16:creationId xmlns:a16="http://schemas.microsoft.com/office/drawing/2014/main" id="{9D88BC02-7BFD-82D6-199C-B28F594815FD}"/>
                </a:ext>
              </a:extLst>
            </xdr:cNvPr>
            <xdr:cNvPicPr>
              <a:picLocks noChangeAspect="1" noChangeArrowheads="1"/>
              <a:extLst>
                <a:ext uri="{84589F7E-364E-4C9E-8A38-B11213B215E9}">
                  <a14:cameraTool cellRange="data_status_NC!$B$33:$C$39" spid="_x0000_s341831"/>
                </a:ext>
              </a:extLst>
            </xdr:cNvPicPr>
          </xdr:nvPicPr>
          <xdr:blipFill>
            <a:blip xmlns:r="http://schemas.openxmlformats.org/officeDocument/2006/relationships" r:embed="rId8"/>
            <a:srcRect/>
            <a:stretch>
              <a:fillRect/>
            </a:stretch>
          </xdr:blipFill>
          <xdr:spPr bwMode="auto">
            <a:xfrm>
              <a:off x="9230596" y="10371256"/>
              <a:ext cx="5399804" cy="222079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455067</xdr:colOff>
          <xdr:row>52</xdr:row>
          <xdr:rowOff>19051</xdr:rowOff>
        </xdr:from>
        <xdr:to>
          <xdr:col>26</xdr:col>
          <xdr:colOff>1628774</xdr:colOff>
          <xdr:row>60</xdr:row>
          <xdr:rowOff>666751</xdr:rowOff>
        </xdr:to>
        <xdr:pic>
          <xdr:nvPicPr>
            <xdr:cNvPr id="38" name="Imagen 37">
              <a:extLst>
                <a:ext uri="{FF2B5EF4-FFF2-40B4-BE49-F238E27FC236}">
                  <a16:creationId xmlns:a16="http://schemas.microsoft.com/office/drawing/2014/main" id="{92C44EC3-0D8D-3E88-0A53-7BCC1BA2BEFE}"/>
                </a:ext>
              </a:extLst>
            </xdr:cNvPr>
            <xdr:cNvPicPr>
              <a:picLocks noChangeAspect="1" noChangeArrowheads="1"/>
              <a:extLst>
                <a:ext uri="{84589F7E-364E-4C9E-8A38-B11213B215E9}">
                  <a14:cameraTool cellRange="data_status_NC!$B$40:$C$46" spid="_x0000_s341832"/>
                </a:ext>
              </a:extLst>
            </xdr:cNvPicPr>
          </xdr:nvPicPr>
          <xdr:blipFill>
            <a:blip xmlns:r="http://schemas.openxmlformats.org/officeDocument/2006/relationships" r:embed="rId9"/>
            <a:srcRect/>
            <a:stretch>
              <a:fillRect/>
            </a:stretch>
          </xdr:blipFill>
          <xdr:spPr bwMode="auto">
            <a:xfrm>
              <a:off x="16190367" y="10391776"/>
              <a:ext cx="5745707" cy="22479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1176617</xdr:colOff>
          <xdr:row>10</xdr:row>
          <xdr:rowOff>18899</xdr:rowOff>
        </xdr:from>
        <xdr:to>
          <xdr:col>7</xdr:col>
          <xdr:colOff>392206</xdr:colOff>
          <xdr:row>13</xdr:row>
          <xdr:rowOff>109520</xdr:rowOff>
        </xdr:to>
        <xdr:pic>
          <xdr:nvPicPr>
            <xdr:cNvPr id="23" name="Picture 21">
              <a:extLst>
                <a:ext uri="{FF2B5EF4-FFF2-40B4-BE49-F238E27FC236}">
                  <a16:creationId xmlns:a16="http://schemas.microsoft.com/office/drawing/2014/main" id="{2A54CE84-EA37-02E1-68FA-6E0698C7274E}"/>
                </a:ext>
              </a:extLst>
            </xdr:cNvPr>
            <xdr:cNvPicPr>
              <a:picLocks noChangeAspect="1"/>
              <a:extLst>
                <a:ext uri="{84589F7E-364E-4C9E-8A38-B11213B215E9}">
                  <a14:cameraTool cellRange="data_status_NC!$B$3:$C$5" spid="_x0000_s341833"/>
                </a:ext>
              </a:extLst>
            </xdr:cNvPicPr>
          </xdr:nvPicPr>
          <xdr:blipFill>
            <a:blip xmlns:r="http://schemas.openxmlformats.org/officeDocument/2006/relationships" r:embed="rId10"/>
            <a:stretch>
              <a:fillRect/>
            </a:stretch>
          </xdr:blipFill>
          <xdr:spPr>
            <a:xfrm>
              <a:off x="2117911" y="2013546"/>
              <a:ext cx="3955677" cy="695739"/>
            </a:xfrm>
            <a:prstGeom prst="rect">
              <a:avLst/>
            </a:prstGeom>
          </xdr:spPr>
        </xdr:pic>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7</xdr:col>
      <xdr:colOff>3360</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1573" y="2095417"/>
          <a:ext cx="7046258" cy="29359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687416</xdr:colOff>
      <xdr:row>0</xdr:row>
      <xdr:rowOff>17318</xdr:rowOff>
    </xdr:from>
    <xdr:to>
      <xdr:col>3</xdr:col>
      <xdr:colOff>1454728</xdr:colOff>
      <xdr:row>4</xdr:row>
      <xdr:rowOff>95021</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87416" y="17318"/>
          <a:ext cx="6066676"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81278</xdr:colOff>
      <xdr:row>0</xdr:row>
      <xdr:rowOff>17318</xdr:rowOff>
    </xdr:from>
    <xdr:to>
      <xdr:col>6</xdr:col>
      <xdr:colOff>1125682</xdr:colOff>
      <xdr:row>4</xdr:row>
      <xdr:rowOff>95021</xdr:rowOff>
    </xdr:to>
    <xdr:pic>
      <xdr:nvPicPr>
        <xdr:cNvPr id="2" name="Imagen 1">
          <a:extLst>
            <a:ext uri="{FF2B5EF4-FFF2-40B4-BE49-F238E27FC236}">
              <a16:creationId xmlns:a16="http://schemas.microsoft.com/office/drawing/2014/main" id="{E15B42EE-C691-4162-8698-9110091CAB25}"/>
            </a:ext>
          </a:extLst>
        </xdr:cNvPr>
        <xdr:cNvPicPr>
          <a:picLocks noChangeAspect="1"/>
        </xdr:cNvPicPr>
      </xdr:nvPicPr>
      <xdr:blipFill>
        <a:blip xmlns:r="http://schemas.openxmlformats.org/officeDocument/2006/relationships" r:embed="rId1"/>
        <a:stretch>
          <a:fillRect/>
        </a:stretch>
      </xdr:blipFill>
      <xdr:spPr>
        <a:xfrm>
          <a:off x="774005" y="17318"/>
          <a:ext cx="13582768" cy="149779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224744</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402613</xdr:colOff>
      <xdr:row>5</xdr:row>
      <xdr:rowOff>64833</xdr:rowOff>
    </xdr:from>
    <xdr:to>
      <xdr:col>18</xdr:col>
      <xdr:colOff>10407</xdr:colOff>
      <xdr:row>7</xdr:row>
      <xdr:rowOff>119667</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499363" y="1357512"/>
          <a:ext cx="750794" cy="7624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128294</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136072</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231321</xdr:colOff>
      <xdr:row>40</xdr:row>
      <xdr:rowOff>71037</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354832</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217716</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375397</xdr:colOff>
      <xdr:row>5</xdr:row>
      <xdr:rowOff>70036</xdr:rowOff>
    </xdr:from>
    <xdr:to>
      <xdr:col>0</xdr:col>
      <xdr:colOff>1362007</xdr:colOff>
      <xdr:row>6</xdr:row>
      <xdr:rowOff>470646</xdr:rowOff>
    </xdr:to>
    <xdr:pic>
      <xdr:nvPicPr>
        <xdr:cNvPr id="7" name="Imagen 6">
          <a:extLst>
            <a:ext uri="{FF2B5EF4-FFF2-40B4-BE49-F238E27FC236}">
              <a16:creationId xmlns:a16="http://schemas.microsoft.com/office/drawing/2014/main" id="{6762C6FB-8111-4E96-BD1A-7FCEEBF5B9CB}"/>
            </a:ext>
          </a:extLst>
        </xdr:cNvPr>
        <xdr:cNvPicPr>
          <a:picLocks noChangeAspect="1"/>
        </xdr:cNvPicPr>
      </xdr:nvPicPr>
      <xdr:blipFill>
        <a:blip xmlns:r="http://schemas.openxmlformats.org/officeDocument/2006/relationships" r:embed="rId1"/>
        <a:stretch>
          <a:fillRect/>
        </a:stretch>
      </xdr:blipFill>
      <xdr:spPr>
        <a:xfrm>
          <a:off x="375397" y="1392330"/>
          <a:ext cx="986610" cy="1061757"/>
        </a:xfrm>
        <a:prstGeom prst="rect">
          <a:avLst/>
        </a:prstGeom>
      </xdr:spPr>
    </xdr:pic>
    <xdr:clientData/>
  </xdr:twoCellAnchor>
  <xdr:twoCellAnchor editAs="oneCell">
    <xdr:from>
      <xdr:col>3</xdr:col>
      <xdr:colOff>295250</xdr:colOff>
      <xdr:row>5</xdr:row>
      <xdr:rowOff>82824</xdr:rowOff>
    </xdr:from>
    <xdr:to>
      <xdr:col>3</xdr:col>
      <xdr:colOff>1299884</xdr:colOff>
      <xdr:row>6</xdr:row>
      <xdr:rowOff>418707</xdr:rowOff>
    </xdr:to>
    <xdr:pic>
      <xdr:nvPicPr>
        <xdr:cNvPr id="8" name="Imagen 7">
          <a:extLst>
            <a:ext uri="{FF2B5EF4-FFF2-40B4-BE49-F238E27FC236}">
              <a16:creationId xmlns:a16="http://schemas.microsoft.com/office/drawing/2014/main" id="{FD726CE4-5B42-47C0-A4AA-0B994669DC9C}"/>
            </a:ext>
          </a:extLst>
        </xdr:cNvPr>
        <xdr:cNvPicPr>
          <a:picLocks noChangeAspect="1"/>
        </xdr:cNvPicPr>
      </xdr:nvPicPr>
      <xdr:blipFill>
        <a:blip xmlns:r="http://schemas.openxmlformats.org/officeDocument/2006/relationships" r:embed="rId2"/>
        <a:stretch>
          <a:fillRect/>
        </a:stretch>
      </xdr:blipFill>
      <xdr:spPr>
        <a:xfrm>
          <a:off x="4643132" y="1405118"/>
          <a:ext cx="1004634" cy="997030"/>
        </a:xfrm>
        <a:prstGeom prst="rect">
          <a:avLst/>
        </a:prstGeom>
      </xdr:spPr>
    </xdr:pic>
    <xdr:clientData/>
  </xdr:twoCellAnchor>
  <xdr:twoCellAnchor editAs="oneCell">
    <xdr:from>
      <xdr:col>6</xdr:col>
      <xdr:colOff>222595</xdr:colOff>
      <xdr:row>5</xdr:row>
      <xdr:rowOff>63633</xdr:rowOff>
    </xdr:from>
    <xdr:to>
      <xdr:col>7</xdr:col>
      <xdr:colOff>357429</xdr:colOff>
      <xdr:row>6</xdr:row>
      <xdr:rowOff>360753</xdr:rowOff>
    </xdr:to>
    <xdr:pic>
      <xdr:nvPicPr>
        <xdr:cNvPr id="9" name="Imagen 8">
          <a:extLst>
            <a:ext uri="{FF2B5EF4-FFF2-40B4-BE49-F238E27FC236}">
              <a16:creationId xmlns:a16="http://schemas.microsoft.com/office/drawing/2014/main" id="{A3154C1D-2EB4-4C03-BA54-90A364D8C85C}"/>
            </a:ext>
          </a:extLst>
        </xdr:cNvPr>
        <xdr:cNvPicPr>
          <a:picLocks noChangeAspect="1"/>
        </xdr:cNvPicPr>
      </xdr:nvPicPr>
      <xdr:blipFill>
        <a:blip xmlns:r="http://schemas.openxmlformats.org/officeDocument/2006/relationships" r:embed="rId3"/>
        <a:stretch>
          <a:fillRect/>
        </a:stretch>
      </xdr:blipFill>
      <xdr:spPr>
        <a:xfrm>
          <a:off x="8033095" y="1385927"/>
          <a:ext cx="964069" cy="958267"/>
        </a:xfrm>
        <a:prstGeom prst="rect">
          <a:avLst/>
        </a:prstGeom>
      </xdr:spPr>
    </xdr:pic>
    <xdr:clientData/>
  </xdr:twoCellAnchor>
  <xdr:twoCellAnchor editAs="oneCell">
    <xdr:from>
      <xdr:col>9</xdr:col>
      <xdr:colOff>196902</xdr:colOff>
      <xdr:row>5</xdr:row>
      <xdr:rowOff>106457</xdr:rowOff>
    </xdr:from>
    <xdr:to>
      <xdr:col>9</xdr:col>
      <xdr:colOff>1288676</xdr:colOff>
      <xdr:row>6</xdr:row>
      <xdr:rowOff>381824</xdr:rowOff>
    </xdr:to>
    <xdr:pic>
      <xdr:nvPicPr>
        <xdr:cNvPr id="10" name="Imagen 9">
          <a:extLst>
            <a:ext uri="{FF2B5EF4-FFF2-40B4-BE49-F238E27FC236}">
              <a16:creationId xmlns:a16="http://schemas.microsoft.com/office/drawing/2014/main" id="{7C5AC9C6-788E-4F13-9882-A6C516270CB9}"/>
            </a:ext>
          </a:extLst>
        </xdr:cNvPr>
        <xdr:cNvPicPr>
          <a:picLocks noChangeAspect="1"/>
        </xdr:cNvPicPr>
      </xdr:nvPicPr>
      <xdr:blipFill>
        <a:blip xmlns:r="http://schemas.openxmlformats.org/officeDocument/2006/relationships" r:embed="rId4"/>
        <a:stretch>
          <a:fillRect/>
        </a:stretch>
      </xdr:blipFill>
      <xdr:spPr>
        <a:xfrm>
          <a:off x="12467343" y="1428751"/>
          <a:ext cx="1091774" cy="936514"/>
        </a:xfrm>
        <a:prstGeom prst="rect">
          <a:avLst/>
        </a:prstGeom>
      </xdr:spPr>
    </xdr:pic>
    <xdr:clientData/>
  </xdr:twoCellAnchor>
  <xdr:twoCellAnchor editAs="oneCell">
    <xdr:from>
      <xdr:col>12</xdr:col>
      <xdr:colOff>108857</xdr:colOff>
      <xdr:row>5</xdr:row>
      <xdr:rowOff>105185</xdr:rowOff>
    </xdr:from>
    <xdr:to>
      <xdr:col>13</xdr:col>
      <xdr:colOff>56028</xdr:colOff>
      <xdr:row>6</xdr:row>
      <xdr:rowOff>333341</xdr:rowOff>
    </xdr:to>
    <xdr:pic>
      <xdr:nvPicPr>
        <xdr:cNvPr id="11" name="Imagen 10">
          <a:extLst>
            <a:ext uri="{FF2B5EF4-FFF2-40B4-BE49-F238E27FC236}">
              <a16:creationId xmlns:a16="http://schemas.microsoft.com/office/drawing/2014/main" id="{380969BE-15CE-4CD4-8084-D941760F8764}"/>
            </a:ext>
          </a:extLst>
        </xdr:cNvPr>
        <xdr:cNvPicPr>
          <a:picLocks noChangeAspect="1"/>
        </xdr:cNvPicPr>
      </xdr:nvPicPr>
      <xdr:blipFill>
        <a:blip xmlns:r="http://schemas.openxmlformats.org/officeDocument/2006/relationships" r:embed="rId5"/>
        <a:stretch>
          <a:fillRect/>
        </a:stretch>
      </xdr:blipFill>
      <xdr:spPr>
        <a:xfrm>
          <a:off x="15953975" y="1427479"/>
          <a:ext cx="1168613" cy="889303"/>
        </a:xfrm>
        <a:prstGeom prst="rect">
          <a:avLst/>
        </a:prstGeom>
      </xdr:spPr>
    </xdr:pic>
    <xdr:clientData/>
  </xdr:twoCellAnchor>
  <xdr:twoCellAnchor editAs="oneCell">
    <xdr:from>
      <xdr:col>0</xdr:col>
      <xdr:colOff>155864</xdr:colOff>
      <xdr:row>15</xdr:row>
      <xdr:rowOff>259773</xdr:rowOff>
    </xdr:from>
    <xdr:to>
      <xdr:col>5</xdr:col>
      <xdr:colOff>710044</xdr:colOff>
      <xdr:row>21</xdr:row>
      <xdr:rowOff>78894</xdr:rowOff>
    </xdr:to>
    <xdr:pic>
      <xdr:nvPicPr>
        <xdr:cNvPr id="4" name="Imagen 3">
          <a:extLst>
            <a:ext uri="{FF2B5EF4-FFF2-40B4-BE49-F238E27FC236}">
              <a16:creationId xmlns:a16="http://schemas.microsoft.com/office/drawing/2014/main" id="{5B7DF340-9331-D733-62B4-FEEC3FB74C9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5864" y="4898448"/>
          <a:ext cx="7764605" cy="3819621"/>
        </a:xfrm>
        <a:prstGeom prst="rect">
          <a:avLst/>
        </a:prstGeom>
      </xdr:spPr>
    </xdr:pic>
    <xdr:clientData/>
  </xdr:twoCellAnchor>
  <xdr:twoCellAnchor editAs="oneCell">
    <xdr:from>
      <xdr:col>6</xdr:col>
      <xdr:colOff>796636</xdr:colOff>
      <xdr:row>7</xdr:row>
      <xdr:rowOff>121227</xdr:rowOff>
    </xdr:from>
    <xdr:to>
      <xdr:col>14</xdr:col>
      <xdr:colOff>346365</xdr:colOff>
      <xdr:row>15</xdr:row>
      <xdr:rowOff>2181208</xdr:rowOff>
    </xdr:to>
    <xdr:pic>
      <xdr:nvPicPr>
        <xdr:cNvPr id="5" name="Imagen 4">
          <a:extLst>
            <a:ext uri="{FF2B5EF4-FFF2-40B4-BE49-F238E27FC236}">
              <a16:creationId xmlns:a16="http://schemas.microsoft.com/office/drawing/2014/main" id="{628FDEDF-C317-9AEF-1363-60D2862E010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69061" y="2616777"/>
          <a:ext cx="10246304" cy="4203106"/>
        </a:xfrm>
        <a:prstGeom prst="rect">
          <a:avLst/>
        </a:prstGeom>
      </xdr:spPr>
    </xdr:pic>
    <xdr:clientData/>
  </xdr:twoCellAnchor>
  <xdr:twoCellAnchor editAs="oneCell">
    <xdr:from>
      <xdr:col>0</xdr:col>
      <xdr:colOff>33619</xdr:colOff>
      <xdr:row>25</xdr:row>
      <xdr:rowOff>212912</xdr:rowOff>
    </xdr:from>
    <xdr:to>
      <xdr:col>6</xdr:col>
      <xdr:colOff>1</xdr:colOff>
      <xdr:row>35</xdr:row>
      <xdr:rowOff>31434</xdr:rowOff>
    </xdr:to>
    <xdr:pic>
      <xdr:nvPicPr>
        <xdr:cNvPr id="3" name="Imagen 2">
          <a:extLst>
            <a:ext uri="{FF2B5EF4-FFF2-40B4-BE49-F238E27FC236}">
              <a16:creationId xmlns:a16="http://schemas.microsoft.com/office/drawing/2014/main" id="{3A9CF92F-AE4F-087C-A9E3-D0378A2F926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3619" y="10299887"/>
          <a:ext cx="7938807" cy="317132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xdr:col>
      <xdr:colOff>89648</xdr:colOff>
      <xdr:row>3</xdr:row>
      <xdr:rowOff>2</xdr:rowOff>
    </xdr:from>
    <xdr:to>
      <xdr:col>7</xdr:col>
      <xdr:colOff>2598967</xdr:colOff>
      <xdr:row>8</xdr:row>
      <xdr:rowOff>381000</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136070</xdr:colOff>
      <xdr:row>22</xdr:row>
      <xdr:rowOff>173692</xdr:rowOff>
    </xdr:from>
    <xdr:to>
      <xdr:col>3</xdr:col>
      <xdr:colOff>1251857</xdr:colOff>
      <xdr:row>28</xdr:row>
      <xdr:rowOff>462644</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141687</xdr:colOff>
      <xdr:row>5</xdr:row>
      <xdr:rowOff>71438</xdr:rowOff>
    </xdr:from>
    <xdr:to>
      <xdr:col>3</xdr:col>
      <xdr:colOff>330010</xdr:colOff>
      <xdr:row>8</xdr:row>
      <xdr:rowOff>84379</xdr:rowOff>
    </xdr:to>
    <xdr:pic>
      <xdr:nvPicPr>
        <xdr:cNvPr id="3" name="Imagen 2">
          <a:extLst>
            <a:ext uri="{FF2B5EF4-FFF2-40B4-BE49-F238E27FC236}">
              <a16:creationId xmlns:a16="http://schemas.microsoft.com/office/drawing/2014/main" id="{EFBA83A9-84D2-4912-982F-A144EB227D41}"/>
            </a:ext>
          </a:extLst>
        </xdr:cNvPr>
        <xdr:cNvPicPr>
          <a:picLocks noChangeAspect="1"/>
        </xdr:cNvPicPr>
      </xdr:nvPicPr>
      <xdr:blipFill>
        <a:blip xmlns:r="http://schemas.openxmlformats.org/officeDocument/2006/relationships" r:embed="rId1"/>
        <a:stretch>
          <a:fillRect/>
        </a:stretch>
      </xdr:blipFill>
      <xdr:spPr>
        <a:xfrm>
          <a:off x="778671" y="898922"/>
          <a:ext cx="503840" cy="506015"/>
        </a:xfrm>
        <a:prstGeom prst="rect">
          <a:avLst/>
        </a:prstGeom>
      </xdr:spPr>
    </xdr:pic>
    <xdr:clientData/>
  </xdr:twoCellAnchor>
  <xdr:twoCellAnchor editAs="oneCell">
    <xdr:from>
      <xdr:col>13</xdr:col>
      <xdr:colOff>81883</xdr:colOff>
      <xdr:row>5</xdr:row>
      <xdr:rowOff>47719</xdr:rowOff>
    </xdr:from>
    <xdr:to>
      <xdr:col>16</xdr:col>
      <xdr:colOff>39303</xdr:colOff>
      <xdr:row>8</xdr:row>
      <xdr:rowOff>137974</xdr:rowOff>
    </xdr:to>
    <xdr:pic>
      <xdr:nvPicPr>
        <xdr:cNvPr id="5" name="Imagen 4">
          <a:extLst>
            <a:ext uri="{FF2B5EF4-FFF2-40B4-BE49-F238E27FC236}">
              <a16:creationId xmlns:a16="http://schemas.microsoft.com/office/drawing/2014/main" id="{ACC8FB2F-DB61-4F03-A0AE-EFD1BFA68A49}"/>
            </a:ext>
          </a:extLst>
        </xdr:cNvPr>
        <xdr:cNvPicPr>
          <a:picLocks noChangeAspect="1"/>
        </xdr:cNvPicPr>
      </xdr:nvPicPr>
      <xdr:blipFill>
        <a:blip xmlns:r="http://schemas.openxmlformats.org/officeDocument/2006/relationships" r:embed="rId2"/>
        <a:stretch>
          <a:fillRect/>
        </a:stretch>
      </xdr:blipFill>
      <xdr:spPr>
        <a:xfrm>
          <a:off x="4581624" y="967374"/>
          <a:ext cx="515742" cy="576359"/>
        </a:xfrm>
        <a:prstGeom prst="rect">
          <a:avLst/>
        </a:prstGeom>
      </xdr:spPr>
    </xdr:pic>
    <xdr:clientData/>
  </xdr:twoCellAnchor>
  <xdr:twoCellAnchor editAs="oneCell">
    <xdr:from>
      <xdr:col>8</xdr:col>
      <xdr:colOff>77237</xdr:colOff>
      <xdr:row>5</xdr:row>
      <xdr:rowOff>49211</xdr:rowOff>
    </xdr:from>
    <xdr:to>
      <xdr:col>9</xdr:col>
      <xdr:colOff>86554</xdr:colOff>
      <xdr:row>8</xdr:row>
      <xdr:rowOff>102577</xdr:rowOff>
    </xdr:to>
    <xdr:pic>
      <xdr:nvPicPr>
        <xdr:cNvPr id="7" name="Imagen 6">
          <a:extLst>
            <a:ext uri="{FF2B5EF4-FFF2-40B4-BE49-F238E27FC236}">
              <a16:creationId xmlns:a16="http://schemas.microsoft.com/office/drawing/2014/main" id="{91079B9A-1212-4CF0-8A9B-099BD71DF6A3}"/>
            </a:ext>
          </a:extLst>
        </xdr:cNvPr>
        <xdr:cNvPicPr>
          <a:picLocks noChangeAspect="1"/>
        </xdr:cNvPicPr>
      </xdr:nvPicPr>
      <xdr:blipFill>
        <a:blip xmlns:r="http://schemas.openxmlformats.org/officeDocument/2006/relationships" r:embed="rId3"/>
        <a:stretch>
          <a:fillRect/>
        </a:stretch>
      </xdr:blipFill>
      <xdr:spPr>
        <a:xfrm>
          <a:off x="2707602" y="862499"/>
          <a:ext cx="544181" cy="536943"/>
        </a:xfrm>
        <a:prstGeom prst="rect">
          <a:avLst/>
        </a:prstGeom>
      </xdr:spPr>
    </xdr:pic>
    <xdr:clientData/>
  </xdr:twoCellAnchor>
  <xdr:twoCellAnchor editAs="oneCell">
    <xdr:from>
      <xdr:col>19</xdr:col>
      <xdr:colOff>19050</xdr:colOff>
      <xdr:row>5</xdr:row>
      <xdr:rowOff>19050</xdr:rowOff>
    </xdr:from>
    <xdr:to>
      <xdr:col>21</xdr:col>
      <xdr:colOff>175654</xdr:colOff>
      <xdr:row>8</xdr:row>
      <xdr:rowOff>76200</xdr:rowOff>
    </xdr:to>
    <xdr:pic>
      <xdr:nvPicPr>
        <xdr:cNvPr id="12" name="Imagen 11">
          <a:extLst>
            <a:ext uri="{FF2B5EF4-FFF2-40B4-BE49-F238E27FC236}">
              <a16:creationId xmlns:a16="http://schemas.microsoft.com/office/drawing/2014/main" id="{42034E54-ADE9-498D-8594-CB6D3E85E668}"/>
            </a:ext>
          </a:extLst>
        </xdr:cNvPr>
        <xdr:cNvPicPr>
          <a:picLocks noChangeAspect="1"/>
        </xdr:cNvPicPr>
      </xdr:nvPicPr>
      <xdr:blipFill>
        <a:blip xmlns:r="http://schemas.openxmlformats.org/officeDocument/2006/relationships" r:embed="rId4"/>
        <a:stretch>
          <a:fillRect/>
        </a:stretch>
      </xdr:blipFill>
      <xdr:spPr>
        <a:xfrm>
          <a:off x="6200775" y="933450"/>
          <a:ext cx="638781" cy="542925"/>
        </a:xfrm>
        <a:prstGeom prst="rect">
          <a:avLst/>
        </a:prstGeom>
      </xdr:spPr>
    </xdr:pic>
    <xdr:clientData/>
  </xdr:twoCellAnchor>
  <xdr:twoCellAnchor editAs="oneCell">
    <xdr:from>
      <xdr:col>27</xdr:col>
      <xdr:colOff>34926</xdr:colOff>
      <xdr:row>5</xdr:row>
      <xdr:rowOff>39342</xdr:rowOff>
    </xdr:from>
    <xdr:to>
      <xdr:col>28</xdr:col>
      <xdr:colOff>244580</xdr:colOff>
      <xdr:row>8</xdr:row>
      <xdr:rowOff>83061</xdr:rowOff>
    </xdr:to>
    <xdr:pic>
      <xdr:nvPicPr>
        <xdr:cNvPr id="13" name="Imagen 12">
          <a:extLst>
            <a:ext uri="{FF2B5EF4-FFF2-40B4-BE49-F238E27FC236}">
              <a16:creationId xmlns:a16="http://schemas.microsoft.com/office/drawing/2014/main" id="{3024FAB9-2ADB-4645-BE74-FF255EDDD091}"/>
            </a:ext>
          </a:extLst>
        </xdr:cNvPr>
        <xdr:cNvPicPr>
          <a:picLocks noChangeAspect="1"/>
        </xdr:cNvPicPr>
      </xdr:nvPicPr>
      <xdr:blipFill>
        <a:blip xmlns:r="http://schemas.openxmlformats.org/officeDocument/2006/relationships" r:embed="rId5"/>
        <a:stretch>
          <a:fillRect/>
        </a:stretch>
      </xdr:blipFill>
      <xdr:spPr>
        <a:xfrm>
          <a:off x="8483187" y="950429"/>
          <a:ext cx="628098" cy="532393"/>
        </a:xfrm>
        <a:prstGeom prst="rect">
          <a:avLst/>
        </a:prstGeom>
      </xdr:spPr>
    </xdr:pic>
    <xdr:clientData/>
  </xdr:twoCellAnchor>
  <xdr:twoCellAnchor>
    <xdr:from>
      <xdr:col>1</xdr:col>
      <xdr:colOff>123264</xdr:colOff>
      <xdr:row>18</xdr:row>
      <xdr:rowOff>84364</xdr:rowOff>
    </xdr:from>
    <xdr:to>
      <xdr:col>13</xdr:col>
      <xdr:colOff>67235</xdr:colOff>
      <xdr:row>30</xdr:row>
      <xdr:rowOff>190499</xdr:rowOff>
    </xdr:to>
    <xdr:graphicFrame macro="">
      <xdr:nvGraphicFramePr>
        <xdr:cNvPr id="16" name="Gráfico 15">
          <a:extLst>
            <a:ext uri="{FF2B5EF4-FFF2-40B4-BE49-F238E27FC236}">
              <a16:creationId xmlns:a16="http://schemas.microsoft.com/office/drawing/2014/main" id="{BE6F2CA8-A324-8097-E1CE-921E7CE197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85725</xdr:colOff>
      <xdr:row>35</xdr:row>
      <xdr:rowOff>152399</xdr:rowOff>
    </xdr:from>
    <xdr:to>
      <xdr:col>13</xdr:col>
      <xdr:colOff>123825</xdr:colOff>
      <xdr:row>48</xdr:row>
      <xdr:rowOff>95249</xdr:rowOff>
    </xdr:to>
    <xdr:graphicFrame macro="">
      <xdr:nvGraphicFramePr>
        <xdr:cNvPr id="17" name="Gráfico 16">
          <a:extLst>
            <a:ext uri="{FF2B5EF4-FFF2-40B4-BE49-F238E27FC236}">
              <a16:creationId xmlns:a16="http://schemas.microsoft.com/office/drawing/2014/main" id="{2ACCBFA9-53E3-650B-AD7C-E799128DCA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138112</xdr:colOff>
      <xdr:row>18</xdr:row>
      <xdr:rowOff>71437</xdr:rowOff>
    </xdr:from>
    <xdr:to>
      <xdr:col>13</xdr:col>
      <xdr:colOff>57150</xdr:colOff>
      <xdr:row>29</xdr:row>
      <xdr:rowOff>323850</xdr:rowOff>
    </xdr:to>
    <xdr:graphicFrame macro="">
      <xdr:nvGraphicFramePr>
        <xdr:cNvPr id="21" name="Gráfico 20">
          <a:extLst>
            <a:ext uri="{FF2B5EF4-FFF2-40B4-BE49-F238E27FC236}">
              <a16:creationId xmlns:a16="http://schemas.microsoft.com/office/drawing/2014/main" id="{A7FCE1D3-F86F-C3AF-9606-666B7C6EA0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8"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82"/>
      <c r="B1" s="82"/>
      <c r="C1" s="82"/>
      <c r="D1" s="82"/>
      <c r="E1" s="82"/>
      <c r="F1" s="82"/>
      <c r="G1" s="82"/>
      <c r="H1" s="82"/>
      <c r="I1" s="82"/>
      <c r="J1" s="82"/>
      <c r="K1" s="82"/>
      <c r="L1" s="82"/>
      <c r="M1" s="82"/>
      <c r="N1" s="82"/>
      <c r="O1" s="82"/>
      <c r="P1" s="82"/>
      <c r="Q1" s="82"/>
      <c r="R1" s="82"/>
      <c r="S1" s="82"/>
      <c r="T1" s="82"/>
      <c r="U1" s="82"/>
      <c r="V1" s="82"/>
      <c r="W1" s="82"/>
      <c r="X1" s="82"/>
    </row>
    <row r="2" spans="1:24">
      <c r="A2" s="82"/>
      <c r="B2" s="82"/>
      <c r="C2" s="82"/>
      <c r="D2" s="82"/>
      <c r="E2" s="82"/>
      <c r="F2" s="82"/>
      <c r="G2" s="82"/>
      <c r="H2" s="82"/>
      <c r="I2" s="82"/>
      <c r="J2" s="82"/>
      <c r="K2" s="82"/>
      <c r="L2" s="82"/>
      <c r="M2" s="82"/>
      <c r="N2" s="82"/>
      <c r="O2" s="82"/>
      <c r="P2" s="82"/>
      <c r="Q2" s="82"/>
      <c r="R2" s="82"/>
      <c r="S2" s="82"/>
      <c r="T2" s="82"/>
      <c r="U2" s="82"/>
      <c r="V2" s="82"/>
      <c r="W2" s="82"/>
      <c r="X2" s="82"/>
    </row>
    <row r="3" spans="1:24">
      <c r="A3" s="82"/>
      <c r="B3" s="82"/>
      <c r="C3" s="82"/>
      <c r="D3" s="82"/>
      <c r="E3" s="82"/>
      <c r="F3" s="82"/>
      <c r="G3" s="82"/>
      <c r="H3" s="82"/>
      <c r="I3" s="82"/>
      <c r="J3" s="82"/>
      <c r="K3" s="82"/>
      <c r="L3" s="82"/>
      <c r="M3" s="82"/>
      <c r="N3" s="82"/>
      <c r="O3" s="82"/>
      <c r="P3" s="82"/>
      <c r="Q3" s="82"/>
      <c r="R3" s="82"/>
      <c r="S3" s="82"/>
      <c r="T3" s="82"/>
      <c r="U3" s="82"/>
      <c r="V3" s="82"/>
      <c r="W3" s="82"/>
      <c r="X3" s="82"/>
    </row>
    <row r="4" spans="1:24">
      <c r="A4" s="82"/>
      <c r="B4" s="82"/>
      <c r="C4" s="82"/>
      <c r="D4" s="82"/>
      <c r="E4" s="82"/>
      <c r="F4" s="82"/>
      <c r="G4" s="82"/>
      <c r="H4" s="82"/>
      <c r="I4" s="82"/>
      <c r="J4" s="82"/>
      <c r="K4" s="82"/>
      <c r="L4" s="82"/>
      <c r="M4" s="82"/>
      <c r="N4" s="82"/>
      <c r="O4" s="82"/>
      <c r="P4" s="82"/>
      <c r="Q4" s="82"/>
      <c r="R4" s="82"/>
      <c r="S4" s="82"/>
      <c r="T4" s="82"/>
      <c r="U4" s="82"/>
      <c r="V4" s="82"/>
      <c r="W4" s="82"/>
      <c r="X4" s="82"/>
    </row>
    <row r="5" spans="1:24">
      <c r="A5" s="82"/>
      <c r="B5" s="82"/>
      <c r="C5" s="82"/>
      <c r="D5" s="82"/>
      <c r="E5" s="82"/>
      <c r="F5" s="82"/>
      <c r="G5" s="82"/>
      <c r="H5" s="82"/>
      <c r="I5" s="82"/>
      <c r="J5" s="82"/>
      <c r="K5" s="82"/>
      <c r="L5" s="82"/>
      <c r="M5" s="82"/>
      <c r="N5" s="82"/>
      <c r="O5" s="82"/>
      <c r="P5" s="82"/>
      <c r="Q5" s="82"/>
      <c r="R5" s="82"/>
      <c r="S5" s="82"/>
      <c r="T5" s="82"/>
      <c r="U5" s="82"/>
      <c r="V5" s="82"/>
      <c r="W5" s="82"/>
      <c r="X5" s="82"/>
    </row>
    <row r="6" spans="1:24">
      <c r="A6" s="82"/>
      <c r="B6" s="82"/>
      <c r="C6" s="82"/>
      <c r="D6" s="82"/>
      <c r="E6" s="82"/>
      <c r="F6" s="82"/>
      <c r="G6" s="82"/>
      <c r="H6" s="82"/>
      <c r="I6" s="82"/>
      <c r="J6" s="82"/>
      <c r="K6" s="82"/>
      <c r="L6" s="82"/>
      <c r="M6" s="82"/>
      <c r="N6" s="82"/>
      <c r="O6" s="82"/>
      <c r="P6" s="82"/>
      <c r="Q6" s="82"/>
      <c r="R6" s="82"/>
      <c r="S6" s="82"/>
      <c r="T6" s="82"/>
      <c r="U6" s="82"/>
      <c r="V6" s="82"/>
      <c r="W6" s="82"/>
      <c r="X6" s="82"/>
    </row>
    <row r="7" spans="1:24">
      <c r="A7" s="82"/>
      <c r="B7" s="79"/>
      <c r="C7" s="82"/>
      <c r="D7" s="82"/>
      <c r="E7" s="82"/>
      <c r="F7" s="82"/>
      <c r="G7" s="82"/>
      <c r="H7" s="82"/>
      <c r="I7" s="82"/>
      <c r="J7" s="82"/>
      <c r="K7" s="82"/>
      <c r="L7" s="82"/>
      <c r="M7" s="82"/>
      <c r="N7" s="82"/>
      <c r="O7" s="82"/>
      <c r="P7" s="82"/>
      <c r="Q7" s="82"/>
      <c r="R7" s="82"/>
      <c r="S7" s="82"/>
      <c r="T7" s="82"/>
      <c r="U7" s="82"/>
      <c r="V7" s="82"/>
      <c r="W7" s="82"/>
      <c r="X7" s="82"/>
    </row>
    <row r="8" spans="1:24">
      <c r="A8" s="82"/>
      <c r="B8" s="79"/>
      <c r="C8" s="82"/>
      <c r="D8" s="82"/>
      <c r="E8" s="82"/>
      <c r="F8" s="82"/>
      <c r="G8" s="82"/>
      <c r="H8" s="82"/>
      <c r="I8" s="82"/>
      <c r="J8" s="82"/>
      <c r="K8" s="82"/>
      <c r="L8" s="82"/>
      <c r="M8" s="82"/>
      <c r="N8" s="82"/>
      <c r="O8" s="82"/>
      <c r="P8" s="80"/>
      <c r="Q8" s="82"/>
      <c r="R8" s="82"/>
      <c r="S8" s="82"/>
      <c r="T8" s="82"/>
      <c r="U8" s="82"/>
      <c r="V8" s="82"/>
      <c r="W8" s="82"/>
      <c r="X8" s="82"/>
    </row>
    <row r="9" spans="1:24">
      <c r="A9" s="82"/>
      <c r="B9" s="79"/>
      <c r="C9" s="82"/>
      <c r="D9" s="82"/>
      <c r="E9" s="82"/>
      <c r="F9" s="82"/>
      <c r="G9" s="82"/>
      <c r="H9" s="82"/>
      <c r="I9" s="82"/>
      <c r="J9" s="82"/>
      <c r="K9" s="82"/>
      <c r="L9" s="82"/>
      <c r="M9" s="82"/>
      <c r="N9" s="82"/>
      <c r="O9" s="82"/>
      <c r="P9" s="80"/>
      <c r="Q9" s="82"/>
      <c r="R9" s="82"/>
      <c r="S9" s="82"/>
      <c r="T9" s="82"/>
      <c r="U9" s="82"/>
      <c r="V9" s="82"/>
      <c r="W9" s="82"/>
      <c r="X9" s="82"/>
    </row>
    <row r="10" spans="1:24">
      <c r="A10" s="82"/>
      <c r="B10" s="79"/>
      <c r="C10" s="82"/>
      <c r="D10" s="82"/>
      <c r="E10" s="82"/>
      <c r="F10" s="82"/>
      <c r="G10" s="82"/>
      <c r="H10" s="82"/>
      <c r="I10" s="82"/>
      <c r="J10" s="82"/>
      <c r="K10" s="82"/>
      <c r="L10" s="82"/>
      <c r="M10" s="82"/>
      <c r="N10" s="82"/>
      <c r="O10" s="82"/>
      <c r="P10" s="80"/>
      <c r="Q10" s="82"/>
      <c r="R10" s="82"/>
      <c r="S10" s="82"/>
      <c r="T10" s="82"/>
      <c r="U10" s="82"/>
      <c r="V10" s="82"/>
      <c r="W10" s="82"/>
      <c r="X10" s="82"/>
    </row>
    <row r="11" spans="1:24" ht="39.75" customHeight="1">
      <c r="A11" s="82"/>
      <c r="B11" s="79"/>
      <c r="C11" s="218"/>
      <c r="D11" s="218"/>
      <c r="E11" s="223"/>
      <c r="F11" s="224" t="s">
        <v>128</v>
      </c>
      <c r="G11" s="589">
        <v>2025</v>
      </c>
      <c r="H11" s="589"/>
      <c r="I11" s="82"/>
      <c r="J11" s="82"/>
      <c r="K11" s="82"/>
      <c r="L11" s="82"/>
      <c r="M11" s="82"/>
      <c r="N11" s="82"/>
      <c r="O11" s="82"/>
      <c r="P11" s="80"/>
      <c r="Q11" s="82"/>
      <c r="R11" s="82"/>
      <c r="S11" s="82"/>
      <c r="T11" s="82"/>
      <c r="U11" s="82"/>
      <c r="V11" s="82"/>
      <c r="W11" s="82"/>
      <c r="X11" s="82"/>
    </row>
    <row r="12" spans="1:24" ht="26.25" customHeight="1">
      <c r="A12" s="82"/>
      <c r="B12" s="79"/>
      <c r="C12" s="82"/>
      <c r="D12" s="82"/>
      <c r="E12" s="225"/>
      <c r="F12" s="590" t="s">
        <v>188</v>
      </c>
      <c r="G12" s="591"/>
      <c r="H12" s="82"/>
      <c r="I12" s="82"/>
      <c r="J12" s="82"/>
      <c r="K12" s="82"/>
      <c r="L12" s="82"/>
      <c r="M12" s="82"/>
      <c r="N12" s="82"/>
      <c r="O12" s="82"/>
      <c r="P12" s="80"/>
      <c r="Q12" s="82"/>
      <c r="R12" s="82"/>
      <c r="S12" s="82"/>
      <c r="T12" s="82"/>
      <c r="U12" s="82"/>
      <c r="V12" s="82"/>
      <c r="W12" s="82"/>
      <c r="X12" s="82"/>
    </row>
    <row r="13" spans="1:24" ht="53.25" customHeight="1">
      <c r="A13" s="82"/>
      <c r="B13" s="79"/>
      <c r="C13" s="82"/>
      <c r="D13" s="82"/>
      <c r="E13" s="82"/>
      <c r="F13" s="82"/>
      <c r="G13" s="82"/>
      <c r="H13" s="82"/>
      <c r="I13" s="82"/>
      <c r="J13" s="82"/>
      <c r="K13" s="82"/>
      <c r="L13" s="82"/>
      <c r="M13" s="82"/>
      <c r="N13" s="82"/>
      <c r="O13" s="82"/>
      <c r="P13" s="80"/>
      <c r="Q13" s="82"/>
      <c r="R13" s="82"/>
      <c r="S13" s="82"/>
      <c r="T13" s="82"/>
      <c r="U13" s="82"/>
      <c r="V13" s="82"/>
      <c r="W13" s="82"/>
      <c r="X13" s="82"/>
    </row>
    <row r="14" spans="1:24">
      <c r="A14" s="82"/>
      <c r="B14" s="79"/>
      <c r="C14" s="82"/>
      <c r="D14" s="82"/>
      <c r="E14" s="82"/>
      <c r="F14" s="82"/>
      <c r="G14" s="82"/>
      <c r="H14" s="82"/>
      <c r="I14" s="82"/>
      <c r="J14" s="82"/>
      <c r="K14" s="82"/>
      <c r="L14" s="82"/>
      <c r="M14" s="82"/>
      <c r="N14" s="82"/>
      <c r="O14" s="82"/>
      <c r="P14" s="80"/>
      <c r="Q14" s="82"/>
      <c r="R14" s="82"/>
      <c r="S14" s="82"/>
      <c r="T14" s="82"/>
      <c r="U14" s="82"/>
      <c r="V14" s="82"/>
      <c r="W14" s="82"/>
      <c r="X14" s="82"/>
    </row>
    <row r="15" spans="1:24" ht="18.75">
      <c r="A15" s="82"/>
      <c r="B15" s="79"/>
      <c r="C15" s="82"/>
      <c r="D15" s="82"/>
      <c r="E15" s="222"/>
      <c r="F15" s="587" t="s">
        <v>129</v>
      </c>
      <c r="G15" s="587"/>
      <c r="H15" s="82"/>
      <c r="I15" s="82"/>
      <c r="J15" s="82"/>
      <c r="K15" s="82"/>
      <c r="L15" s="82"/>
      <c r="M15" s="82"/>
      <c r="N15" s="82"/>
      <c r="O15" s="82"/>
      <c r="P15" s="80"/>
      <c r="Q15" s="82"/>
      <c r="R15" s="82"/>
      <c r="S15" s="82"/>
      <c r="T15" s="82"/>
      <c r="U15" s="82"/>
      <c r="V15" s="82"/>
      <c r="W15" s="82"/>
      <c r="X15" s="82"/>
    </row>
    <row r="16" spans="1:24" ht="18.75">
      <c r="A16" s="82"/>
      <c r="B16" s="79"/>
      <c r="C16" s="82"/>
      <c r="D16" s="82"/>
      <c r="E16" s="222"/>
      <c r="F16" s="587" t="s">
        <v>130</v>
      </c>
      <c r="G16" s="587"/>
      <c r="H16" s="82"/>
      <c r="I16" s="82"/>
      <c r="J16" s="82"/>
      <c r="K16" s="82"/>
      <c r="L16" s="82"/>
      <c r="M16" s="82"/>
      <c r="N16" s="82"/>
      <c r="O16" s="82"/>
      <c r="P16" s="80"/>
      <c r="Q16" s="82"/>
      <c r="R16" s="82"/>
      <c r="S16" s="82"/>
      <c r="T16" s="82"/>
      <c r="U16" s="82"/>
      <c r="V16" s="82"/>
      <c r="W16" s="82"/>
      <c r="X16" s="82"/>
    </row>
    <row r="17" spans="1:24" ht="21" customHeight="1">
      <c r="A17" s="82"/>
      <c r="B17" s="79"/>
      <c r="C17" s="82"/>
      <c r="D17" s="82"/>
      <c r="E17" s="219"/>
      <c r="F17" s="220"/>
      <c r="G17" s="220"/>
      <c r="H17" s="82"/>
      <c r="I17" s="82"/>
      <c r="J17" s="82"/>
      <c r="K17" s="82"/>
      <c r="L17" s="82"/>
      <c r="M17" s="82"/>
      <c r="N17" s="82"/>
      <c r="O17" s="82"/>
      <c r="P17" s="80"/>
      <c r="Q17" s="82"/>
      <c r="R17" s="82"/>
      <c r="S17" s="82"/>
      <c r="T17" s="82"/>
      <c r="U17" s="82"/>
      <c r="V17" s="82"/>
      <c r="W17" s="82"/>
      <c r="X17" s="82"/>
    </row>
    <row r="18" spans="1:24" ht="18.75">
      <c r="A18" s="82"/>
      <c r="B18" s="79"/>
      <c r="C18" s="82"/>
      <c r="D18" s="82"/>
      <c r="E18" s="221"/>
      <c r="F18" s="588" t="s">
        <v>131</v>
      </c>
      <c r="G18" s="588"/>
      <c r="H18" s="82"/>
      <c r="I18" s="82"/>
      <c r="J18" s="82"/>
      <c r="K18" s="82"/>
      <c r="L18" s="82"/>
      <c r="M18" s="82"/>
      <c r="N18" s="82"/>
      <c r="O18" s="82"/>
      <c r="P18" s="80"/>
      <c r="Q18" s="82"/>
      <c r="R18" s="82"/>
      <c r="S18" s="82"/>
      <c r="T18" s="82"/>
      <c r="U18" s="82"/>
      <c r="V18" s="82"/>
      <c r="W18" s="82"/>
      <c r="X18" s="82"/>
    </row>
    <row r="19" spans="1:24">
      <c r="A19" s="82"/>
      <c r="B19" s="79"/>
      <c r="C19" s="82"/>
      <c r="D19" s="82"/>
      <c r="E19" s="82"/>
      <c r="F19" s="82"/>
      <c r="G19" s="82"/>
      <c r="H19" s="82"/>
      <c r="I19" s="82"/>
      <c r="J19" s="82"/>
      <c r="K19" s="82"/>
      <c r="L19" s="82"/>
      <c r="M19" s="82"/>
      <c r="N19" s="82"/>
      <c r="O19" s="82"/>
      <c r="P19" s="80"/>
      <c r="Q19" s="82"/>
      <c r="R19" s="82"/>
      <c r="S19" s="82"/>
      <c r="T19" s="82"/>
      <c r="U19" s="82"/>
      <c r="V19" s="82"/>
      <c r="W19" s="82"/>
      <c r="X19" s="82"/>
    </row>
    <row r="20" spans="1:24">
      <c r="A20" s="82"/>
      <c r="B20" s="79"/>
      <c r="C20" s="82"/>
      <c r="D20" s="82"/>
      <c r="E20" s="82"/>
      <c r="F20" s="82"/>
      <c r="G20" s="82"/>
      <c r="H20" s="82"/>
      <c r="I20" s="82"/>
      <c r="J20" s="82"/>
      <c r="K20" s="82"/>
      <c r="L20" s="82"/>
      <c r="M20" s="82"/>
      <c r="N20" s="82"/>
      <c r="O20" s="82"/>
      <c r="P20" s="80"/>
      <c r="Q20" s="82"/>
      <c r="R20" s="82"/>
      <c r="S20" s="82"/>
      <c r="T20" s="82"/>
      <c r="U20" s="82"/>
      <c r="V20" s="82"/>
      <c r="W20" s="82"/>
      <c r="X20" s="82"/>
    </row>
    <row r="21" spans="1:24">
      <c r="A21" s="82"/>
      <c r="B21" s="79"/>
      <c r="C21" s="82"/>
      <c r="D21" s="82"/>
      <c r="E21" s="82"/>
      <c r="F21" s="82"/>
      <c r="G21" s="82"/>
      <c r="H21" s="82"/>
      <c r="I21" s="82"/>
      <c r="J21" s="82"/>
      <c r="K21" s="82"/>
      <c r="L21" s="82"/>
      <c r="M21" s="82"/>
      <c r="N21" s="82"/>
      <c r="O21" s="82"/>
      <c r="P21" s="80"/>
      <c r="Q21" s="82"/>
      <c r="R21" s="82"/>
      <c r="S21" s="82"/>
      <c r="T21" s="82"/>
      <c r="U21" s="82"/>
      <c r="V21" s="82"/>
      <c r="W21" s="82"/>
      <c r="X21" s="82"/>
    </row>
    <row r="22" spans="1:24">
      <c r="A22" s="82"/>
      <c r="B22" s="79"/>
      <c r="C22" s="82"/>
      <c r="D22" s="82"/>
      <c r="E22" s="82"/>
      <c r="F22" s="82"/>
      <c r="G22" s="82"/>
      <c r="H22" s="82"/>
      <c r="I22" s="82"/>
      <c r="J22" s="82"/>
      <c r="K22" s="82"/>
      <c r="L22" s="82"/>
      <c r="M22" s="82"/>
      <c r="N22" s="82"/>
      <c r="O22" s="82"/>
      <c r="P22" s="80"/>
      <c r="Q22" s="82"/>
      <c r="R22" s="82"/>
      <c r="S22" s="82"/>
      <c r="T22" s="82"/>
      <c r="U22" s="82"/>
      <c r="V22" s="82"/>
      <c r="W22" s="82"/>
      <c r="X22" s="82"/>
    </row>
    <row r="23" spans="1:24">
      <c r="A23" s="82"/>
      <c r="B23" s="79"/>
      <c r="C23" s="82"/>
      <c r="D23" s="82"/>
      <c r="E23" s="82"/>
      <c r="F23" s="82"/>
      <c r="G23" s="82"/>
      <c r="H23" s="82"/>
      <c r="I23" s="82"/>
      <c r="J23" s="82"/>
      <c r="K23" s="82"/>
      <c r="L23" s="82"/>
      <c r="M23" s="82"/>
      <c r="N23" s="82"/>
      <c r="O23" s="82"/>
      <c r="P23" s="80"/>
      <c r="Q23" s="82"/>
      <c r="R23" s="82"/>
      <c r="S23" s="82"/>
      <c r="T23" s="82"/>
      <c r="U23" s="82"/>
      <c r="V23" s="82"/>
      <c r="W23" s="82"/>
      <c r="X23" s="82"/>
    </row>
    <row r="24" spans="1:24">
      <c r="A24" s="82"/>
      <c r="B24" s="79"/>
      <c r="C24" s="82"/>
      <c r="D24" s="82"/>
      <c r="E24" s="82"/>
      <c r="F24" s="82"/>
      <c r="G24" s="82"/>
      <c r="H24" s="82"/>
      <c r="I24" s="82"/>
      <c r="J24" s="82"/>
      <c r="K24" s="82"/>
      <c r="L24" s="82"/>
      <c r="M24" s="82"/>
      <c r="N24" s="82"/>
      <c r="O24" s="82"/>
      <c r="P24" s="80"/>
      <c r="Q24" s="82"/>
      <c r="R24" s="82"/>
      <c r="S24" s="82"/>
      <c r="T24" s="82"/>
      <c r="U24" s="82"/>
      <c r="V24" s="82"/>
      <c r="W24" s="82"/>
      <c r="X24" s="82"/>
    </row>
    <row r="25" spans="1:24">
      <c r="A25" s="82"/>
      <c r="B25" s="79"/>
      <c r="C25" s="82"/>
      <c r="D25" s="82"/>
      <c r="E25" s="82"/>
      <c r="F25" s="82"/>
      <c r="G25" s="82"/>
      <c r="H25" s="82"/>
      <c r="I25" s="82"/>
      <c r="J25" s="82"/>
      <c r="K25" s="82"/>
      <c r="L25" s="82"/>
      <c r="M25" s="82"/>
      <c r="N25" s="82"/>
      <c r="O25" s="82"/>
      <c r="P25" s="80"/>
      <c r="Q25" s="82"/>
      <c r="R25" s="82"/>
      <c r="S25" s="82"/>
      <c r="T25" s="82"/>
      <c r="U25" s="82"/>
      <c r="V25" s="82"/>
      <c r="W25" s="82"/>
      <c r="X25" s="82"/>
    </row>
    <row r="26" spans="1:24">
      <c r="A26" s="82"/>
      <c r="B26" s="79"/>
      <c r="C26" s="82"/>
      <c r="D26" s="82"/>
      <c r="E26" s="82"/>
      <c r="F26" s="82"/>
      <c r="G26" s="82"/>
      <c r="H26" s="82"/>
      <c r="I26" s="82"/>
      <c r="J26" s="82"/>
      <c r="K26" s="82"/>
      <c r="L26" s="82"/>
      <c r="M26" s="82"/>
      <c r="N26" s="82"/>
      <c r="O26" s="82"/>
      <c r="P26" s="80"/>
      <c r="Q26" s="82"/>
      <c r="R26" s="82"/>
      <c r="S26" s="82"/>
      <c r="T26" s="82"/>
      <c r="U26" s="82"/>
      <c r="V26" s="82"/>
      <c r="W26" s="82"/>
      <c r="X26" s="82"/>
    </row>
    <row r="27" spans="1:24">
      <c r="A27" s="82"/>
      <c r="B27" s="79"/>
      <c r="C27" s="82"/>
      <c r="D27" s="82"/>
      <c r="E27" s="82"/>
      <c r="F27" s="82"/>
      <c r="G27" s="82"/>
      <c r="H27" s="82"/>
      <c r="I27" s="82"/>
      <c r="J27" s="82"/>
      <c r="K27" s="82"/>
      <c r="L27" s="82"/>
      <c r="M27" s="82"/>
      <c r="N27" s="82"/>
      <c r="O27" s="82"/>
      <c r="P27" s="80"/>
      <c r="Q27" s="82"/>
      <c r="R27" s="82"/>
      <c r="S27" s="82"/>
      <c r="T27" s="82"/>
      <c r="U27" s="82"/>
      <c r="V27" s="82"/>
      <c r="W27" s="82"/>
      <c r="X27" s="82"/>
    </row>
    <row r="28" spans="1:24">
      <c r="A28" s="82"/>
      <c r="B28" s="79"/>
      <c r="C28" s="82"/>
      <c r="D28" s="82"/>
      <c r="E28" s="82"/>
      <c r="F28" s="82"/>
      <c r="G28" s="82"/>
      <c r="H28" s="82"/>
      <c r="I28" s="82"/>
      <c r="J28" s="82"/>
      <c r="K28" s="82"/>
      <c r="L28" s="82"/>
      <c r="M28" s="82"/>
      <c r="N28" s="82"/>
      <c r="O28" s="82"/>
      <c r="P28" s="80"/>
      <c r="Q28" s="82"/>
      <c r="R28" s="82"/>
      <c r="S28" s="82"/>
      <c r="T28" s="82"/>
      <c r="U28" s="82"/>
      <c r="V28" s="82"/>
      <c r="W28" s="82"/>
      <c r="X28" s="82"/>
    </row>
    <row r="29" spans="1:24">
      <c r="A29" s="82"/>
      <c r="B29" s="79"/>
      <c r="C29" s="82"/>
      <c r="D29" s="82"/>
      <c r="E29" s="82"/>
      <c r="F29" s="82"/>
      <c r="G29" s="82"/>
      <c r="H29" s="82"/>
      <c r="I29" s="82"/>
      <c r="J29" s="82"/>
      <c r="K29" s="82"/>
      <c r="L29" s="82"/>
      <c r="M29" s="82"/>
      <c r="N29" s="82"/>
      <c r="O29" s="82"/>
      <c r="P29" s="80"/>
      <c r="Q29" s="82"/>
      <c r="R29" s="82"/>
      <c r="S29" s="82"/>
      <c r="T29" s="82"/>
      <c r="U29" s="82"/>
      <c r="V29" s="82"/>
      <c r="W29" s="82"/>
      <c r="X29" s="82"/>
    </row>
    <row r="30" spans="1:24">
      <c r="A30" s="82"/>
      <c r="B30" s="79"/>
      <c r="C30" s="82"/>
      <c r="D30" s="82"/>
      <c r="E30" s="82"/>
      <c r="F30" s="82"/>
      <c r="G30" s="82"/>
      <c r="H30" s="82"/>
      <c r="I30" s="82"/>
      <c r="J30" s="82"/>
      <c r="K30" s="82"/>
      <c r="L30" s="82"/>
      <c r="M30" s="82"/>
      <c r="N30" s="82"/>
      <c r="O30" s="82"/>
      <c r="P30" s="80"/>
      <c r="Q30" s="82"/>
      <c r="R30" s="82"/>
      <c r="S30" s="82"/>
      <c r="T30" s="82"/>
      <c r="U30" s="82"/>
      <c r="V30" s="82"/>
      <c r="W30" s="82"/>
      <c r="X30" s="82"/>
    </row>
    <row r="31" spans="1:24">
      <c r="A31" s="82"/>
      <c r="B31" s="79"/>
      <c r="C31" s="82"/>
      <c r="D31" s="82"/>
      <c r="E31" s="82"/>
      <c r="F31" s="82"/>
      <c r="G31" s="82"/>
      <c r="H31" s="82"/>
      <c r="I31" s="82"/>
      <c r="J31" s="82"/>
      <c r="K31" s="82"/>
      <c r="L31" s="82"/>
      <c r="M31" s="82"/>
      <c r="N31" s="82"/>
      <c r="O31" s="82"/>
      <c r="P31" s="80"/>
      <c r="Q31" s="82"/>
      <c r="R31" s="82"/>
      <c r="S31" s="82"/>
      <c r="T31" s="82"/>
      <c r="U31" s="82"/>
      <c r="V31" s="82"/>
      <c r="W31" s="82"/>
      <c r="X31" s="82"/>
    </row>
    <row r="32" spans="1:24">
      <c r="A32" s="82"/>
      <c r="B32" s="79"/>
      <c r="C32" s="82"/>
      <c r="D32" s="82"/>
      <c r="E32" s="82"/>
      <c r="F32" s="82"/>
      <c r="G32" s="82"/>
      <c r="H32" s="82"/>
      <c r="I32" s="82"/>
      <c r="J32" s="82"/>
      <c r="K32" s="82"/>
      <c r="L32" s="82"/>
      <c r="M32" s="82"/>
      <c r="N32" s="82"/>
      <c r="O32" s="82"/>
      <c r="P32" s="80"/>
      <c r="Q32" s="82"/>
      <c r="R32" s="82"/>
      <c r="S32" s="82"/>
      <c r="T32" s="82"/>
      <c r="U32" s="82"/>
      <c r="V32" s="82"/>
      <c r="W32" s="82"/>
      <c r="X32" s="82"/>
    </row>
    <row r="33" spans="1:24" ht="23.25" customHeight="1">
      <c r="A33" s="82"/>
      <c r="B33" s="79"/>
      <c r="C33" s="82"/>
      <c r="D33" s="82"/>
      <c r="E33" s="82"/>
      <c r="F33" s="82"/>
      <c r="G33" s="82"/>
      <c r="H33" s="82"/>
      <c r="I33" s="82"/>
      <c r="J33" s="82"/>
      <c r="K33" s="82"/>
      <c r="L33" s="82"/>
      <c r="M33" s="82"/>
      <c r="N33" s="82"/>
      <c r="O33" s="82"/>
      <c r="P33" s="80"/>
      <c r="Q33" s="82"/>
      <c r="R33" s="82"/>
      <c r="S33" s="82"/>
      <c r="T33" s="82"/>
      <c r="U33" s="82"/>
      <c r="V33" s="82"/>
      <c r="W33" s="82"/>
      <c r="X33" s="82"/>
    </row>
    <row r="34" spans="1:24">
      <c r="A34" s="82"/>
      <c r="B34" s="79"/>
      <c r="C34" s="82"/>
      <c r="D34" s="82"/>
      <c r="E34" s="82"/>
      <c r="F34" s="82"/>
      <c r="G34" s="82"/>
      <c r="H34" s="82"/>
      <c r="I34" s="82"/>
      <c r="J34" s="82"/>
      <c r="K34" s="82"/>
      <c r="L34" s="82"/>
      <c r="M34" s="82"/>
      <c r="N34" s="82"/>
      <c r="O34" s="82"/>
      <c r="P34" s="80"/>
      <c r="Q34" s="82"/>
      <c r="R34" s="82"/>
      <c r="S34" s="82"/>
      <c r="T34" s="82"/>
      <c r="U34" s="82"/>
      <c r="V34" s="82"/>
      <c r="W34" s="82"/>
      <c r="X34" s="82"/>
    </row>
    <row r="35" spans="1:24">
      <c r="A35" s="82"/>
      <c r="B35" s="79"/>
      <c r="C35" s="82"/>
      <c r="D35" s="82"/>
      <c r="E35" s="82"/>
      <c r="F35" s="82"/>
      <c r="G35" s="82"/>
      <c r="H35" s="82"/>
      <c r="I35" s="82"/>
      <c r="J35" s="82"/>
      <c r="K35" s="82"/>
      <c r="L35" s="82"/>
      <c r="M35" s="82"/>
      <c r="N35" s="82"/>
      <c r="O35" s="82"/>
      <c r="P35" s="80"/>
      <c r="Q35" s="82"/>
      <c r="R35" s="82"/>
      <c r="S35" s="82"/>
      <c r="T35" s="82"/>
      <c r="U35" s="82"/>
      <c r="V35" s="82"/>
      <c r="W35" s="82"/>
      <c r="X35" s="82"/>
    </row>
    <row r="36" spans="1:24">
      <c r="A36" s="82"/>
      <c r="B36" s="79"/>
      <c r="C36" s="82"/>
      <c r="D36" s="82"/>
      <c r="E36" s="82"/>
      <c r="F36" s="82"/>
      <c r="G36" s="82"/>
      <c r="H36" s="82"/>
      <c r="I36" s="82"/>
      <c r="J36" s="82"/>
      <c r="K36" s="82"/>
      <c r="L36" s="82"/>
      <c r="M36" s="82"/>
      <c r="N36" s="82"/>
      <c r="O36" s="82"/>
      <c r="P36" s="80"/>
      <c r="Q36" s="82"/>
      <c r="R36" s="82"/>
      <c r="S36" s="82"/>
      <c r="T36" s="82"/>
      <c r="U36" s="82"/>
      <c r="V36" s="82"/>
      <c r="W36" s="82"/>
      <c r="X36" s="82"/>
    </row>
    <row r="37" spans="1:24">
      <c r="A37" s="82"/>
      <c r="B37" s="79"/>
      <c r="C37" s="82"/>
      <c r="D37" s="82"/>
      <c r="E37" s="82"/>
      <c r="F37" s="82"/>
      <c r="G37" s="82"/>
      <c r="H37" s="82"/>
      <c r="I37" s="82"/>
      <c r="J37" s="82"/>
      <c r="K37" s="82"/>
      <c r="L37" s="82"/>
      <c r="M37" s="82"/>
      <c r="N37" s="82"/>
      <c r="O37" s="82"/>
      <c r="P37" s="80"/>
      <c r="Q37" s="82"/>
      <c r="R37" s="82"/>
      <c r="S37" s="82"/>
      <c r="T37" s="82"/>
      <c r="U37" s="82"/>
      <c r="V37" s="82"/>
      <c r="W37" s="82"/>
      <c r="X37" s="82"/>
    </row>
    <row r="38" spans="1:24">
      <c r="A38" s="82"/>
      <c r="B38" s="79"/>
      <c r="C38" s="82"/>
      <c r="D38" s="82"/>
      <c r="E38" s="82"/>
      <c r="F38" s="82"/>
      <c r="G38" s="82"/>
      <c r="H38" s="82"/>
      <c r="I38" s="82"/>
      <c r="J38" s="82"/>
      <c r="K38" s="82"/>
      <c r="L38" s="82"/>
      <c r="M38" s="82"/>
      <c r="N38" s="82"/>
      <c r="O38" s="82"/>
      <c r="P38" s="80"/>
      <c r="Q38" s="82"/>
      <c r="R38" s="82"/>
      <c r="S38" s="82"/>
      <c r="T38" s="82"/>
      <c r="U38" s="82"/>
      <c r="V38" s="82"/>
      <c r="W38" s="82"/>
      <c r="X38" s="82"/>
    </row>
    <row r="39" spans="1:24">
      <c r="A39" s="82"/>
      <c r="B39" s="79"/>
      <c r="C39" s="82"/>
      <c r="D39" s="82"/>
      <c r="E39" s="82"/>
      <c r="F39" s="82"/>
      <c r="G39" s="82"/>
      <c r="H39" s="82"/>
      <c r="I39" s="82"/>
      <c r="J39" s="82"/>
      <c r="K39" s="82"/>
      <c r="L39" s="82"/>
      <c r="M39" s="82"/>
      <c r="N39" s="82"/>
      <c r="O39" s="82"/>
      <c r="P39" s="80"/>
      <c r="Q39" s="82"/>
      <c r="R39" s="82"/>
      <c r="S39" s="82"/>
      <c r="T39" s="82"/>
      <c r="U39" s="82"/>
      <c r="V39" s="82"/>
      <c r="W39" s="82"/>
      <c r="X39" s="82"/>
    </row>
    <row r="40" spans="1:24">
      <c r="C40" s="82"/>
      <c r="D40" s="82"/>
      <c r="E40" s="82"/>
      <c r="F40" s="82"/>
      <c r="G40" s="82"/>
      <c r="H40" s="82"/>
      <c r="I40" s="82"/>
      <c r="J40" s="82"/>
      <c r="K40" s="82"/>
      <c r="L40" s="82"/>
      <c r="M40" s="82"/>
      <c r="N40" s="82"/>
      <c r="O40" s="82"/>
    </row>
    <row r="41" spans="1:24">
      <c r="I41" s="104"/>
      <c r="J41" s="104"/>
      <c r="K41" s="104"/>
      <c r="L41" s="104"/>
      <c r="M41" s="104"/>
      <c r="N41" s="104"/>
      <c r="O41" s="82"/>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topLeftCell="A5" zoomScale="55" zoomScaleNormal="70" zoomScaleSheetLayoutView="55" zoomScalePageLayoutView="25" workbookViewId="0">
      <selection activeCell="U24" sqref="U24"/>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27"/>
      <c r="B1" s="28"/>
      <c r="C1" s="28"/>
      <c r="D1" s="28"/>
      <c r="E1" s="28"/>
      <c r="F1" s="28"/>
      <c r="G1" s="28"/>
      <c r="H1" s="28"/>
      <c r="I1" s="28"/>
      <c r="J1" s="28"/>
      <c r="K1" s="28"/>
      <c r="L1" s="28"/>
      <c r="M1" s="28"/>
      <c r="N1" s="28"/>
      <c r="O1" s="28"/>
      <c r="P1" s="28"/>
      <c r="Q1" s="28"/>
      <c r="R1" s="28"/>
      <c r="S1" s="21"/>
    </row>
    <row r="2" spans="1:19" ht="37.35" customHeight="1">
      <c r="A2" s="23"/>
      <c r="B2" s="377"/>
      <c r="C2" s="377"/>
      <c r="D2" s="377"/>
      <c r="E2" s="377"/>
      <c r="F2" s="377"/>
      <c r="G2" s="377"/>
      <c r="H2" s="377"/>
      <c r="I2" s="377"/>
      <c r="J2" s="603" t="s">
        <v>135</v>
      </c>
      <c r="K2" s="603"/>
      <c r="L2" s="603"/>
      <c r="M2" s="603"/>
      <c r="N2" s="603"/>
      <c r="O2" s="603"/>
      <c r="P2" s="377"/>
      <c r="Q2" s="377"/>
      <c r="R2" s="377"/>
      <c r="S2" s="22"/>
    </row>
    <row r="3" spans="1:19" ht="7.35" customHeight="1">
      <c r="A3" s="23"/>
      <c r="B3" s="29"/>
      <c r="C3" s="29"/>
      <c r="D3" s="29"/>
      <c r="E3" s="29"/>
      <c r="F3" s="29"/>
      <c r="G3" s="29"/>
      <c r="H3" s="29"/>
      <c r="I3" s="29"/>
      <c r="J3" s="29"/>
      <c r="K3" s="29"/>
      <c r="L3" s="29"/>
      <c r="M3" s="29"/>
      <c r="N3" s="29"/>
      <c r="O3" s="29"/>
      <c r="P3" s="29"/>
      <c r="Q3" s="29"/>
      <c r="R3" s="29"/>
      <c r="S3" s="22"/>
    </row>
    <row r="4" spans="1:19" ht="33" customHeight="1">
      <c r="A4" s="23"/>
      <c r="B4" s="378" t="s">
        <v>132</v>
      </c>
      <c r="C4" s="378"/>
      <c r="D4" s="378"/>
      <c r="E4" s="378"/>
      <c r="F4" s="378"/>
      <c r="G4" s="378"/>
      <c r="H4" s="378"/>
      <c r="I4" s="378" t="s">
        <v>133</v>
      </c>
      <c r="J4" s="602" t="s">
        <v>134</v>
      </c>
      <c r="K4" s="602"/>
      <c r="L4" s="602"/>
      <c r="M4" s="602"/>
      <c r="N4" s="602"/>
      <c r="O4" s="602"/>
      <c r="P4" s="379"/>
      <c r="Q4" s="379"/>
      <c r="R4" s="380"/>
      <c r="S4" s="22"/>
    </row>
    <row r="5" spans="1:19" ht="29.25" customHeight="1">
      <c r="A5" s="23"/>
      <c r="B5" s="381"/>
      <c r="C5" s="381"/>
      <c r="D5" s="381"/>
      <c r="E5" s="381"/>
      <c r="F5" s="381"/>
      <c r="G5" s="381"/>
      <c r="H5" s="381"/>
      <c r="I5" s="382"/>
      <c r="J5" s="595" t="s">
        <v>117</v>
      </c>
      <c r="K5" s="595"/>
      <c r="L5" s="595"/>
      <c r="M5" s="595"/>
      <c r="N5" s="607" t="s">
        <v>188</v>
      </c>
      <c r="O5" s="607"/>
      <c r="P5" s="607"/>
      <c r="Q5" s="383"/>
      <c r="R5" s="383"/>
      <c r="S5" s="22"/>
    </row>
    <row r="6" spans="1:19" ht="23.25" customHeight="1" thickBot="1">
      <c r="A6" s="23"/>
      <c r="B6" s="29"/>
      <c r="C6" s="29"/>
      <c r="D6" s="29"/>
      <c r="E6" s="29"/>
      <c r="F6" s="29"/>
      <c r="G6" s="29"/>
      <c r="H6" s="29"/>
      <c r="I6" s="29"/>
      <c r="J6" s="29"/>
      <c r="K6" s="29"/>
      <c r="L6" s="29"/>
      <c r="M6" s="29"/>
      <c r="N6" s="29"/>
      <c r="O6" s="29"/>
      <c r="P6" s="29"/>
      <c r="Q6" s="29"/>
      <c r="R6" s="29"/>
      <c r="S6" s="22"/>
    </row>
    <row r="7" spans="1:19" ht="12.75" hidden="1" customHeight="1">
      <c r="A7" s="23"/>
    </row>
    <row r="8" spans="1:19" ht="45.75" customHeight="1" thickBot="1">
      <c r="A8" s="23"/>
      <c r="C8" s="598" t="str">
        <f>_xlfn.CONCAT("PERIODO ", N5)</f>
        <v>PERIODO JUNIO - 2025</v>
      </c>
      <c r="D8" s="599"/>
      <c r="E8" s="600"/>
      <c r="G8" s="56" t="s">
        <v>1</v>
      </c>
      <c r="H8" s="40"/>
      <c r="I8" s="40"/>
      <c r="J8" s="40"/>
      <c r="K8" s="41" t="s">
        <v>2</v>
      </c>
      <c r="L8" s="40"/>
      <c r="M8" s="41" t="s">
        <v>3</v>
      </c>
      <c r="N8" s="40"/>
      <c r="O8" s="41" t="s">
        <v>4</v>
      </c>
      <c r="P8" s="40"/>
      <c r="Q8" s="40"/>
      <c r="R8" s="55" t="s">
        <v>5</v>
      </c>
      <c r="S8" s="22"/>
    </row>
    <row r="9" spans="1:19" ht="23.25" customHeight="1">
      <c r="A9" s="23"/>
      <c r="G9" s="42"/>
      <c r="H9" s="43"/>
      <c r="I9" s="43"/>
      <c r="J9" s="43"/>
      <c r="K9" s="263"/>
      <c r="L9" s="43"/>
      <c r="M9" s="43"/>
      <c r="N9" s="43"/>
      <c r="O9" s="43"/>
      <c r="P9" s="43"/>
      <c r="Q9" s="43"/>
      <c r="R9" s="44"/>
      <c r="S9" s="22"/>
    </row>
    <row r="10" spans="1:19" ht="42" customHeight="1">
      <c r="A10" s="23"/>
      <c r="C10" s="601" t="s">
        <v>5</v>
      </c>
      <c r="D10" s="601"/>
      <c r="E10" s="601"/>
      <c r="G10" s="76" t="s">
        <v>8</v>
      </c>
      <c r="H10" s="45"/>
      <c r="I10" s="45"/>
      <c r="J10" s="36"/>
      <c r="K10" s="46">
        <v>34</v>
      </c>
      <c r="L10" s="45"/>
      <c r="M10" s="36">
        <v>0</v>
      </c>
      <c r="N10" s="45"/>
      <c r="O10" s="36">
        <v>0</v>
      </c>
      <c r="P10" s="45"/>
      <c r="Q10" s="45"/>
      <c r="R10" s="47">
        <f>SUM($K10:$O10)</f>
        <v>34</v>
      </c>
      <c r="S10" s="22"/>
    </row>
    <row r="11" spans="1:19" ht="36" customHeight="1">
      <c r="A11" s="23"/>
      <c r="C11" s="69" t="s">
        <v>6</v>
      </c>
      <c r="D11" s="594">
        <f>R13</f>
        <v>6</v>
      </c>
      <c r="E11" s="594"/>
      <c r="G11" s="48" t="s">
        <v>9</v>
      </c>
      <c r="H11" s="45"/>
      <c r="I11" s="45"/>
      <c r="J11" s="36"/>
      <c r="K11" s="46">
        <v>78</v>
      </c>
      <c r="L11" s="45"/>
      <c r="M11" s="36">
        <v>0</v>
      </c>
      <c r="N11" s="45"/>
      <c r="O11" s="36">
        <v>0</v>
      </c>
      <c r="P11" s="45"/>
      <c r="Q11" s="45"/>
      <c r="R11" s="47">
        <f>SUM($K11:$O11)</f>
        <v>78</v>
      </c>
      <c r="S11" s="22"/>
    </row>
    <row r="12" spans="1:19" ht="43.5" customHeight="1">
      <c r="A12" s="23"/>
      <c r="C12" s="61" t="s">
        <v>7</v>
      </c>
      <c r="D12" s="594">
        <f>R12</f>
        <v>4</v>
      </c>
      <c r="E12" s="594"/>
      <c r="G12" s="48" t="s">
        <v>7</v>
      </c>
      <c r="H12" s="45"/>
      <c r="I12" s="45"/>
      <c r="J12" s="36"/>
      <c r="K12" s="46">
        <v>4</v>
      </c>
      <c r="L12" s="45"/>
      <c r="M12" s="36">
        <v>0</v>
      </c>
      <c r="N12" s="45"/>
      <c r="O12" s="36">
        <v>0</v>
      </c>
      <c r="P12" s="45"/>
      <c r="Q12" s="45"/>
      <c r="R12" s="47">
        <f>SUM($K12:$O12)</f>
        <v>4</v>
      </c>
      <c r="S12" s="22"/>
    </row>
    <row r="13" spans="1:19" ht="36.75" customHeight="1">
      <c r="A13" s="23"/>
      <c r="C13" s="61" t="s">
        <v>8</v>
      </c>
      <c r="D13" s="594">
        <f>R10</f>
        <v>34</v>
      </c>
      <c r="E13" s="594"/>
      <c r="G13" s="77" t="s">
        <v>6</v>
      </c>
      <c r="H13" s="49"/>
      <c r="I13" s="45"/>
      <c r="J13" s="36"/>
      <c r="K13" s="46">
        <v>6</v>
      </c>
      <c r="L13" s="45"/>
      <c r="M13" s="36">
        <v>0</v>
      </c>
      <c r="N13" s="45"/>
      <c r="O13" s="36">
        <v>0</v>
      </c>
      <c r="P13" s="45"/>
      <c r="Q13" s="45"/>
      <c r="R13" s="47">
        <f>SUM($K13:$O13)</f>
        <v>6</v>
      </c>
      <c r="S13" s="22"/>
    </row>
    <row r="14" spans="1:19" ht="53.25" customHeight="1">
      <c r="A14" s="23"/>
      <c r="C14" s="61" t="s">
        <v>9</v>
      </c>
      <c r="D14" s="594">
        <f>R11</f>
        <v>78</v>
      </c>
      <c r="E14" s="594"/>
      <c r="G14" s="54" t="s">
        <v>10</v>
      </c>
      <c r="H14" s="50"/>
      <c r="I14" s="51"/>
      <c r="J14" s="52"/>
      <c r="K14" s="52">
        <f>SUM(K10:K13)</f>
        <v>122</v>
      </c>
      <c r="L14" s="51"/>
      <c r="M14" s="52">
        <f>SUM(M10:M13)</f>
        <v>0</v>
      </c>
      <c r="N14" s="51"/>
      <c r="O14" s="52">
        <f>SUM(O10:O13)</f>
        <v>0</v>
      </c>
      <c r="P14" s="51"/>
      <c r="Q14" s="51"/>
      <c r="R14" s="53">
        <f>SUM(R10:R13)</f>
        <v>122</v>
      </c>
      <c r="S14" s="22"/>
    </row>
    <row r="15" spans="1:19" ht="38.25" customHeight="1">
      <c r="A15" s="23"/>
      <c r="C15" s="37" t="s">
        <v>11</v>
      </c>
      <c r="D15" s="593">
        <f>R14</f>
        <v>122</v>
      </c>
      <c r="E15" s="593"/>
      <c r="H15" s="35"/>
      <c r="M15" s="35"/>
      <c r="N15" s="35"/>
      <c r="O15" s="35"/>
      <c r="S15" s="22"/>
    </row>
    <row r="16" spans="1:19" ht="27" customHeight="1">
      <c r="A16" s="23"/>
      <c r="H16" s="36"/>
      <c r="O16" s="36"/>
      <c r="S16" s="22"/>
    </row>
    <row r="17" spans="1:19" ht="17.25" customHeight="1">
      <c r="A17" s="23"/>
      <c r="S17" s="22"/>
    </row>
    <row r="18" spans="1:19" ht="28.5" customHeight="1">
      <c r="A18" s="23"/>
      <c r="S18" s="22"/>
    </row>
    <row r="19" spans="1:19" ht="12" customHeight="1">
      <c r="A19" s="23"/>
      <c r="S19" s="22"/>
    </row>
    <row r="20" spans="1:19" ht="15" customHeight="1">
      <c r="A20" s="23"/>
      <c r="S20" s="22"/>
    </row>
    <row r="21" spans="1:19" ht="9.75" customHeight="1">
      <c r="A21" s="23"/>
      <c r="S21" s="22"/>
    </row>
    <row r="22" spans="1:19" ht="5.25" customHeight="1">
      <c r="A22" s="23"/>
      <c r="S22" s="22"/>
    </row>
    <row r="23" spans="1:19" ht="9.75" customHeight="1">
      <c r="A23" s="23"/>
      <c r="S23" s="22"/>
    </row>
    <row r="24" spans="1:19" ht="50.25" customHeight="1">
      <c r="A24" s="23"/>
      <c r="C24" s="604" t="s">
        <v>12</v>
      </c>
      <c r="D24" s="605"/>
      <c r="E24" s="606"/>
      <c r="S24" s="22"/>
    </row>
    <row r="25" spans="1:19" ht="32.25" customHeight="1">
      <c r="A25" s="23"/>
      <c r="C25" s="38" t="s">
        <v>6</v>
      </c>
      <c r="D25" s="596">
        <f>SUM(M13:O13)</f>
        <v>0</v>
      </c>
      <c r="E25" s="597"/>
      <c r="S25" s="22"/>
    </row>
    <row r="26" spans="1:19" ht="33.75" customHeight="1">
      <c r="A26" s="23"/>
      <c r="C26" s="39" t="s">
        <v>7</v>
      </c>
      <c r="D26" s="596">
        <f>SUM(M12:O12)</f>
        <v>0</v>
      </c>
      <c r="E26" s="597"/>
      <c r="S26" s="22"/>
    </row>
    <row r="27" spans="1:19" ht="38.25" customHeight="1">
      <c r="A27" s="23"/>
      <c r="C27" s="39" t="s">
        <v>8</v>
      </c>
      <c r="D27" s="594">
        <f>SUM(M10:O10)</f>
        <v>0</v>
      </c>
      <c r="E27" s="594"/>
      <c r="S27" s="22"/>
    </row>
    <row r="28" spans="1:19" ht="25.5" customHeight="1">
      <c r="A28" s="23"/>
      <c r="C28" s="39" t="s">
        <v>9</v>
      </c>
      <c r="D28" s="594">
        <f>SUM(M11:O11)</f>
        <v>0</v>
      </c>
      <c r="E28" s="594"/>
      <c r="S28" s="22"/>
    </row>
    <row r="29" spans="1:19" ht="33" customHeight="1">
      <c r="A29" s="23"/>
      <c r="C29" s="37" t="s">
        <v>11</v>
      </c>
      <c r="D29" s="592">
        <f>SUM(M14:O14)</f>
        <v>0</v>
      </c>
      <c r="E29" s="592"/>
      <c r="S29" s="22"/>
    </row>
    <row r="30" spans="1:19">
      <c r="A30" s="23"/>
      <c r="S30" s="22"/>
    </row>
    <row r="31" spans="1:19">
      <c r="A31" s="23"/>
      <c r="S31" s="22"/>
    </row>
    <row r="32" spans="1:19" hidden="1">
      <c r="A32" s="23"/>
      <c r="S32" s="22"/>
    </row>
    <row r="33" spans="1:19" ht="15" customHeight="1">
      <c r="A33" s="23"/>
      <c r="S33" s="22"/>
    </row>
    <row r="34" spans="1:19">
      <c r="A34" s="23"/>
      <c r="S34" s="22"/>
    </row>
    <row r="35" spans="1:19">
      <c r="A35" s="23"/>
      <c r="S35" s="22"/>
    </row>
    <row r="36" spans="1:19">
      <c r="A36" s="23"/>
      <c r="S36" s="22"/>
    </row>
    <row r="37" spans="1:19">
      <c r="A37" s="23"/>
      <c r="S37" s="22"/>
    </row>
    <row r="38" spans="1:19">
      <c r="A38" s="23"/>
      <c r="S38" s="22"/>
    </row>
    <row r="39" spans="1:19">
      <c r="A39" s="23"/>
      <c r="S39" s="22"/>
    </row>
    <row r="40" spans="1:19">
      <c r="A40" s="23"/>
      <c r="S40" s="22"/>
    </row>
    <row r="41" spans="1:19">
      <c r="A41" s="23"/>
      <c r="S41" s="22"/>
    </row>
    <row r="42" spans="1:19">
      <c r="A42" s="23"/>
      <c r="S42" s="22"/>
    </row>
    <row r="43" spans="1:19">
      <c r="A43" s="23"/>
      <c r="S43" s="22"/>
    </row>
    <row r="44" spans="1:19">
      <c r="A44" s="23"/>
      <c r="S44" s="22"/>
    </row>
    <row r="45" spans="1:19">
      <c r="A45" s="23"/>
      <c r="S45" s="22"/>
    </row>
    <row r="46" spans="1:19" ht="72" customHeight="1">
      <c r="A46" s="23"/>
      <c r="S46" s="22"/>
    </row>
    <row r="47" spans="1:19" ht="51.75" customHeight="1">
      <c r="A47" s="23"/>
      <c r="S47" s="22"/>
    </row>
    <row r="48" spans="1:19" ht="26.25" customHeight="1">
      <c r="A48" s="23"/>
    </row>
    <row r="49" spans="1:19" ht="33.75" hidden="1" customHeight="1">
      <c r="A49" s="23"/>
      <c r="S49" s="22"/>
    </row>
    <row r="50" spans="1:19" ht="8.25" hidden="1" customHeight="1">
      <c r="A50" s="23"/>
      <c r="S50" s="22"/>
    </row>
    <row r="51" spans="1:19" ht="18.75" customHeight="1" thickBot="1">
      <c r="A51" s="24"/>
      <c r="B51" s="25"/>
      <c r="C51" s="25"/>
      <c r="D51" s="25"/>
      <c r="E51" s="25"/>
      <c r="F51" s="25"/>
      <c r="G51" s="25"/>
      <c r="H51" s="25"/>
      <c r="I51" s="25"/>
      <c r="J51" s="25"/>
      <c r="K51" s="25"/>
      <c r="L51" s="25"/>
      <c r="M51" s="25"/>
      <c r="N51" s="25"/>
      <c r="O51" s="25"/>
      <c r="P51" s="25"/>
      <c r="Q51" s="25"/>
      <c r="R51" s="25"/>
      <c r="S51" s="26"/>
    </row>
    <row r="52" spans="1:19" ht="31.5" customHeight="1"/>
    <row r="53" spans="1:19" ht="14.45" customHeight="1"/>
    <row r="85" spans="47:47">
      <c r="AU85" s="1"/>
    </row>
  </sheetData>
  <mergeCells count="17">
    <mergeCell ref="J4:O4"/>
    <mergeCell ref="J2:O2"/>
    <mergeCell ref="D12:E12"/>
    <mergeCell ref="C24:E24"/>
    <mergeCell ref="D25:E25"/>
    <mergeCell ref="N5:P5"/>
    <mergeCell ref="D29:E29"/>
    <mergeCell ref="D15:E15"/>
    <mergeCell ref="D27:E27"/>
    <mergeCell ref="D28:E28"/>
    <mergeCell ref="J5:M5"/>
    <mergeCell ref="D26:E26"/>
    <mergeCell ref="D13:E13"/>
    <mergeCell ref="D14:E14"/>
    <mergeCell ref="C8:E8"/>
    <mergeCell ref="C10:E10"/>
    <mergeCell ref="D11:E11"/>
  </mergeCells>
  <printOptions horizontalCentered="1" verticalCentered="1"/>
  <pageMargins left="0" right="0" top="0" bottom="0" header="0" footer="0"/>
  <pageSetup paperSize="5" scale="50" fitToHeight="0" orientation="landscape" r:id="rId1"/>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7"/>
  <sheetViews>
    <sheetView zoomScale="85" zoomScaleNormal="85" workbookViewId="0">
      <selection activeCell="H6" sqref="H6"/>
    </sheetView>
  </sheetViews>
  <sheetFormatPr baseColWidth="10" defaultColWidth="11.42578125" defaultRowHeight="15"/>
  <cols>
    <col min="1" max="2" width="12.5703125" bestFit="1" customWidth="1"/>
    <col min="4" max="4" width="14.7109375" bestFit="1" customWidth="1"/>
  </cols>
  <sheetData>
    <row r="3" spans="2:5">
      <c r="B3" s="9" t="s">
        <v>6</v>
      </c>
      <c r="C3" s="9" t="s">
        <v>13</v>
      </c>
      <c r="D3" s="9" t="s">
        <v>14</v>
      </c>
      <c r="E3" s="9" t="s">
        <v>15</v>
      </c>
    </row>
    <row r="4" spans="2:5">
      <c r="B4" s="7"/>
      <c r="C4" s="7"/>
      <c r="D4" s="543"/>
      <c r="E4" s="7"/>
    </row>
    <row r="5" spans="2:5">
      <c r="B5" s="7"/>
      <c r="C5" s="7"/>
      <c r="D5" s="7"/>
      <c r="E5" s="7"/>
    </row>
    <row r="6" spans="2:5">
      <c r="B6" s="7"/>
      <c r="C6" s="7"/>
      <c r="D6" s="7"/>
      <c r="E6" s="7"/>
    </row>
    <row r="7" spans="2:5">
      <c r="B7" s="9" t="s">
        <v>7</v>
      </c>
      <c r="C7" s="9" t="s">
        <v>13</v>
      </c>
      <c r="D7" s="9" t="s">
        <v>14</v>
      </c>
      <c r="E7" s="9" t="s">
        <v>15</v>
      </c>
    </row>
    <row r="8" spans="2:5">
      <c r="B8" s="7"/>
      <c r="C8" s="7"/>
      <c r="D8" s="7"/>
      <c r="E8" s="7"/>
    </row>
    <row r="9" spans="2:5">
      <c r="B9" s="7"/>
      <c r="C9" s="2"/>
      <c r="D9" s="7"/>
      <c r="E9" s="7"/>
    </row>
    <row r="10" spans="2:5">
      <c r="B10" s="7"/>
      <c r="C10" s="2"/>
      <c r="D10" s="7"/>
      <c r="E10" s="7"/>
    </row>
    <row r="11" spans="2:5">
      <c r="B11" s="9" t="s">
        <v>21</v>
      </c>
      <c r="C11" s="9" t="s">
        <v>13</v>
      </c>
      <c r="D11" s="9" t="s">
        <v>14</v>
      </c>
      <c r="E11" s="9" t="s">
        <v>15</v>
      </c>
    </row>
    <row r="12" spans="2:5">
      <c r="B12" s="7"/>
      <c r="C12" s="7"/>
      <c r="D12" s="7"/>
      <c r="E12" s="7"/>
    </row>
    <row r="13" spans="2:5">
      <c r="B13" s="7"/>
      <c r="C13" s="7"/>
      <c r="D13" s="7"/>
      <c r="E13" s="7"/>
    </row>
    <row r="14" spans="2:5">
      <c r="B14" s="7"/>
      <c r="C14" s="7"/>
      <c r="D14" s="7"/>
      <c r="E14" s="7"/>
    </row>
    <row r="15" spans="2:5">
      <c r="B15" s="7"/>
      <c r="C15" s="7"/>
      <c r="D15" s="7"/>
      <c r="E15" s="7"/>
    </row>
    <row r="16" spans="2:5">
      <c r="B16" s="7"/>
      <c r="C16" s="7"/>
      <c r="D16" s="7"/>
      <c r="E16" s="7"/>
    </row>
    <row r="17" spans="2:5">
      <c r="B17" s="7"/>
      <c r="C17" s="7"/>
      <c r="D17" s="7"/>
      <c r="E17" s="7"/>
    </row>
    <row r="18" spans="2:5">
      <c r="B18" s="7"/>
      <c r="C18" s="7"/>
      <c r="D18" s="7"/>
      <c r="E18" s="7"/>
    </row>
    <row r="19" spans="2:5">
      <c r="B19" s="7"/>
      <c r="C19" s="7"/>
      <c r="D19" s="7"/>
      <c r="E19" s="7"/>
    </row>
    <row r="21" spans="2:5" ht="31.5" customHeight="1"/>
    <row r="23" spans="2:5" ht="31.5" customHeight="1">
      <c r="B23" s="8" t="s">
        <v>21</v>
      </c>
      <c r="C23" s="8" t="s">
        <v>13</v>
      </c>
      <c r="D23" s="8" t="s">
        <v>14</v>
      </c>
      <c r="E23" s="8" t="s">
        <v>15</v>
      </c>
    </row>
    <row r="24" spans="2:5">
      <c r="B24" s="70"/>
      <c r="C24" s="7"/>
      <c r="D24" s="7"/>
      <c r="E24" s="7"/>
    </row>
    <row r="25" spans="2:5">
      <c r="B25" s="70"/>
      <c r="C25" s="7"/>
      <c r="D25" s="7"/>
      <c r="E25" s="7"/>
    </row>
    <row r="26" spans="2:5">
      <c r="B26" s="70"/>
      <c r="C26" s="7"/>
      <c r="D26" s="7"/>
      <c r="E26" s="7"/>
    </row>
    <row r="27" spans="2:5">
      <c r="B27" s="70"/>
      <c r="C27" s="7"/>
      <c r="D27" s="7"/>
      <c r="E27" s="7"/>
    </row>
    <row r="28" spans="2:5">
      <c r="B28" s="70"/>
      <c r="C28" s="7"/>
      <c r="D28" s="7"/>
      <c r="E28" s="7"/>
    </row>
    <row r="29" spans="2:5">
      <c r="B29" s="70"/>
      <c r="C29" s="7"/>
      <c r="D29" s="7"/>
      <c r="E29" s="7"/>
    </row>
    <row r="30" spans="2:5">
      <c r="B30" s="70"/>
      <c r="C30" s="7"/>
      <c r="D30" s="7"/>
      <c r="E30" s="7"/>
    </row>
    <row r="31" spans="2:5">
      <c r="B31" s="70"/>
      <c r="C31" s="7"/>
      <c r="D31" s="7"/>
      <c r="E31" s="7"/>
    </row>
    <row r="32" spans="2:5">
      <c r="B32" s="70"/>
      <c r="C32" s="7"/>
      <c r="D32" s="7"/>
      <c r="E32" s="7"/>
    </row>
    <row r="33" spans="2:5">
      <c r="B33" s="70"/>
      <c r="C33" s="7"/>
      <c r="D33" s="7"/>
      <c r="E33" s="7"/>
    </row>
    <row r="34" spans="2:5">
      <c r="B34" s="70"/>
      <c r="C34" s="7"/>
      <c r="D34" s="7"/>
      <c r="E34" s="7"/>
    </row>
    <row r="35" spans="2:5">
      <c r="B35" s="70"/>
      <c r="C35" s="7"/>
      <c r="D35" s="7"/>
      <c r="E35" s="7"/>
    </row>
    <row r="36" spans="2:5">
      <c r="B36" s="70"/>
      <c r="C36" s="7"/>
      <c r="D36" s="7"/>
      <c r="E36" s="7"/>
    </row>
    <row r="37" spans="2:5">
      <c r="B37" s="70"/>
      <c r="C37" s="7"/>
      <c r="D37" s="7"/>
      <c r="E37" s="7"/>
    </row>
    <row r="38" spans="2:5">
      <c r="B38" s="70"/>
      <c r="C38" s="7"/>
      <c r="D38" s="7"/>
      <c r="E38" s="7"/>
    </row>
    <row r="39" spans="2:5">
      <c r="B39" s="70"/>
      <c r="C39" s="7"/>
      <c r="D39" s="7"/>
      <c r="E39" s="7"/>
    </row>
    <row r="57" spans="8:8">
      <c r="H57" s="10"/>
    </row>
    <row r="58" spans="8:8" ht="41.25" customHeight="1">
      <c r="H58" s="10"/>
    </row>
    <row r="59" spans="8:8" ht="41.25" customHeight="1">
      <c r="H59" s="10"/>
    </row>
    <row r="60" spans="8:8" ht="41.25" customHeight="1">
      <c r="H60" s="10"/>
    </row>
    <row r="61" spans="8:8" ht="41.25" customHeight="1">
      <c r="H61" s="10"/>
    </row>
    <row r="62" spans="8:8" ht="41.25" customHeight="1">
      <c r="H62" s="10"/>
    </row>
    <row r="63" spans="8:8" ht="41.25" customHeight="1">
      <c r="H63" s="10"/>
    </row>
    <row r="64" spans="8:8">
      <c r="H64" s="10"/>
    </row>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15" zoomScale="70" zoomScaleNormal="40" zoomScaleSheetLayoutView="70" workbookViewId="0">
      <selection activeCell="J19" sqref="J19"/>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12"/>
      <c r="B1" s="13"/>
      <c r="C1" s="13"/>
      <c r="D1" s="14"/>
      <c r="E1" s="14"/>
      <c r="F1" s="14"/>
      <c r="G1" s="14"/>
      <c r="H1" s="14"/>
      <c r="I1" s="14"/>
      <c r="J1" s="14"/>
      <c r="K1" s="14"/>
      <c r="L1" s="14"/>
      <c r="M1" s="14"/>
      <c r="N1" s="14"/>
      <c r="O1" s="14"/>
      <c r="P1" s="14"/>
      <c r="Q1" s="14"/>
      <c r="R1" s="14"/>
      <c r="S1" s="14"/>
      <c r="T1" s="14"/>
      <c r="U1" s="14"/>
      <c r="V1" s="13"/>
      <c r="W1" s="13"/>
      <c r="X1" s="13"/>
      <c r="Y1" s="13"/>
      <c r="Z1" s="13"/>
      <c r="AA1" s="15"/>
    </row>
    <row r="2" spans="1:27" ht="37.15" customHeight="1">
      <c r="A2" s="608" t="s">
        <v>116</v>
      </c>
      <c r="B2" s="609"/>
      <c r="C2" s="609"/>
      <c r="D2" s="609"/>
      <c r="E2" s="609"/>
      <c r="F2" s="609"/>
      <c r="G2" s="609"/>
      <c r="H2" s="609"/>
      <c r="I2" s="609"/>
      <c r="J2" s="609"/>
      <c r="K2" s="609"/>
      <c r="L2" s="609"/>
      <c r="M2" s="609"/>
      <c r="N2" s="609"/>
      <c r="O2" s="609"/>
      <c r="P2" s="609"/>
      <c r="Q2" s="609"/>
      <c r="R2" s="609"/>
      <c r="S2" s="609"/>
      <c r="T2" s="610" t="s">
        <v>188</v>
      </c>
      <c r="U2" s="610"/>
      <c r="V2" s="610"/>
      <c r="W2" s="610"/>
      <c r="X2" s="610"/>
      <c r="Y2" s="610"/>
      <c r="Z2" s="610"/>
      <c r="AA2" s="611"/>
    </row>
    <row r="3" spans="1:27" ht="2.4500000000000002" customHeight="1">
      <c r="A3" s="16"/>
      <c r="B3" s="11"/>
      <c r="C3" s="11"/>
      <c r="D3" s="11"/>
      <c r="E3" s="11"/>
      <c r="F3" s="11"/>
      <c r="G3" s="11"/>
      <c r="H3" s="11"/>
      <c r="I3" s="11"/>
      <c r="J3" s="11"/>
      <c r="K3" s="11"/>
      <c r="L3" s="11"/>
      <c r="M3" s="11"/>
      <c r="N3" s="11"/>
      <c r="O3" s="11"/>
      <c r="P3" s="11"/>
      <c r="Q3" s="11"/>
      <c r="R3" s="11"/>
      <c r="S3" s="11"/>
      <c r="T3" s="11"/>
      <c r="U3" s="11"/>
      <c r="V3" s="11"/>
      <c r="W3" s="11"/>
      <c r="X3" s="11"/>
      <c r="Y3" s="11"/>
      <c r="Z3" s="11"/>
      <c r="AA3" s="17"/>
    </row>
    <row r="4" spans="1:27" ht="15.75">
      <c r="A4" s="16"/>
      <c r="B4" s="11"/>
      <c r="C4" s="11"/>
      <c r="D4" s="11"/>
      <c r="E4" s="11"/>
      <c r="F4" s="11"/>
      <c r="G4" s="11"/>
      <c r="H4" s="11"/>
      <c r="I4" s="11"/>
      <c r="J4" s="11"/>
      <c r="K4" s="11"/>
      <c r="L4" s="11"/>
      <c r="M4" s="11"/>
      <c r="N4" s="11"/>
      <c r="O4" s="11"/>
      <c r="P4" s="11"/>
      <c r="Q4" s="11"/>
      <c r="R4" s="11"/>
      <c r="S4" s="11"/>
      <c r="T4" s="11"/>
      <c r="U4" s="11"/>
      <c r="V4" s="11"/>
      <c r="W4" s="11"/>
      <c r="X4" s="11"/>
      <c r="Y4" s="11"/>
      <c r="Z4" s="11"/>
      <c r="AA4" s="17"/>
    </row>
    <row r="5" spans="1:27" ht="15.75">
      <c r="A5" s="16"/>
      <c r="B5" s="11"/>
      <c r="C5" s="11"/>
      <c r="D5" s="11"/>
      <c r="E5" s="11"/>
      <c r="F5" s="11"/>
      <c r="G5" s="11"/>
      <c r="H5" s="11"/>
      <c r="I5" s="11"/>
      <c r="J5" s="11"/>
      <c r="K5" s="11"/>
      <c r="L5" s="11"/>
      <c r="M5" s="11"/>
      <c r="N5" s="11"/>
      <c r="O5" s="11"/>
      <c r="P5" s="11"/>
      <c r="Q5" s="11"/>
      <c r="R5" s="11"/>
      <c r="S5" s="11"/>
      <c r="T5" s="11"/>
      <c r="U5" s="11"/>
      <c r="V5" s="11"/>
      <c r="W5" s="11"/>
      <c r="X5" s="11"/>
      <c r="Y5" s="11"/>
      <c r="Z5" s="11"/>
      <c r="AA5" s="17"/>
    </row>
    <row r="6" spans="1:27" ht="15.75">
      <c r="A6" s="16"/>
      <c r="B6" s="11"/>
      <c r="C6" s="11"/>
      <c r="D6" s="11"/>
      <c r="E6" s="11"/>
      <c r="F6" s="11"/>
      <c r="G6" s="11"/>
      <c r="H6" s="11"/>
      <c r="I6" s="11"/>
      <c r="J6" s="11"/>
      <c r="K6" s="11"/>
      <c r="L6" s="11"/>
      <c r="M6" s="11"/>
      <c r="N6" s="11"/>
      <c r="O6" s="11"/>
      <c r="P6" s="11"/>
      <c r="Q6" s="11"/>
      <c r="R6" s="11"/>
      <c r="S6" s="11"/>
      <c r="T6" s="11"/>
      <c r="U6" s="11"/>
      <c r="V6" s="11"/>
      <c r="W6" s="11"/>
      <c r="X6" s="11"/>
      <c r="Y6" s="11"/>
      <c r="Z6" s="11"/>
      <c r="AA6" s="17"/>
    </row>
    <row r="7" spans="1:27" ht="15.75">
      <c r="A7" s="16"/>
      <c r="B7" s="11"/>
      <c r="C7" s="11"/>
      <c r="D7" s="11"/>
      <c r="E7" s="11"/>
      <c r="F7" s="11"/>
      <c r="G7" s="11"/>
      <c r="H7" s="11"/>
      <c r="I7" s="11"/>
      <c r="J7" s="11"/>
      <c r="K7" s="11"/>
      <c r="L7" s="11"/>
      <c r="M7" s="11"/>
      <c r="N7" s="11"/>
      <c r="O7" s="11"/>
      <c r="P7" s="11"/>
      <c r="Q7" s="11"/>
      <c r="R7" s="11"/>
      <c r="S7" s="11"/>
      <c r="T7" s="11"/>
      <c r="U7" s="11"/>
      <c r="V7" s="11"/>
      <c r="W7" s="11"/>
      <c r="X7" s="11"/>
      <c r="Y7" s="11"/>
      <c r="Z7" s="11"/>
      <c r="AA7" s="17"/>
    </row>
    <row r="8" spans="1:27" ht="15.75">
      <c r="A8" s="16"/>
      <c r="B8" s="11"/>
      <c r="C8" s="11"/>
      <c r="D8" s="11"/>
      <c r="E8" s="11"/>
      <c r="F8" s="11"/>
      <c r="G8" s="11"/>
      <c r="H8" s="11"/>
      <c r="I8" s="11"/>
      <c r="J8" s="11"/>
      <c r="K8" s="11"/>
      <c r="L8" s="11"/>
      <c r="M8" s="11"/>
      <c r="N8" s="11"/>
      <c r="O8" s="11"/>
      <c r="P8" s="11"/>
      <c r="Q8" s="11"/>
      <c r="R8" s="11"/>
      <c r="S8" s="11"/>
      <c r="T8" s="11"/>
      <c r="U8" s="11"/>
      <c r="V8" s="11"/>
      <c r="W8" s="11"/>
      <c r="X8" s="11"/>
      <c r="Y8" s="11"/>
      <c r="Z8" s="11"/>
      <c r="AA8" s="17"/>
    </row>
    <row r="9" spans="1:27" ht="15.75">
      <c r="A9" s="16"/>
      <c r="B9" s="11"/>
      <c r="C9" s="11"/>
      <c r="D9" s="11"/>
      <c r="E9" s="11"/>
      <c r="F9" s="11"/>
      <c r="G9" s="11"/>
      <c r="H9" s="11"/>
      <c r="I9" s="11"/>
      <c r="J9" s="11"/>
      <c r="K9" s="11"/>
      <c r="L9" s="11"/>
      <c r="M9" s="11"/>
      <c r="N9" s="11"/>
      <c r="O9" s="11"/>
      <c r="P9" s="11"/>
      <c r="Q9" s="11"/>
      <c r="R9" s="11"/>
      <c r="S9" s="11"/>
      <c r="T9" s="11"/>
      <c r="U9" s="11"/>
      <c r="V9" s="11"/>
      <c r="W9" s="11"/>
      <c r="X9" s="11"/>
      <c r="Y9" s="11"/>
      <c r="Z9" s="11"/>
      <c r="AA9" s="17"/>
    </row>
    <row r="10" spans="1:27" ht="15.75">
      <c r="A10" s="16"/>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7"/>
    </row>
    <row r="11" spans="1:27" ht="15.75">
      <c r="A11" s="16"/>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7"/>
    </row>
    <row r="12" spans="1:27" ht="15.75">
      <c r="A12" s="16"/>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7"/>
    </row>
    <row r="13" spans="1:27" ht="15.75">
      <c r="A13" s="16"/>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7"/>
    </row>
    <row r="14" spans="1:27" ht="15.75">
      <c r="A14" s="16"/>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7"/>
    </row>
    <row r="15" spans="1:27" ht="15.75">
      <c r="A15" s="16"/>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7"/>
    </row>
    <row r="16" spans="1:27" ht="15.75">
      <c r="A16" s="16"/>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7"/>
    </row>
    <row r="17" spans="1:27" ht="15.75">
      <c r="A17" s="16"/>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7"/>
    </row>
    <row r="18" spans="1:27" ht="15.75">
      <c r="A18" s="16"/>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7"/>
    </row>
    <row r="19" spans="1:27" ht="15.75">
      <c r="A19" s="16"/>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7"/>
    </row>
    <row r="20" spans="1:27" ht="15.75">
      <c r="A20" s="16"/>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7"/>
    </row>
    <row r="21" spans="1:27" ht="15.75">
      <c r="A21" s="16"/>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7"/>
    </row>
    <row r="22" spans="1:27" ht="15.75">
      <c r="A22" s="16"/>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7"/>
    </row>
    <row r="23" spans="1:27" ht="15.75">
      <c r="A23" s="16"/>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7"/>
    </row>
    <row r="24" spans="1:27" ht="15.75">
      <c r="A24" s="16"/>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7"/>
    </row>
    <row r="25" spans="1:27" ht="15.75">
      <c r="A25" s="16"/>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7"/>
    </row>
    <row r="26" spans="1:27" ht="15.75">
      <c r="A26" s="16"/>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7"/>
    </row>
    <row r="27" spans="1:27" ht="15.75">
      <c r="A27" s="16"/>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7"/>
    </row>
    <row r="28" spans="1:27" ht="15.75">
      <c r="A28" s="16"/>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7"/>
    </row>
    <row r="29" spans="1:27" ht="15.75">
      <c r="A29" s="16"/>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7"/>
    </row>
    <row r="30" spans="1:27" ht="15.75">
      <c r="A30" s="16"/>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7"/>
    </row>
    <row r="31" spans="1:27" ht="15.75">
      <c r="A31" s="16"/>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7"/>
    </row>
    <row r="32" spans="1:27" ht="15.75">
      <c r="A32" s="16"/>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7"/>
    </row>
    <row r="33" spans="1:27" ht="15.75">
      <c r="A33" s="16"/>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7"/>
    </row>
    <row r="34" spans="1:27" ht="15.75">
      <c r="A34" s="16"/>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7"/>
    </row>
    <row r="35" spans="1:27" ht="15.75">
      <c r="A35" s="16"/>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7"/>
    </row>
    <row r="36" spans="1:27" ht="15.75">
      <c r="A36" s="16"/>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7"/>
    </row>
    <row r="37" spans="1:27" ht="15.75">
      <c r="A37" s="16"/>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7"/>
    </row>
    <row r="38" spans="1:27" ht="15.75">
      <c r="A38" s="16"/>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7"/>
    </row>
    <row r="39" spans="1:27" ht="15.75">
      <c r="A39" s="16"/>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7"/>
    </row>
    <row r="40" spans="1:27" ht="15.75">
      <c r="A40" s="16"/>
      <c r="B40" s="11"/>
      <c r="C40" s="11"/>
      <c r="D40" s="11"/>
      <c r="E40" s="11"/>
      <c r="F40" s="11"/>
      <c r="G40" s="11"/>
      <c r="H40" s="11"/>
      <c r="I40" s="11"/>
      <c r="J40" s="11"/>
      <c r="K40" s="11"/>
      <c r="L40" s="11"/>
      <c r="M40" s="11"/>
      <c r="N40" s="11"/>
      <c r="O40" s="11"/>
      <c r="P40" s="11"/>
      <c r="Q40" s="11"/>
      <c r="R40" s="11"/>
      <c r="S40" s="11"/>
      <c r="T40" s="11"/>
      <c r="U40" s="11"/>
      <c r="V40" s="11"/>
      <c r="W40" s="11"/>
      <c r="X40" s="11"/>
      <c r="Y40" s="11"/>
      <c r="Z40" s="3"/>
      <c r="AA40" s="17"/>
    </row>
    <row r="41" spans="1:27" ht="15.75">
      <c r="A41" s="16"/>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7"/>
    </row>
    <row r="42" spans="1:27" ht="15.75">
      <c r="A42" s="16"/>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7"/>
    </row>
    <row r="43" spans="1:27" ht="15.75">
      <c r="A43" s="16"/>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7"/>
    </row>
    <row r="44" spans="1:27" ht="15.75">
      <c r="A44" s="16"/>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7"/>
    </row>
    <row r="45" spans="1:27" ht="15.75">
      <c r="A45" s="16"/>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7"/>
    </row>
    <row r="46" spans="1:27" ht="15.75">
      <c r="A46" s="16"/>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7"/>
    </row>
    <row r="47" spans="1:27" ht="15.75">
      <c r="A47" s="16"/>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7"/>
    </row>
    <row r="48" spans="1:27" ht="15.75">
      <c r="A48" s="16"/>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7"/>
    </row>
    <row r="49" spans="1:27" ht="15.75">
      <c r="A49" s="16"/>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7"/>
    </row>
    <row r="50" spans="1:27" ht="15.75">
      <c r="A50" s="16"/>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7"/>
    </row>
    <row r="51" spans="1:27" ht="15.75">
      <c r="A51" s="16"/>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7"/>
    </row>
    <row r="52" spans="1:27" ht="15.75">
      <c r="A52" s="16"/>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7"/>
    </row>
    <row r="53" spans="1:27" s="3" customFormat="1" ht="15.75">
      <c r="A53" s="16"/>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7"/>
    </row>
    <row r="54" spans="1:27" ht="15.75">
      <c r="A54" s="16"/>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7"/>
    </row>
    <row r="55" spans="1:27" ht="15.75">
      <c r="A55" s="16"/>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7"/>
    </row>
    <row r="56" spans="1:27" ht="15.75">
      <c r="A56" s="16"/>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7"/>
    </row>
    <row r="57" spans="1:27" ht="15.75">
      <c r="A57" s="16"/>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7"/>
    </row>
    <row r="58" spans="1:27" ht="15.75">
      <c r="A58" s="16"/>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7"/>
    </row>
    <row r="59" spans="1:27" ht="15.75">
      <c r="A59" s="16"/>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7"/>
    </row>
    <row r="60" spans="1:27" ht="15.75">
      <c r="A60" s="16"/>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7"/>
    </row>
    <row r="61" spans="1:27" ht="153" customHeight="1" thickBot="1">
      <c r="A61" s="18"/>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20"/>
    </row>
  </sheetData>
  <mergeCells count="2">
    <mergeCell ref="A2:S2"/>
    <mergeCell ref="T2:AA2"/>
  </mergeCells>
  <printOptions horizontalCentered="1"/>
  <pageMargins left="0" right="0" top="0" bottom="0" header="0" footer="0"/>
  <pageSetup paperSize="5" scale="50" orientation="landscape"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U96"/>
  <sheetViews>
    <sheetView showGridLines="0" view="pageBreakPreview" topLeftCell="A5" zoomScale="115" zoomScaleNormal="84" zoomScaleSheetLayoutView="115" workbookViewId="0">
      <selection activeCell="D6" sqref="D6"/>
    </sheetView>
  </sheetViews>
  <sheetFormatPr baseColWidth="10" defaultColWidth="11.42578125" defaultRowHeight="15" outlineLevelRow="1"/>
  <cols>
    <col min="1" max="1" width="5.85546875" customWidth="1"/>
    <col min="2" max="2" width="32.28515625" customWidth="1"/>
    <col min="3" max="3" width="11.85546875" customWidth="1"/>
    <col min="4" max="4" width="5.42578125" customWidth="1"/>
    <col min="5" max="5" width="11.5703125" customWidth="1"/>
    <col min="6" max="6" width="12" customWidth="1"/>
    <col min="7" max="7" width="5.5703125" customWidth="1"/>
    <col min="8" max="8" width="9.28515625" customWidth="1"/>
    <col min="9" max="9" width="12.85546875" customWidth="1"/>
    <col min="10" max="10" width="4.85546875" customWidth="1"/>
    <col min="11" max="11" width="13" customWidth="1"/>
    <col min="12" max="12" width="12" customWidth="1"/>
    <col min="13" max="13" width="4.42578125" customWidth="1"/>
    <col min="14" max="14" width="13.5703125" customWidth="1"/>
    <col min="15" max="15" width="12.28515625" customWidth="1"/>
    <col min="16" max="16" width="6.28515625" customWidth="1"/>
    <col min="17" max="17" width="10.5703125" customWidth="1"/>
    <col min="18" max="18" width="6.42578125" customWidth="1"/>
    <col min="19" max="19" width="10.7109375" customWidth="1"/>
  </cols>
  <sheetData>
    <row r="1" spans="1:21" ht="18.75">
      <c r="A1" s="612" t="s">
        <v>40</v>
      </c>
      <c r="B1" s="613"/>
      <c r="C1" s="613"/>
      <c r="D1" s="613"/>
      <c r="E1" s="613"/>
      <c r="F1" s="613"/>
      <c r="G1" s="613"/>
      <c r="H1" s="613"/>
      <c r="I1" s="613"/>
      <c r="J1" s="613"/>
      <c r="K1" s="613"/>
      <c r="L1" s="613"/>
      <c r="M1" s="613"/>
      <c r="N1" s="613"/>
      <c r="O1" s="613"/>
      <c r="P1" s="613"/>
      <c r="Q1" s="613"/>
      <c r="R1" s="613"/>
    </row>
    <row r="2" spans="1:21" ht="19.5" thickBot="1">
      <c r="A2" s="614" t="s">
        <v>188</v>
      </c>
      <c r="B2" s="615"/>
      <c r="C2" s="615"/>
      <c r="D2" s="615"/>
      <c r="E2" s="615"/>
      <c r="F2" s="615"/>
      <c r="G2" s="615"/>
      <c r="H2" s="615"/>
      <c r="I2" s="615"/>
      <c r="J2" s="615"/>
      <c r="K2" s="615"/>
      <c r="L2" s="615"/>
      <c r="M2" s="615"/>
      <c r="N2" s="615"/>
      <c r="O2" s="615"/>
      <c r="P2" s="615"/>
      <c r="Q2" s="615"/>
      <c r="R2" s="615"/>
    </row>
    <row r="3" spans="1:21">
      <c r="A3" s="313"/>
      <c r="B3" s="3"/>
      <c r="C3" s="3"/>
      <c r="D3" s="3"/>
      <c r="E3" s="3"/>
      <c r="F3" s="3"/>
      <c r="G3" s="3"/>
      <c r="H3" s="3"/>
      <c r="I3" s="3"/>
      <c r="J3" s="3"/>
      <c r="K3" s="3"/>
      <c r="L3" s="3"/>
      <c r="M3" s="3"/>
      <c r="N3" s="3"/>
      <c r="O3" s="3"/>
      <c r="P3" s="3"/>
      <c r="Q3" s="3"/>
      <c r="R3" s="3"/>
    </row>
    <row r="4" spans="1:21" ht="15.75" thickBot="1">
      <c r="A4" s="313"/>
      <c r="B4" s="314"/>
      <c r="C4" s="314"/>
      <c r="D4" s="3"/>
      <c r="E4" s="3"/>
      <c r="F4" s="3"/>
      <c r="G4" s="3"/>
      <c r="H4" s="3"/>
      <c r="I4" s="3"/>
      <c r="J4" s="3"/>
      <c r="K4" s="3"/>
      <c r="L4" s="3"/>
      <c r="M4" s="3"/>
      <c r="N4" s="3"/>
      <c r="O4" s="3"/>
      <c r="P4" s="3"/>
      <c r="Q4" s="3"/>
      <c r="R4" s="3"/>
    </row>
    <row r="5" spans="1:21" ht="88.5" customHeight="1" thickBot="1">
      <c r="A5" s="313"/>
      <c r="B5" s="331" t="s">
        <v>41</v>
      </c>
      <c r="C5" s="616" t="s">
        <v>42</v>
      </c>
      <c r="D5" s="616"/>
      <c r="E5" s="616"/>
      <c r="F5" s="616" t="s">
        <v>43</v>
      </c>
      <c r="G5" s="616"/>
      <c r="H5" s="616"/>
      <c r="I5" s="616" t="s">
        <v>146</v>
      </c>
      <c r="J5" s="616"/>
      <c r="K5" s="616"/>
      <c r="L5" s="616" t="s">
        <v>44</v>
      </c>
      <c r="M5" s="616"/>
      <c r="N5" s="616"/>
      <c r="O5" s="616" t="s">
        <v>147</v>
      </c>
      <c r="P5" s="616"/>
      <c r="Q5" s="617"/>
      <c r="R5" s="311"/>
      <c r="S5" s="310"/>
      <c r="T5" s="3"/>
      <c r="U5" s="3"/>
    </row>
    <row r="6" spans="1:21" ht="21">
      <c r="A6" s="313"/>
      <c r="B6" s="332" t="s">
        <v>23</v>
      </c>
      <c r="C6" s="317"/>
      <c r="D6" s="318">
        <f>IF(data_status_reg!$E4="bajo",0,IF(data_status_reg!$E4="medio",0.5,IF(data_status_reg!$E4="alto",1,"falta riesgo")))</f>
        <v>0</v>
      </c>
      <c r="E6" s="319"/>
      <c r="F6" s="319"/>
      <c r="G6" s="318">
        <f>IF(data_status_reg!$E20="bajo",0,IF(data_status_reg!$E20="medio",0.5,IF(data_status_reg!$E20="alto",1,"falta riesgo")))</f>
        <v>0</v>
      </c>
      <c r="H6" s="319"/>
      <c r="I6" s="319"/>
      <c r="J6" s="318">
        <f>IF(data_status_reg!$E36="bajo",0,IF(data_status_reg!$E36="medio",0.5,IF(data_status_reg!$E36="alto",1,"falta riesgo")))</f>
        <v>0</v>
      </c>
      <c r="K6" s="319"/>
      <c r="L6" s="319"/>
      <c r="M6" s="318">
        <f>IF(data_status_reg!$E52="bajo",0,IF(data_status_reg!$E52="medio",0.5,IF(data_status_reg!$E52="alto",1,"falta riesgo")))</f>
        <v>0</v>
      </c>
      <c r="N6" s="320"/>
      <c r="O6" s="334"/>
      <c r="P6" s="318">
        <f>IF(data_status_reg!$E68="bajo",0,IF(data_status_reg!$E68="medio",0.5,IF(data_status_reg!$E68="alto",1,"falta riesgo")))</f>
        <v>0</v>
      </c>
      <c r="Q6" s="321"/>
      <c r="R6" s="312"/>
    </row>
    <row r="7" spans="1:21" ht="21">
      <c r="A7" s="313"/>
      <c r="B7" s="332" t="s">
        <v>24</v>
      </c>
      <c r="C7" s="322"/>
      <c r="D7" s="307">
        <f>IF(data_status_reg!$E5="bajo",0,IF(data_status_reg!$E5="medio",0.5,IF(data_status_reg!$E5="alto",1,"falta riesgo")))</f>
        <v>0</v>
      </c>
      <c r="E7" s="308"/>
      <c r="F7" s="308"/>
      <c r="G7" s="307">
        <f>IF(data_status_reg!$E21="bajo",0,IF(data_status_reg!$E21="medio",0.5,IF(data_status_reg!$E21="alto",1,"falta riesgo")))</f>
        <v>0</v>
      </c>
      <c r="H7" s="308"/>
      <c r="I7" s="308"/>
      <c r="J7" s="307">
        <f>IF(data_status_reg!$E37="bajo",0,IF(data_status_reg!$E37="medio",0.5,IF(data_status_reg!$E37="alto",1,"falta riesgo")))</f>
        <v>0</v>
      </c>
      <c r="K7" s="308"/>
      <c r="L7" s="308"/>
      <c r="M7" s="307">
        <f>IF(data_status_reg!$E53="bajo",0,IF(data_status_reg!$E53="medio",0.5,IF(data_status_reg!$E53="alto",1,"falta riesgo")))</f>
        <v>0</v>
      </c>
      <c r="N7" s="305"/>
      <c r="O7" s="335"/>
      <c r="P7" s="307">
        <f>IF(data_status_reg!$E69="bajo",0,IF(data_status_reg!$E69="medio",0.5,IF(data_status_reg!$E69="alto",1,"falta riesgo")))</f>
        <v>0</v>
      </c>
      <c r="Q7" s="323"/>
      <c r="R7" s="3"/>
    </row>
    <row r="8" spans="1:21" ht="21">
      <c r="A8" s="313"/>
      <c r="B8" s="332" t="s">
        <v>25</v>
      </c>
      <c r="C8" s="322"/>
      <c r="D8" s="307">
        <f>IF(data_status_reg!$E6="bajo",0,IF(data_status_reg!$E6="medio",0.5,IF(data_status_reg!$E6="alto",1,"falta riesgo")))</f>
        <v>0</v>
      </c>
      <c r="E8" s="308"/>
      <c r="F8" s="308"/>
      <c r="G8" s="307">
        <f>IF(data_status_reg!$E22="bajo",0,IF(data_status_reg!$E22="medio",0.5,IF(data_status_reg!$E22="alto",1,"falta riesgo")))</f>
        <v>0</v>
      </c>
      <c r="H8" s="308"/>
      <c r="I8" s="308"/>
      <c r="J8" s="307">
        <f>IF(data_status_reg!$E38="bajo",0,IF(data_status_reg!$E38="medio",0.5,IF(data_status_reg!$E38="alto",1,"falta riesgo")))</f>
        <v>0</v>
      </c>
      <c r="K8" s="308"/>
      <c r="L8" s="308"/>
      <c r="M8" s="307">
        <f>IF(data_status_reg!$E54="bajo",0,IF(data_status_reg!$E54="medio",0.5,IF(data_status_reg!$E54="alto",1,"falta riesgo")))</f>
        <v>0</v>
      </c>
      <c r="N8" s="305"/>
      <c r="O8" s="335"/>
      <c r="P8" s="307">
        <f>IF(data_status_reg!$E70="bajo",0,IF(data_status_reg!$E70="medio",0.5,IF(data_status_reg!$E70="alto",1,"falta riesgo")))</f>
        <v>0</v>
      </c>
      <c r="Q8" s="323"/>
      <c r="R8" s="3"/>
    </row>
    <row r="9" spans="1:21" ht="21">
      <c r="A9" s="313"/>
      <c r="B9" s="332" t="s">
        <v>26</v>
      </c>
      <c r="C9" s="322"/>
      <c r="D9" s="307">
        <f>IF(data_status_reg!$E7="bajo",0,IF(data_status_reg!$E7="medio",0.5,IF(data_status_reg!$E7="alto",1,"falta riesgo")))</f>
        <v>0</v>
      </c>
      <c r="E9" s="308"/>
      <c r="F9" s="308"/>
      <c r="G9" s="307">
        <f>IF(data_status_reg!$E23="bajo",0,IF(data_status_reg!$E23="medio",0.5,IF(data_status_reg!$E23="alto",1,"falta riesgo")))</f>
        <v>0</v>
      </c>
      <c r="H9" s="308"/>
      <c r="I9" s="308"/>
      <c r="J9" s="307">
        <f>IF(data_status_reg!$E39="bajo",0,IF(data_status_reg!$E39="medio",0.5,IF(data_status_reg!$E39="alto",1,"falta riesgo")))</f>
        <v>0</v>
      </c>
      <c r="K9" s="308"/>
      <c r="L9" s="308"/>
      <c r="M9" s="307">
        <f>IF(data_status_reg!$E55="bajo",0,IF(data_status_reg!$E55="medio",0.5,IF(data_status_reg!$E55="alto",1,"falta riesgo")))</f>
        <v>0</v>
      </c>
      <c r="N9" s="305"/>
      <c r="O9" s="335"/>
      <c r="P9" s="307">
        <f>IF(data_status_reg!$E71="bajo",0,IF(data_status_reg!$E71="medio",0.5,IF(data_status_reg!$E71="alto",1,"falta riesgo")))</f>
        <v>0</v>
      </c>
      <c r="Q9" s="323"/>
      <c r="R9" s="3"/>
    </row>
    <row r="10" spans="1:21" ht="21">
      <c r="A10" s="313"/>
      <c r="B10" s="332" t="s">
        <v>27</v>
      </c>
      <c r="C10" s="322"/>
      <c r="D10" s="307">
        <f>IF(data_status_reg!$E8="bajo",0,IF(data_status_reg!$E8="medio",0.5,IF(data_status_reg!$E8="alto",1,"falta riesgo")))</f>
        <v>0</v>
      </c>
      <c r="E10" s="308"/>
      <c r="F10" s="308"/>
      <c r="G10" s="307">
        <f>IF(data_status_reg!$E24="bajo",0,IF(data_status_reg!$E24="medio",0.5,IF(data_status_reg!$E24="alto",1,"falta riesgo")))</f>
        <v>0</v>
      </c>
      <c r="H10" s="308"/>
      <c r="I10" s="308"/>
      <c r="J10" s="307">
        <f>IF(data_status_reg!$E40="bajo",0,IF(data_status_reg!$E40="medio",0.5,IF(data_status_reg!$E40="alto",1,"falta riesgo")))</f>
        <v>0</v>
      </c>
      <c r="K10" s="308"/>
      <c r="L10" s="308"/>
      <c r="M10" s="307">
        <f>IF(data_status_reg!$E56="bajo",0,IF(data_status_reg!$E56="medio",0.5,IF(data_status_reg!$E56="alto",1,"falta riesgo")))</f>
        <v>0</v>
      </c>
      <c r="N10" s="305"/>
      <c r="O10" s="335"/>
      <c r="P10" s="307">
        <f>IF(data_status_reg!$E72="bajo",0,IF(data_status_reg!$E72="medio",0.5,IF(data_status_reg!$E72="alto",1,"falta riesgo")))</f>
        <v>0</v>
      </c>
      <c r="Q10" s="323"/>
      <c r="R10" s="3"/>
    </row>
    <row r="11" spans="1:21" ht="21">
      <c r="A11" s="313"/>
      <c r="B11" s="332" t="s">
        <v>28</v>
      </c>
      <c r="C11" s="322"/>
      <c r="D11" s="307">
        <f>IF(data_status_reg!$E9="bajo",0,IF(data_status_reg!$E9="medio",0.5,IF(data_status_reg!$E9="alto",1,"falta riesgo")))</f>
        <v>0</v>
      </c>
      <c r="E11" s="308"/>
      <c r="F11" s="308"/>
      <c r="G11" s="307">
        <f>IF(data_status_reg!$E25="bajo",0,IF(data_status_reg!$E25="medio",0.5,IF(data_status_reg!$E25="alto",1,"falta riesgo")))</f>
        <v>0</v>
      </c>
      <c r="H11" s="308"/>
      <c r="I11" s="308"/>
      <c r="J11" s="307">
        <f>IF(data_status_reg!$E41="bajo",0,IF(data_status_reg!$E41="medio",0.5,IF(data_status_reg!$E41="alto",1,"falta riesgo")))</f>
        <v>0</v>
      </c>
      <c r="K11" s="308"/>
      <c r="L11" s="308"/>
      <c r="M11" s="307">
        <f>IF(data_status_reg!$E57="bajo",0,IF(data_status_reg!$E57="medio",0.5,IF(data_status_reg!$E57="alto",1,"falta riesgo")))</f>
        <v>0</v>
      </c>
      <c r="N11" s="305"/>
      <c r="O11" s="335"/>
      <c r="P11" s="307">
        <f>IF(data_status_reg!$E73="bajo",0,IF(data_status_reg!$E73="medio",0.5,IF(data_status_reg!$E73="alto",1,"falta riesgo")))</f>
        <v>0</v>
      </c>
      <c r="Q11" s="323"/>
      <c r="R11" s="3"/>
    </row>
    <row r="12" spans="1:21" ht="21">
      <c r="A12" s="313"/>
      <c r="B12" s="332" t="s">
        <v>29</v>
      </c>
      <c r="C12" s="322"/>
      <c r="D12" s="307">
        <f>IF(data_status_reg!$E10="bajo",0,IF(data_status_reg!$E10="medio",0.5,IF(data_status_reg!$E10="alto",1,"falta riesgo")))</f>
        <v>0</v>
      </c>
      <c r="E12" s="308"/>
      <c r="F12" s="308"/>
      <c r="G12" s="307">
        <f>IF(data_status_reg!$E26="bajo",0,IF(data_status_reg!$E26="medio",0.5,IF(data_status_reg!$E26="alto",1,"falta riesgo")))</f>
        <v>0</v>
      </c>
      <c r="H12" s="308"/>
      <c r="I12" s="309"/>
      <c r="J12" s="307">
        <f>IF(data_status_reg!$E42="bajo",0,IF(data_status_reg!$E42="medio",0.5,IF(data_status_reg!$E42="alto",1,"falta riesgo")))</f>
        <v>0</v>
      </c>
      <c r="K12" s="309"/>
      <c r="L12" s="309"/>
      <c r="M12" s="307">
        <f>IF(data_status_reg!$E58="bajo",0,IF(data_status_reg!$E58="medio",0.5,IF(data_status_reg!$E58="alto",1,"falta riesgo")))</f>
        <v>0</v>
      </c>
      <c r="N12" s="306"/>
      <c r="O12" s="336"/>
      <c r="P12" s="307">
        <f>IF(data_status_reg!$E74="bajo",0,IF(data_status_reg!$E74="medio",0.5,IF(data_status_reg!$E74="alto",1,"falta riesgo")))</f>
        <v>0</v>
      </c>
      <c r="Q12" s="323"/>
      <c r="R12" s="3"/>
    </row>
    <row r="13" spans="1:21" ht="21">
      <c r="A13" s="313"/>
      <c r="B13" s="332" t="s">
        <v>30</v>
      </c>
      <c r="C13" s="322"/>
      <c r="D13" s="307">
        <f>IF(data_status_reg!$E11="bajo",0,IF(data_status_reg!$E11="medio",0.5,IF(data_status_reg!$E11="alto",1,"falta riesgo")))</f>
        <v>0</v>
      </c>
      <c r="E13" s="308"/>
      <c r="F13" s="308"/>
      <c r="G13" s="307">
        <f>IF(data_status_reg!$E27="bajo",0,IF(data_status_reg!$E27="medio",0.5,IF(data_status_reg!$E27="alto",1,"falta riesgo")))</f>
        <v>0</v>
      </c>
      <c r="H13" s="308"/>
      <c r="I13" s="308"/>
      <c r="J13" s="307">
        <f>IF(data_status_reg!$E43="bajo",0,IF(data_status_reg!$E43="medio",0.5,IF(data_status_reg!$E43="alto",1,"falta riesgo")))</f>
        <v>0</v>
      </c>
      <c r="K13" s="308"/>
      <c r="L13" s="308"/>
      <c r="M13" s="307">
        <f>IF(data_status_reg!$E59="bajo",0,IF(data_status_reg!$E59="medio",0.5,IF(data_status_reg!$E59="alto",1,"falta riesgo")))</f>
        <v>0</v>
      </c>
      <c r="N13" s="305"/>
      <c r="O13" s="335"/>
      <c r="P13" s="307">
        <f>IF(data_status_reg!$E75="bajo",0,IF(data_status_reg!$E75="medio",0.5,IF(data_status_reg!$E75="alto",1,"falta riesgo")))</f>
        <v>0</v>
      </c>
      <c r="Q13" s="323"/>
      <c r="R13" s="3"/>
      <c r="U13" s="10"/>
    </row>
    <row r="14" spans="1:21" ht="21">
      <c r="A14" s="313"/>
      <c r="B14" s="332" t="s">
        <v>31</v>
      </c>
      <c r="C14" s="322"/>
      <c r="D14" s="307">
        <f>IF(data_status_reg!$E12="bajo",0,IF(data_status_reg!$E12="medio",0.5,IF(data_status_reg!$E12="alto",1,"falta riesgo")))</f>
        <v>0</v>
      </c>
      <c r="E14" s="308"/>
      <c r="F14" s="308"/>
      <c r="G14" s="307">
        <f>IF(data_status_reg!$E28="bajo",0,IF(data_status_reg!$E28="medio",0.5,IF(data_status_reg!$E28="alto",1,"falta riesgo")))</f>
        <v>0</v>
      </c>
      <c r="H14" s="308"/>
      <c r="I14" s="308"/>
      <c r="J14" s="307">
        <f>IF(data_status_reg!$E44="bajo",0,IF(data_status_reg!$E44="medio",0.5,IF(data_status_reg!$E44="alto",1,"falta riesgo")))</f>
        <v>0</v>
      </c>
      <c r="K14" s="308"/>
      <c r="L14" s="308"/>
      <c r="M14" s="307">
        <f>IF(data_status_reg!$E60="bajo",0,IF(data_status_reg!$E60="medio",0.5,IF(data_status_reg!$E60="alto",1,"falta riesgo")))</f>
        <v>0</v>
      </c>
      <c r="N14" s="305"/>
      <c r="O14" s="335"/>
      <c r="P14" s="307">
        <f>IF(data_status_reg!$E76="bajo",0,IF(data_status_reg!$E76="medio",0.5,IF(data_status_reg!$E76="alto",1,"falta riesgo")))</f>
        <v>0</v>
      </c>
      <c r="Q14" s="323"/>
      <c r="R14" s="3"/>
    </row>
    <row r="15" spans="1:21" ht="21">
      <c r="A15" s="313"/>
      <c r="B15" s="332" t="s">
        <v>32</v>
      </c>
      <c r="C15" s="322"/>
      <c r="D15" s="307">
        <f>IF(data_status_reg!$E13="bajo",0,IF(data_status_reg!$E13="medio",0.5,IF(data_status_reg!$E13="alto",1,"falta riesgo")))</f>
        <v>0</v>
      </c>
      <c r="E15" s="308"/>
      <c r="F15" s="308"/>
      <c r="G15" s="307">
        <f>IF(data_status_reg!$E29="bajo",0,IF(data_status_reg!$E29="medio",0.5,IF(data_status_reg!$E29="alto",1,"falta riesgo")))</f>
        <v>0</v>
      </c>
      <c r="H15" s="308"/>
      <c r="I15" s="309"/>
      <c r="J15" s="307">
        <f>IF(data_status_reg!$E45="bajo",0,IF(data_status_reg!$E45="medio",0.5,IF(data_status_reg!$E45="alto",1,"falta riesgo")))</f>
        <v>0</v>
      </c>
      <c r="K15" s="309"/>
      <c r="L15" s="309"/>
      <c r="M15" s="307">
        <f>IF(data_status_reg!$E61="bajo",0,IF(data_status_reg!$E61="medio",0.5,IF(data_status_reg!$E61="alto",1,"falta riesgo")))</f>
        <v>0</v>
      </c>
      <c r="N15" s="306"/>
      <c r="O15" s="336"/>
      <c r="P15" s="307">
        <f>IF(data_status_reg!$E77="bajo",0,IF(data_status_reg!$E77="medio",0.5,IF(data_status_reg!$E77="alto",1,"falta riesgo")))</f>
        <v>0</v>
      </c>
      <c r="Q15" s="323"/>
      <c r="R15" s="3"/>
    </row>
    <row r="16" spans="1:21" ht="21">
      <c r="A16" s="313"/>
      <c r="B16" s="332" t="s">
        <v>33</v>
      </c>
      <c r="C16" s="322"/>
      <c r="D16" s="307">
        <f>IF(data_status_reg!$E14="bajo",0,IF(data_status_reg!$E14="medio",0.5,IF(data_status_reg!$E14="alto",1,"falta riesgo")))</f>
        <v>0</v>
      </c>
      <c r="E16" s="308"/>
      <c r="F16" s="308"/>
      <c r="G16" s="307">
        <f>IF(data_status_reg!$E30="bajo",0,IF(data_status_reg!$E30="medio",0.5,IF(data_status_reg!$E30="alto",1,"falta riesgo")))</f>
        <v>0</v>
      </c>
      <c r="H16" s="308"/>
      <c r="I16" s="308"/>
      <c r="J16" s="307">
        <f>IF(data_status_reg!$E46="bajo",0,IF(data_status_reg!$E46="medio",0.5,IF(data_status_reg!$E46="alto",1,"falta riesgo")))</f>
        <v>0</v>
      </c>
      <c r="K16" s="308"/>
      <c r="L16" s="308"/>
      <c r="M16" s="307">
        <f>IF(data_status_reg!$E62="bajo",0,IF(data_status_reg!$E62="medio",0.5,IF(data_status_reg!$E62="alto",1,"falta riesgo")))</f>
        <v>0</v>
      </c>
      <c r="N16" s="305"/>
      <c r="O16" s="335"/>
      <c r="P16" s="307">
        <f>IF(data_status_reg!$E78="bajo",0,IF(data_status_reg!$E78="medio",0.5,IF(data_status_reg!$E78="alto",1,"falta riesgo")))</f>
        <v>0</v>
      </c>
      <c r="Q16" s="323"/>
      <c r="R16" s="3"/>
    </row>
    <row r="17" spans="1:18" ht="21">
      <c r="A17" s="313"/>
      <c r="B17" s="332" t="s">
        <v>34</v>
      </c>
      <c r="C17" s="322"/>
      <c r="D17" s="307">
        <f>IF(data_status_reg!$E15="bajo",0,IF(data_status_reg!$E15="medio",0.5,IF(data_status_reg!$E15="alto",1,"falta riesgo")))</f>
        <v>0</v>
      </c>
      <c r="E17" s="308"/>
      <c r="F17" s="308"/>
      <c r="G17" s="307">
        <f>IF(data_status_reg!$E31="bajo",0,IF(data_status_reg!$E31="medio",0.5,IF(data_status_reg!$E31="alto",1,"falta riesgo")))</f>
        <v>0</v>
      </c>
      <c r="H17" s="308"/>
      <c r="I17" s="308"/>
      <c r="J17" s="307">
        <f>IF(data_status_reg!$E47="bajo",0,IF(data_status_reg!$E47="medio",0.5,IF(data_status_reg!$E47="alto",1,"falta riesgo")))</f>
        <v>0</v>
      </c>
      <c r="K17" s="308"/>
      <c r="L17" s="308"/>
      <c r="M17" s="307">
        <f>IF(data_status_reg!$E63="bajo",0,IF(data_status_reg!$E63="medio",0.5,IF(data_status_reg!$E63="alto",1,"falta riesgo")))</f>
        <v>0</v>
      </c>
      <c r="N17" s="305"/>
      <c r="O17" s="335"/>
      <c r="P17" s="307">
        <f>IF(data_status_reg!$E79="bajo",0,IF(data_status_reg!$E79="medio",0.5,IF(data_status_reg!$E79="alto",1,"falta riesgo")))</f>
        <v>0</v>
      </c>
      <c r="Q17" s="323"/>
      <c r="R17" s="3"/>
    </row>
    <row r="18" spans="1:18" ht="21">
      <c r="A18" s="313"/>
      <c r="B18" s="332" t="s">
        <v>35</v>
      </c>
      <c r="C18" s="322"/>
      <c r="D18" s="307">
        <f>IF(data_status_reg!$E16="bajo",0,IF(data_status_reg!$E16="medio",0.5,IF(data_status_reg!$E16="alto",1,"falta riesgo")))</f>
        <v>0</v>
      </c>
      <c r="E18" s="308"/>
      <c r="F18" s="308"/>
      <c r="G18" s="338" t="s">
        <v>45</v>
      </c>
      <c r="H18" s="308"/>
      <c r="I18" s="308"/>
      <c r="J18" s="307">
        <f>IF(data_status_reg!$E48="bajo",0,IF(data_status_reg!$E48="medio",0.5,IF(data_status_reg!$E48="alto",1,"falta riesgo")))</f>
        <v>0</v>
      </c>
      <c r="K18" s="308"/>
      <c r="M18" s="307">
        <f>IF(data_status_reg!$E64="bajo",0,IF(data_status_reg!$E64="medio",0.5,IF(data_status_reg!$E64="alto",1,"falta riesgo")))</f>
        <v>0</v>
      </c>
      <c r="N18" s="306"/>
      <c r="O18" s="336"/>
      <c r="P18" s="307">
        <f>IF(data_status_reg!$E80="bajo",0,IF(data_status_reg!$E80="medio",0.5,IF(data_status_reg!$E80="alto",1,"falta riesgo")))</f>
        <v>0</v>
      </c>
      <c r="Q18" s="323"/>
      <c r="R18" s="3"/>
    </row>
    <row r="19" spans="1:18" ht="21">
      <c r="A19" s="313"/>
      <c r="B19" s="332" t="s">
        <v>36</v>
      </c>
      <c r="C19" s="322"/>
      <c r="D19" s="307">
        <f>IF(data_status_reg!$E17="bajo",0,IF(data_status_reg!$E17="medio",0.5,IF(data_status_reg!$E17="alto",1,"falta riesgo")))</f>
        <v>0</v>
      </c>
      <c r="E19" s="308"/>
      <c r="F19" s="308"/>
      <c r="G19" s="307">
        <f>IF(data_status_reg!$E33="bajo",0,IF(data_status_reg!$E33="medio",0.5,IF(data_status_reg!$E33="alto",1,"falta riesgo")))</f>
        <v>0</v>
      </c>
      <c r="H19" s="308"/>
      <c r="I19" s="308"/>
      <c r="J19" s="307">
        <f>IF(data_status_reg!$E49="bajo",0,IF(data_status_reg!$E49="medio",0.5,IF(data_status_reg!$E49="alto",1,"falta riesgo")))</f>
        <v>0</v>
      </c>
      <c r="K19" s="308"/>
      <c r="L19" s="308"/>
      <c r="M19" s="307">
        <f>IF(data_status_reg!$E65="bajo",0,IF(data_status_reg!$E65="medio",0.5,IF(data_status_reg!$E65="alto",1,"falta riesgo")))</f>
        <v>0</v>
      </c>
      <c r="N19" s="305"/>
      <c r="O19" s="335"/>
      <c r="P19" s="307">
        <f>IF(data_status_reg!$E81="bajo",0,IF(data_status_reg!$E81="medio",0.5,IF(data_status_reg!$E81="alto",1,"falta riesgo")))</f>
        <v>0</v>
      </c>
      <c r="Q19" s="323"/>
      <c r="R19" s="3"/>
    </row>
    <row r="20" spans="1:18" ht="21">
      <c r="A20" s="313"/>
      <c r="B20" s="332" t="s">
        <v>37</v>
      </c>
      <c r="C20" s="322"/>
      <c r="D20" s="307">
        <f>IF(data_status_reg!$E18="bajo",0,IF(data_status_reg!$E18="medio",0.5,IF(data_status_reg!$E18="alto",1,"falta riesgo")))</f>
        <v>0</v>
      </c>
      <c r="E20" s="308"/>
      <c r="F20" s="308"/>
      <c r="G20" s="307">
        <f>IF(data_status_reg!$E34="bajo",0,IF(data_status_reg!$E34="medio",0.5,IF(data_status_reg!$E34="alto",1,"falta riesgo")))</f>
        <v>0</v>
      </c>
      <c r="H20" s="308"/>
      <c r="I20" s="308"/>
      <c r="J20" s="307">
        <f>IF(data_status_reg!$E50="bajo",0,IF(data_status_reg!$E50="medio",0.5,IF(data_status_reg!$E50="alto",1,"falta riesgo")))</f>
        <v>0</v>
      </c>
      <c r="K20" s="308"/>
      <c r="L20" s="308"/>
      <c r="M20" s="307">
        <f>IF(data_status_reg!$E66="bajo",0,IF(data_status_reg!$E66="medio",0.5,IF(data_status_reg!$E66="alto",1,"falta riesgo")))</f>
        <v>0</v>
      </c>
      <c r="N20" s="305"/>
      <c r="O20" s="335"/>
      <c r="P20" s="307">
        <f>IF(data_status_reg!$E82="bajo",0,IF(data_status_reg!$E82="medio",0.5,IF(data_status_reg!$E82="alto",1,"falta riesgo")))</f>
        <v>0</v>
      </c>
      <c r="Q20" s="323"/>
      <c r="R20" s="3"/>
    </row>
    <row r="21" spans="1:18" ht="21.75" thickBot="1">
      <c r="A21" s="313"/>
      <c r="B21" s="333" t="s">
        <v>38</v>
      </c>
      <c r="C21" s="324"/>
      <c r="D21" s="325">
        <f>IF(data_status_reg!$E19="bajo",0,IF(data_status_reg!$E19="medio",0.5,IF(data_status_reg!$E19="alto",1,"falta riesgo")))</f>
        <v>0</v>
      </c>
      <c r="E21" s="326"/>
      <c r="F21" s="326"/>
      <c r="G21" s="339" t="s">
        <v>45</v>
      </c>
      <c r="H21" s="326"/>
      <c r="I21" s="326"/>
      <c r="J21" s="325">
        <f>IF(data_status_reg!$E51="bajo",0,IF(data_status_reg!$E51="medio",0.5,IF(data_status_reg!$E51="alto",1,"falta riesgo")))</f>
        <v>0</v>
      </c>
      <c r="K21" s="326"/>
      <c r="L21" s="327"/>
      <c r="M21" s="328">
        <f>IF(data_status_reg!$E67="bajo",0,IF(data_status_reg!$E67="medio",0.5,IF(data_status_reg!$E67="alto",1,"falta riesgo")))</f>
        <v>0</v>
      </c>
      <c r="N21" s="329"/>
      <c r="O21" s="337"/>
      <c r="P21" s="325">
        <f>IF(data_status_reg!$E83="bajo",0,IF(data_status_reg!$E83="medio",0.5,IF(data_status_reg!$E83="alto",1,"falta riesgo")))</f>
        <v>0</v>
      </c>
      <c r="Q21" s="330"/>
      <c r="R21" s="3"/>
    </row>
    <row r="22" spans="1:18">
      <c r="A22" s="313"/>
      <c r="B22" s="3"/>
      <c r="C22" s="3"/>
      <c r="D22" s="3"/>
      <c r="E22" s="3"/>
      <c r="F22" s="3"/>
      <c r="G22" s="3"/>
      <c r="H22" s="3"/>
      <c r="I22" s="3"/>
      <c r="J22" s="3"/>
      <c r="K22" s="3"/>
      <c r="L22" s="3"/>
      <c r="M22" s="3"/>
      <c r="N22" s="3"/>
      <c r="O22" s="3"/>
      <c r="P22" s="3"/>
      <c r="Q22" s="3"/>
      <c r="R22" s="3"/>
    </row>
    <row r="23" spans="1:18" ht="15.75" thickBot="1">
      <c r="A23" s="315"/>
      <c r="B23" s="316"/>
      <c r="C23" s="316"/>
      <c r="D23" s="316"/>
      <c r="E23" s="316"/>
      <c r="F23" s="316"/>
      <c r="G23" s="316"/>
      <c r="H23" s="316"/>
      <c r="I23" s="316"/>
      <c r="J23" s="316"/>
      <c r="K23" s="316"/>
      <c r="L23" s="316"/>
      <c r="M23" s="316"/>
      <c r="N23" s="316"/>
      <c r="O23" s="316"/>
      <c r="P23" s="316"/>
      <c r="Q23" s="316"/>
      <c r="R23" s="316"/>
    </row>
    <row r="26" spans="1:18" outlineLevel="1"/>
    <row r="27" spans="1:18" outlineLevel="1">
      <c r="B27" s="5"/>
      <c r="C27" s="5"/>
      <c r="D27" s="5"/>
      <c r="E27" s="6"/>
    </row>
    <row r="28" spans="1:18" outlineLevel="1">
      <c r="E28" s="4"/>
    </row>
    <row r="29" spans="1:18" outlineLevel="1">
      <c r="E29" s="4"/>
    </row>
    <row r="30" spans="1:18" outlineLevel="1">
      <c r="E30" s="4"/>
    </row>
    <row r="31" spans="1:18" outlineLevel="1">
      <c r="E31" s="4"/>
    </row>
    <row r="32" spans="1:18" outlineLevel="1">
      <c r="E32" s="4"/>
    </row>
    <row r="33" spans="5:5" outlineLevel="1">
      <c r="E33" s="4"/>
    </row>
    <row r="34" spans="5:5" outlineLevel="1">
      <c r="E34" s="4"/>
    </row>
    <row r="35" spans="5:5" outlineLevel="1">
      <c r="E35" s="4"/>
    </row>
    <row r="36" spans="5:5" outlineLevel="1">
      <c r="E36" s="4"/>
    </row>
    <row r="37" spans="5:5" outlineLevel="1">
      <c r="E37" s="4"/>
    </row>
    <row r="38" spans="5:5" outlineLevel="1">
      <c r="E38" s="4"/>
    </row>
    <row r="39" spans="5:5" outlineLevel="1">
      <c r="E39" s="4"/>
    </row>
    <row r="40" spans="5:5" outlineLevel="1">
      <c r="E40" s="4"/>
    </row>
    <row r="41" spans="5:5" outlineLevel="1">
      <c r="E41" s="4"/>
    </row>
    <row r="42" spans="5:5" outlineLevel="1">
      <c r="E42" s="4"/>
    </row>
    <row r="43" spans="5:5" outlineLevel="1">
      <c r="E43" s="4"/>
    </row>
    <row r="44" spans="5:5" outlineLevel="1">
      <c r="E44" s="4"/>
    </row>
    <row r="45" spans="5:5" outlineLevel="1">
      <c r="E45" s="4"/>
    </row>
    <row r="46" spans="5:5" outlineLevel="1">
      <c r="E46" s="4"/>
    </row>
    <row r="47" spans="5:5" outlineLevel="1">
      <c r="E47" s="4"/>
    </row>
    <row r="48" spans="5:5" outlineLevel="1">
      <c r="E48" s="4"/>
    </row>
    <row r="49" spans="5:5" outlineLevel="1">
      <c r="E49" s="4"/>
    </row>
    <row r="50" spans="5:5" outlineLevel="1">
      <c r="E50" s="4"/>
    </row>
    <row r="51" spans="5:5" outlineLevel="1">
      <c r="E51" s="4"/>
    </row>
    <row r="52" spans="5:5" outlineLevel="1">
      <c r="E52" s="4"/>
    </row>
    <row r="53" spans="5:5" outlineLevel="1">
      <c r="E53" s="4"/>
    </row>
    <row r="54" spans="5:5" outlineLevel="1">
      <c r="E54" s="4"/>
    </row>
    <row r="55" spans="5:5" outlineLevel="1">
      <c r="E55" s="4"/>
    </row>
    <row r="56" spans="5:5" outlineLevel="1">
      <c r="E56" s="4"/>
    </row>
    <row r="57" spans="5:5" outlineLevel="1">
      <c r="E57" s="4"/>
    </row>
    <row r="58" spans="5:5" outlineLevel="1">
      <c r="E58" s="4"/>
    </row>
    <row r="59" spans="5:5" outlineLevel="1">
      <c r="E59" s="4"/>
    </row>
    <row r="60" spans="5:5" outlineLevel="1">
      <c r="E60" s="4"/>
    </row>
    <row r="61" spans="5:5" outlineLevel="1">
      <c r="E61" s="4"/>
    </row>
    <row r="62" spans="5:5" outlineLevel="1">
      <c r="E62" s="4"/>
    </row>
    <row r="63" spans="5:5" outlineLevel="1">
      <c r="E63" s="4"/>
    </row>
    <row r="64" spans="5:5" outlineLevel="1">
      <c r="E64" s="4"/>
    </row>
    <row r="65" spans="5:5" outlineLevel="1">
      <c r="E65" s="4"/>
    </row>
    <row r="66" spans="5:5" outlineLevel="1">
      <c r="E66" s="4"/>
    </row>
    <row r="67" spans="5:5" outlineLevel="1">
      <c r="E67" s="4"/>
    </row>
    <row r="68" spans="5:5" outlineLevel="1">
      <c r="E68" s="4"/>
    </row>
    <row r="69" spans="5:5" outlineLevel="1">
      <c r="E69" s="4"/>
    </row>
    <row r="70" spans="5:5" outlineLevel="1">
      <c r="E70" s="4"/>
    </row>
    <row r="71" spans="5:5" outlineLevel="1">
      <c r="E71" s="4"/>
    </row>
    <row r="72" spans="5:5" outlineLevel="1">
      <c r="E72" s="4"/>
    </row>
    <row r="73" spans="5:5" outlineLevel="1">
      <c r="E73" s="4"/>
    </row>
    <row r="74" spans="5:5" outlineLevel="1">
      <c r="E74" s="4"/>
    </row>
    <row r="75" spans="5:5" outlineLevel="1">
      <c r="E75" s="4"/>
    </row>
    <row r="76" spans="5:5" outlineLevel="1">
      <c r="E76" s="4"/>
    </row>
    <row r="77" spans="5:5" outlineLevel="1">
      <c r="E77" s="4"/>
    </row>
    <row r="78" spans="5:5" outlineLevel="1">
      <c r="E78" s="4"/>
    </row>
    <row r="79" spans="5:5" outlineLevel="1">
      <c r="E79" s="4"/>
    </row>
    <row r="80" spans="5:5" outlineLevel="1">
      <c r="E80" s="4"/>
    </row>
    <row r="81" spans="5:5" outlineLevel="1">
      <c r="E81" s="4"/>
    </row>
    <row r="82" spans="5:5" outlineLevel="1">
      <c r="E82" s="4"/>
    </row>
    <row r="83" spans="5:5" outlineLevel="1">
      <c r="E83" s="4"/>
    </row>
    <row r="84" spans="5:5" outlineLevel="1">
      <c r="E84" s="4"/>
    </row>
    <row r="85" spans="5:5" outlineLevel="1">
      <c r="E85" s="4"/>
    </row>
    <row r="86" spans="5:5" outlineLevel="1">
      <c r="E86" s="4"/>
    </row>
    <row r="87" spans="5:5" outlineLevel="1">
      <c r="E87" s="4"/>
    </row>
    <row r="88" spans="5:5" outlineLevel="1">
      <c r="E88" s="4"/>
    </row>
    <row r="89" spans="5:5" outlineLevel="1">
      <c r="E89" s="4"/>
    </row>
    <row r="90" spans="5:5" outlineLevel="1">
      <c r="E90" s="4"/>
    </row>
    <row r="91" spans="5:5" outlineLevel="1">
      <c r="E91" s="4"/>
    </row>
    <row r="92" spans="5:5" outlineLevel="1">
      <c r="E92" s="4"/>
    </row>
    <row r="93" spans="5:5" outlineLevel="1">
      <c r="E93" s="4"/>
    </row>
    <row r="94" spans="5:5" outlineLevel="1">
      <c r="E94" s="4"/>
    </row>
    <row r="95" spans="5:5" outlineLevel="1"/>
    <row r="96" spans="5:5" outlineLevel="1"/>
  </sheetData>
  <mergeCells count="7">
    <mergeCell ref="A1:R1"/>
    <mergeCell ref="A2:R2"/>
    <mergeCell ref="L5:N5"/>
    <mergeCell ref="C5:E5"/>
    <mergeCell ref="F5:H5"/>
    <mergeCell ref="I5:K5"/>
    <mergeCell ref="O5:Q5"/>
  </mergeCells>
  <pageMargins left="0" right="0" top="0" bottom="0" header="0" footer="0"/>
  <pageSetup paperSize="5" scale="90" orientation="landscape" r:id="rId1"/>
  <rowBreaks count="1" manualBreakCount="1">
    <brk id="23" max="16383" man="1"/>
  </rowBreaks>
  <extLst>
    <ext xmlns:x14="http://schemas.microsoft.com/office/spreadsheetml/2009/9/main" uri="{78C0D931-6437-407d-A8EE-F0AAD7539E65}">
      <x14:conditionalFormattings>
        <x14:conditionalFormatting xmlns:xm="http://schemas.microsoft.com/office/excel/2006/main">
          <x14:cfRule type="iconSet" priority="1282"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E21:K21 D7:D21 K7:L17 K18 K19:L20 E7:J20 D6:R6 M7:P21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2:G53"/>
  <sheetViews>
    <sheetView showGridLines="0" topLeftCell="A27" zoomScale="115" zoomScaleNormal="115" workbookViewId="0">
      <selection activeCell="B33" sqref="B33:C39"/>
    </sheetView>
  </sheetViews>
  <sheetFormatPr baseColWidth="10" defaultColWidth="11.42578125" defaultRowHeight="15"/>
  <cols>
    <col min="1" max="1" width="39.7109375" customWidth="1"/>
    <col min="2" max="2" width="64.85546875" customWidth="1"/>
    <col min="3" max="3" width="3.140625" customWidth="1"/>
    <col min="5" max="5" width="74.140625" customWidth="1"/>
  </cols>
  <sheetData>
    <row r="2" spans="1:7" ht="18" customHeight="1"/>
    <row r="3" spans="1:7" ht="18" customHeight="1">
      <c r="A3" t="s">
        <v>189</v>
      </c>
      <c r="B3" s="536" t="str">
        <f>_xlfn.CONCAT($D3,":"," ","Auditorías del Plan Anual de Auditoría")</f>
        <v>CDC: Auditorías del Plan Anual de Auditoría</v>
      </c>
      <c r="C3">
        <f t="shared" ref="C3:C46" si="0">IF($F3="bajo",0,IF($F3="medio",2,IF($F3="alto",3,4)))</f>
        <v>0</v>
      </c>
      <c r="D3" t="s">
        <v>21</v>
      </c>
      <c r="E3" t="s">
        <v>192</v>
      </c>
      <c r="F3" t="s">
        <v>13</v>
      </c>
      <c r="G3" t="s">
        <v>236</v>
      </c>
    </row>
    <row r="4" spans="1:7" ht="18" customHeight="1">
      <c r="A4" t="s">
        <v>189</v>
      </c>
      <c r="B4" s="536" t="str">
        <f>_xlfn.CONCAT($D4,":"," ","Documentos publicados en web Centro de Estudios")</f>
        <v>CDC: Documentos publicados en web Centro de Estudios</v>
      </c>
      <c r="C4">
        <f t="shared" si="0"/>
        <v>0</v>
      </c>
      <c r="D4" t="s">
        <v>21</v>
      </c>
      <c r="E4" t="s">
        <v>193</v>
      </c>
      <c r="F4" t="s">
        <v>13</v>
      </c>
      <c r="G4" t="s">
        <v>237</v>
      </c>
    </row>
    <row r="5" spans="1:7" ht="18" customHeight="1">
      <c r="A5" t="s">
        <v>189</v>
      </c>
      <c r="B5" s="536" t="str">
        <f>_xlfn.CONCAT($D5,":"," ","Solicitudes de información respondidas")</f>
        <v>CDC: Solicitudes de información respondidas</v>
      </c>
      <c r="C5">
        <f t="shared" si="0"/>
        <v>0</v>
      </c>
      <c r="D5" t="s">
        <v>21</v>
      </c>
      <c r="E5" t="s">
        <v>194</v>
      </c>
      <c r="F5" t="s">
        <v>13</v>
      </c>
      <c r="G5" t="s">
        <v>238</v>
      </c>
    </row>
    <row r="6" spans="1:7" ht="18" customHeight="1">
      <c r="A6" t="s">
        <v>190</v>
      </c>
      <c r="B6" s="536" t="str">
        <f>_xlfn.CONCAT($D6,":"," ","Solicitudes de certificados de estudio")</f>
        <v>CDC: Solicitudes de certificados de estudio</v>
      </c>
      <c r="C6">
        <f t="shared" si="0"/>
        <v>0</v>
      </c>
      <c r="D6" t="s">
        <v>21</v>
      </c>
      <c r="E6" t="s">
        <v>195</v>
      </c>
      <c r="F6" t="s">
        <v>13</v>
      </c>
      <c r="G6" t="s">
        <v>239</v>
      </c>
    </row>
    <row r="7" spans="1:7" ht="18" customHeight="1">
      <c r="A7" t="s">
        <v>190</v>
      </c>
      <c r="B7" s="536" t="str">
        <f>_xlfn.CONCAT($D7,":"," ","Sistema Calidad de Servicio y Experiencia")</f>
        <v>PMG: Sistema Calidad de Servicio y Experiencia</v>
      </c>
      <c r="C7">
        <f t="shared" si="0"/>
        <v>0</v>
      </c>
      <c r="D7" t="s">
        <v>6</v>
      </c>
      <c r="E7" t="s">
        <v>196</v>
      </c>
      <c r="F7" t="s">
        <v>13</v>
      </c>
      <c r="G7" t="s">
        <v>240</v>
      </c>
    </row>
    <row r="8" spans="1:7" ht="18" customHeight="1">
      <c r="A8" t="s">
        <v>190</v>
      </c>
      <c r="B8" s="536" t="str">
        <f>_xlfn.CONCAT($D8,":"," ","Medidas de Equidad y Género")</f>
        <v>PMG: Medidas de Equidad y Género</v>
      </c>
      <c r="C8">
        <f t="shared" si="0"/>
        <v>0</v>
      </c>
      <c r="D8" t="s">
        <v>6</v>
      </c>
      <c r="E8" t="s">
        <v>197</v>
      </c>
      <c r="F8" t="s">
        <v>13</v>
      </c>
      <c r="G8" t="s">
        <v>241</v>
      </c>
    </row>
    <row r="9" spans="1:7" ht="18" customHeight="1">
      <c r="A9" t="s">
        <v>190</v>
      </c>
      <c r="B9" s="536" t="str">
        <f>_xlfn.CONCAT($D9,":"," ","Acciones formativas del Centro de Innovación")</f>
        <v>CDC: Acciones formativas del Centro de Innovación</v>
      </c>
      <c r="C9">
        <f t="shared" si="0"/>
        <v>0</v>
      </c>
      <c r="D9" t="s">
        <v>21</v>
      </c>
      <c r="E9" t="s">
        <v>198</v>
      </c>
      <c r="F9" t="s">
        <v>13</v>
      </c>
      <c r="G9" t="s">
        <v>242</v>
      </c>
    </row>
    <row r="10" spans="1:7" ht="18" customHeight="1">
      <c r="A10" t="s">
        <v>190</v>
      </c>
      <c r="B10" s="536" t="str">
        <f>_xlfn.CONCAT($D10,":"," ","Compra de equipamiento")</f>
        <v>CDC: Compra de equipamiento</v>
      </c>
      <c r="C10">
        <f t="shared" si="0"/>
        <v>0</v>
      </c>
      <c r="D10" t="s">
        <v>21</v>
      </c>
      <c r="E10" t="s">
        <v>199</v>
      </c>
      <c r="F10" t="s">
        <v>13</v>
      </c>
      <c r="G10" t="s">
        <v>243</v>
      </c>
    </row>
    <row r="11" spans="1:7" ht="18" customHeight="1">
      <c r="A11" t="s">
        <v>18</v>
      </c>
      <c r="B11" s="536" t="str">
        <f>_xlfn.CONCAT($D11,":"," ","Elaboración de informe formación docente")</f>
        <v>CDC: Elaboración de informe formación docente</v>
      </c>
      <c r="C11">
        <f t="shared" si="0"/>
        <v>0</v>
      </c>
      <c r="D11" t="s">
        <v>21</v>
      </c>
      <c r="E11" t="s">
        <v>200</v>
      </c>
      <c r="F11" t="s">
        <v>13</v>
      </c>
      <c r="G11" t="s">
        <v>244</v>
      </c>
    </row>
    <row r="12" spans="1:7" ht="18" customHeight="1">
      <c r="A12" t="s">
        <v>18</v>
      </c>
      <c r="B12" s="536" t="str">
        <f>_xlfn.CONCAT($D12,":"," ","Provincias que participan de acciones de CPEIP")</f>
        <v>H: Provincias que participan de acciones de CPEIP</v>
      </c>
      <c r="C12">
        <f t="shared" si="0"/>
        <v>0</v>
      </c>
      <c r="D12" t="s">
        <v>7</v>
      </c>
      <c r="E12" s="1" t="s">
        <v>201</v>
      </c>
      <c r="F12" t="s">
        <v>13</v>
      </c>
      <c r="G12" t="s">
        <v>245</v>
      </c>
    </row>
    <row r="13" spans="1:7" ht="18" customHeight="1">
      <c r="A13" t="s">
        <v>18</v>
      </c>
      <c r="B13" s="536" t="str">
        <f>_xlfn.CONCAT($D13,":"," ","Formación de bienestar docente")</f>
        <v>CDC: Formación de bienestar docente</v>
      </c>
      <c r="C13">
        <f t="shared" si="0"/>
        <v>0</v>
      </c>
      <c r="D13" t="s">
        <v>21</v>
      </c>
      <c r="E13" t="s">
        <v>202</v>
      </c>
      <c r="F13" t="s">
        <v>13</v>
      </c>
      <c r="G13" t="s">
        <v>246</v>
      </c>
    </row>
    <row r="14" spans="1:7" ht="18" customHeight="1">
      <c r="A14" t="s">
        <v>18</v>
      </c>
      <c r="B14" s="536" t="str">
        <f>_xlfn.CONCAT($D14,":"," ","Informe proyecto de ley carrera directiva")</f>
        <v>CDC: Informe proyecto de ley carrera directiva</v>
      </c>
      <c r="C14">
        <f t="shared" si="0"/>
        <v>0</v>
      </c>
      <c r="D14" t="s">
        <v>21</v>
      </c>
      <c r="E14" t="s">
        <v>203</v>
      </c>
      <c r="F14" t="s">
        <v>13</v>
      </c>
      <c r="G14" t="s">
        <v>247</v>
      </c>
    </row>
    <row r="15" spans="1:7" ht="18" customHeight="1">
      <c r="A15" t="s">
        <v>19</v>
      </c>
      <c r="B15" s="536" t="str">
        <f>_xlfn.CONCAT($D15,":"," ","Implementación del Programa 'A convivir se Aprende'")</f>
        <v>H: Implementación del Programa 'A convivir se Aprende'</v>
      </c>
      <c r="C15">
        <f t="shared" si="0"/>
        <v>0</v>
      </c>
      <c r="D15" t="s">
        <v>7</v>
      </c>
      <c r="E15" s="1" t="s">
        <v>204</v>
      </c>
      <c r="F15" t="s">
        <v>13</v>
      </c>
      <c r="G15" t="s">
        <v>248</v>
      </c>
    </row>
    <row r="16" spans="1:7" ht="19.5" customHeight="1">
      <c r="A16" t="s">
        <v>19</v>
      </c>
      <c r="B16" s="536" t="str">
        <f>_xlfn.CONCAT($D16,":"," ","Inscipción para completar los estudios")</f>
        <v>CDC: Inscipción para completar los estudios</v>
      </c>
      <c r="C16">
        <f t="shared" si="0"/>
        <v>0</v>
      </c>
      <c r="D16" t="s">
        <v>21</v>
      </c>
      <c r="E16" t="s">
        <v>205</v>
      </c>
      <c r="F16" t="s">
        <v>13</v>
      </c>
      <c r="G16" t="s">
        <v>249</v>
      </c>
    </row>
    <row r="17" spans="1:7" ht="18" customHeight="1">
      <c r="A17" t="s">
        <v>19</v>
      </c>
      <c r="B17" s="536" t="str">
        <f>_xlfn.CONCAT($D17,":"," ","Procesos de validación de estudios")</f>
        <v>CDC: Procesos de validación de estudios</v>
      </c>
      <c r="C17">
        <f t="shared" si="0"/>
        <v>0</v>
      </c>
      <c r="D17" t="s">
        <v>21</v>
      </c>
      <c r="E17" t="s">
        <v>206</v>
      </c>
      <c r="F17" t="s">
        <v>13</v>
      </c>
      <c r="G17" t="s">
        <v>250</v>
      </c>
    </row>
    <row r="18" spans="1:7" ht="18" customHeight="1">
      <c r="A18" t="s">
        <v>19</v>
      </c>
      <c r="B18" s="536" t="str">
        <f>_xlfn.CONCAT($D18,":"," ","Acciones plan de difusión")</f>
        <v>CDC: Acciones plan de difusión</v>
      </c>
      <c r="C18">
        <f t="shared" si="0"/>
        <v>0</v>
      </c>
      <c r="D18" t="s">
        <v>21</v>
      </c>
      <c r="E18" t="s">
        <v>207</v>
      </c>
      <c r="F18" t="s">
        <v>13</v>
      </c>
      <c r="G18" t="s">
        <v>251</v>
      </c>
    </row>
    <row r="19" spans="1:7" ht="18" customHeight="1">
      <c r="A19" t="s">
        <v>130</v>
      </c>
      <c r="B19" s="536" t="str">
        <f>_xlfn.CONCAT($D19,":"," ","Sistemas definidos como críticos")</f>
        <v>CDC: Sistemas definidos como críticos</v>
      </c>
      <c r="C19">
        <f t="shared" si="0"/>
        <v>0</v>
      </c>
      <c r="D19" t="s">
        <v>21</v>
      </c>
      <c r="E19" t="s">
        <v>208</v>
      </c>
      <c r="F19" t="s">
        <v>13</v>
      </c>
      <c r="G19" t="s">
        <v>252</v>
      </c>
    </row>
    <row r="20" spans="1:7" ht="18" customHeight="1">
      <c r="A20" t="s">
        <v>130</v>
      </c>
      <c r="B20" s="536" t="str">
        <f>_xlfn.CONCAT($D20,":"," ","Sitios web con certificados de sitio seguro")</f>
        <v>CDC: Sitios web con certificados de sitio seguro</v>
      </c>
      <c r="C20">
        <f t="shared" si="0"/>
        <v>0</v>
      </c>
      <c r="D20" t="s">
        <v>21</v>
      </c>
      <c r="E20" t="s">
        <v>209</v>
      </c>
      <c r="F20" t="s">
        <v>13</v>
      </c>
      <c r="G20" t="s">
        <v>253</v>
      </c>
    </row>
    <row r="21" spans="1:7" ht="18" customHeight="1">
      <c r="A21" t="s">
        <v>130</v>
      </c>
      <c r="B21" s="536" t="str">
        <f>_xlfn.CONCAT($D21,":"," ","Tickets de atención resueltos")</f>
        <v>CDC: Tickets de atención resueltos</v>
      </c>
      <c r="C21">
        <f t="shared" si="0"/>
        <v>0</v>
      </c>
      <c r="D21" t="s">
        <v>21</v>
      </c>
      <c r="E21" t="s">
        <v>210</v>
      </c>
      <c r="F21" t="s">
        <v>13</v>
      </c>
      <c r="G21" t="s">
        <v>254</v>
      </c>
    </row>
    <row r="22" spans="1:7" ht="18" customHeight="1">
      <c r="A22" t="s">
        <v>130</v>
      </c>
      <c r="B22" s="536" t="str">
        <f>_xlfn.CONCAT($D22,":"," ","Transformación Digital")</f>
        <v>PMG: Transformación Digital</v>
      </c>
      <c r="C22">
        <f t="shared" si="0"/>
        <v>0</v>
      </c>
      <c r="D22" t="s">
        <v>6</v>
      </c>
      <c r="E22" t="s">
        <v>211</v>
      </c>
      <c r="F22" t="s">
        <v>13</v>
      </c>
      <c r="G22" t="s">
        <v>255</v>
      </c>
    </row>
    <row r="23" spans="1:7" ht="18" customHeight="1">
      <c r="A23" t="s">
        <v>130</v>
      </c>
      <c r="B23" s="536" t="str">
        <f>_xlfn.CONCAT($D23,":"," ","Concentración del Gasto")</f>
        <v>PMG: Concentración del Gasto</v>
      </c>
      <c r="C23">
        <f t="shared" si="0"/>
        <v>0</v>
      </c>
      <c r="D23" t="s">
        <v>6</v>
      </c>
      <c r="E23" t="s">
        <v>212</v>
      </c>
      <c r="F23" t="s">
        <v>13</v>
      </c>
      <c r="G23" t="s">
        <v>256</v>
      </c>
    </row>
    <row r="24" spans="1:7" ht="22.5" customHeight="1">
      <c r="A24" t="s">
        <v>130</v>
      </c>
      <c r="B24" s="536" t="str">
        <f>_xlfn.CONCAT($D24,":"," ","Asistencia vía SIGE")</f>
        <v>CDC: Asistencia vía SIGE</v>
      </c>
      <c r="C24">
        <f t="shared" si="0"/>
        <v>0</v>
      </c>
      <c r="D24" t="s">
        <v>21</v>
      </c>
      <c r="E24" t="s">
        <v>213</v>
      </c>
      <c r="F24" t="s">
        <v>13</v>
      </c>
      <c r="G24" t="s">
        <v>257</v>
      </c>
    </row>
    <row r="25" spans="1:7" ht="18" customHeight="1">
      <c r="A25" t="s">
        <v>130</v>
      </c>
      <c r="B25" s="536" t="str">
        <f>_xlfn.CONCAT($D25,":"," ","Transacciones a través del sistema SIGPA")</f>
        <v>CDC: Transacciones a través del sistema SIGPA</v>
      </c>
      <c r="C25">
        <f t="shared" si="0"/>
        <v>0</v>
      </c>
      <c r="D25" t="s">
        <v>21</v>
      </c>
      <c r="E25" t="s">
        <v>214</v>
      </c>
      <c r="F25" t="s">
        <v>13</v>
      </c>
      <c r="G25" t="s">
        <v>258</v>
      </c>
    </row>
    <row r="26" spans="1:7" ht="18" customHeight="1">
      <c r="A26" t="s">
        <v>130</v>
      </c>
      <c r="B26" s="536" t="str">
        <f>_xlfn.CONCAT($D26,":"," ","Procesos documentados URAE")</f>
        <v>CDC: Procesos documentados URAE</v>
      </c>
      <c r="C26">
        <f t="shared" si="0"/>
        <v>0</v>
      </c>
      <c r="D26" t="s">
        <v>21</v>
      </c>
      <c r="E26" t="s">
        <v>215</v>
      </c>
      <c r="F26" t="s">
        <v>13</v>
      </c>
      <c r="G26" t="s">
        <v>259</v>
      </c>
    </row>
    <row r="27" spans="1:7" ht="18" customHeight="1">
      <c r="A27" t="s">
        <v>16</v>
      </c>
      <c r="B27" s="536" t="str">
        <f>_xlfn.CONCAT($D27,":"," ","Solicitudes de beneficios y/o préstamos")</f>
        <v>CDC: Solicitudes de beneficios y/o préstamos</v>
      </c>
      <c r="C27">
        <f t="shared" si="0"/>
        <v>0</v>
      </c>
      <c r="D27" t="s">
        <v>21</v>
      </c>
      <c r="E27" t="s">
        <v>216</v>
      </c>
      <c r="F27" t="s">
        <v>13</v>
      </c>
      <c r="G27" t="s">
        <v>260</v>
      </c>
    </row>
    <row r="28" spans="1:7" ht="18" customHeight="1">
      <c r="A28" t="s">
        <v>16</v>
      </c>
      <c r="B28" s="536" t="str">
        <f>_xlfn.CONCAT($D28,":"," ","Expedientes de compras")</f>
        <v>CDC: Expedientes de compras</v>
      </c>
      <c r="C28">
        <f t="shared" si="0"/>
        <v>0</v>
      </c>
      <c r="D28" t="s">
        <v>21</v>
      </c>
      <c r="E28" t="s">
        <v>217</v>
      </c>
      <c r="F28" t="s">
        <v>13</v>
      </c>
      <c r="G28" t="s">
        <v>261</v>
      </c>
    </row>
    <row r="29" spans="1:7" ht="18" customHeight="1">
      <c r="A29" t="s">
        <v>16</v>
      </c>
      <c r="B29" s="536" t="str">
        <f>_xlfn.CONCAT($D29,":"," ","Sistema Estado Verde")</f>
        <v>PMG: Sistema Estado Verde</v>
      </c>
      <c r="C29">
        <f t="shared" si="0"/>
        <v>0</v>
      </c>
      <c r="D29" t="s">
        <v>6</v>
      </c>
      <c r="E29" t="s">
        <v>218</v>
      </c>
      <c r="F29" t="s">
        <v>13</v>
      </c>
      <c r="G29" t="s">
        <v>262</v>
      </c>
    </row>
    <row r="30" spans="1:7" ht="18" customHeight="1">
      <c r="A30" t="s">
        <v>16</v>
      </c>
      <c r="B30" s="536" t="str">
        <f>_xlfn.CONCAT($D30,":"," ","Sistema de Riesgos Psicosociales laborales")</f>
        <v>PMG: Sistema de Riesgos Psicosociales laborales</v>
      </c>
      <c r="C30">
        <f t="shared" si="0"/>
        <v>0</v>
      </c>
      <c r="D30" t="s">
        <v>6</v>
      </c>
      <c r="E30" t="s">
        <v>219</v>
      </c>
      <c r="F30" t="s">
        <v>13</v>
      </c>
      <c r="G30" t="s">
        <v>263</v>
      </c>
    </row>
    <row r="31" spans="1:7" ht="18" customHeight="1">
      <c r="A31" t="s">
        <v>16</v>
      </c>
      <c r="B31" s="536" t="str">
        <f>_xlfn.CONCAT($D31,":"," ","Cierres contables oportunos")</f>
        <v>CDC: Cierres contables oportunos</v>
      </c>
      <c r="C31">
        <f t="shared" si="0"/>
        <v>0</v>
      </c>
      <c r="D31" t="s">
        <v>21</v>
      </c>
      <c r="E31" t="s">
        <v>220</v>
      </c>
      <c r="F31" t="s">
        <v>13</v>
      </c>
      <c r="G31" t="s">
        <v>264</v>
      </c>
    </row>
    <row r="32" spans="1:7" ht="18" customHeight="1">
      <c r="A32" t="s">
        <v>16</v>
      </c>
      <c r="B32" s="536" t="str">
        <f>_xlfn.CONCAT($D32,":"," ","Contratos nuevos a honorarios NC")</f>
        <v>CDC: Contratos nuevos a honorarios NC</v>
      </c>
      <c r="C32">
        <f t="shared" si="0"/>
        <v>0</v>
      </c>
      <c r="D32" t="s">
        <v>21</v>
      </c>
      <c r="E32" t="s">
        <v>221</v>
      </c>
      <c r="F32" t="s">
        <v>13</v>
      </c>
      <c r="G32" t="s">
        <v>265</v>
      </c>
    </row>
    <row r="33" spans="1:7" ht="18" customHeight="1">
      <c r="A33" t="s">
        <v>20</v>
      </c>
      <c r="B33" s="536" t="str">
        <f>_xlfn.CONCAT($D33,":"," ","Recursos de Lectura, Aprendizaje y Bibliotecas")</f>
        <v>CDC: Recursos de Lectura, Aprendizaje y Bibliotecas</v>
      </c>
      <c r="C33">
        <f t="shared" si="0"/>
        <v>0</v>
      </c>
      <c r="D33" t="s">
        <v>21</v>
      </c>
      <c r="E33" t="s">
        <v>222</v>
      </c>
      <c r="F33" t="s">
        <v>13</v>
      </c>
      <c r="G33" t="s">
        <v>266</v>
      </c>
    </row>
    <row r="34" spans="1:7" ht="18" customHeight="1">
      <c r="A34" t="s">
        <v>20</v>
      </c>
      <c r="B34" s="536" t="str">
        <f>_xlfn.CONCAT($D34,":"," ","Ejecución del plan de Desarrollo Curricular")</f>
        <v>CDC: Ejecución del plan de Desarrollo Curricular</v>
      </c>
      <c r="C34">
        <f t="shared" si="0"/>
        <v>0</v>
      </c>
      <c r="D34" t="s">
        <v>21</v>
      </c>
      <c r="E34" t="s">
        <v>223</v>
      </c>
      <c r="F34" t="s">
        <v>13</v>
      </c>
      <c r="G34" t="s">
        <v>267</v>
      </c>
    </row>
    <row r="35" spans="1:7" ht="18" customHeight="1">
      <c r="A35" t="s">
        <v>20</v>
      </c>
      <c r="B35" s="536" t="str">
        <f>_xlfn.CONCAT($D35,":"," ","Difusión de instrumentos curriculares")</f>
        <v>CDC: Difusión de instrumentos curriculares</v>
      </c>
      <c r="C35">
        <f t="shared" si="0"/>
        <v>0</v>
      </c>
      <c r="D35" t="s">
        <v>21</v>
      </c>
      <c r="E35" t="s">
        <v>224</v>
      </c>
      <c r="F35" t="s">
        <v>13</v>
      </c>
      <c r="G35" t="s">
        <v>268</v>
      </c>
    </row>
    <row r="36" spans="1:7" ht="18" customHeight="1">
      <c r="A36" t="s">
        <v>20</v>
      </c>
      <c r="B36" s="536" t="str">
        <f>_xlfn.CONCAT($D36,":"," ","Ejecución del plan de Evaluación y Estándares")</f>
        <v>CDC: Ejecución del plan de Evaluación y Estándares</v>
      </c>
      <c r="C36">
        <f t="shared" si="0"/>
        <v>0</v>
      </c>
      <c r="D36" t="s">
        <v>21</v>
      </c>
      <c r="E36" t="s">
        <v>225</v>
      </c>
      <c r="F36" t="s">
        <v>13</v>
      </c>
      <c r="G36" t="s">
        <v>269</v>
      </c>
    </row>
    <row r="37" spans="1:7" ht="21" customHeight="1">
      <c r="A37" t="s">
        <v>20</v>
      </c>
      <c r="B37" s="536" t="str">
        <f>_xlfn.CONCAT($D37,":"," ","Modernización de textos escolares")</f>
        <v>CDC: Modernización de textos escolares</v>
      </c>
      <c r="C37">
        <f t="shared" si="0"/>
        <v>0</v>
      </c>
      <c r="D37" t="s">
        <v>21</v>
      </c>
      <c r="E37" t="s">
        <v>226</v>
      </c>
      <c r="F37" t="s">
        <v>13</v>
      </c>
      <c r="G37" t="s">
        <v>270</v>
      </c>
    </row>
    <row r="38" spans="1:7" ht="21" customHeight="1">
      <c r="A38" t="s">
        <v>20</v>
      </c>
      <c r="B38" s="536" t="str">
        <f>_xlfn.CONCAT($D38,":"," ","Textos Escolares entregados")</f>
        <v>H: Textos Escolares entregados</v>
      </c>
      <c r="C38">
        <f t="shared" si="0"/>
        <v>0</v>
      </c>
      <c r="D38" t="s">
        <v>7</v>
      </c>
      <c r="E38" t="s">
        <v>227</v>
      </c>
      <c r="F38" t="s">
        <v>13</v>
      </c>
      <c r="G38" t="s">
        <v>271</v>
      </c>
    </row>
    <row r="39" spans="1:7" ht="18" customHeight="1">
      <c r="A39" t="s">
        <v>20</v>
      </c>
      <c r="B39" s="536" t="str">
        <f>_xlfn.CONCAT($D39,":"," ","Entrega de Kit evaluativo de los EE subvencionados")</f>
        <v>H: Entrega de Kit evaluativo de los EE subvencionados</v>
      </c>
      <c r="C39">
        <f t="shared" si="0"/>
        <v>0</v>
      </c>
      <c r="D39" t="s">
        <v>7</v>
      </c>
      <c r="E39" s="1" t="s">
        <v>228</v>
      </c>
      <c r="F39" t="s">
        <v>13</v>
      </c>
      <c r="G39" t="s">
        <v>272</v>
      </c>
    </row>
    <row r="40" spans="1:7" ht="18" customHeight="1">
      <c r="A40" t="s">
        <v>191</v>
      </c>
      <c r="B40" s="536" t="str">
        <f>_xlfn.CONCAT($D40,":"," ","Actos administrativos con una Licitación Pública ")</f>
        <v xml:space="preserve">CDC: Actos administrativos con una Licitación Pública </v>
      </c>
      <c r="C40">
        <f t="shared" si="0"/>
        <v>0</v>
      </c>
      <c r="D40" t="s">
        <v>21</v>
      </c>
      <c r="E40" t="s">
        <v>229</v>
      </c>
      <c r="F40" t="s">
        <v>13</v>
      </c>
      <c r="G40" t="s">
        <v>273</v>
      </c>
    </row>
    <row r="41" spans="1:7" ht="18" customHeight="1">
      <c r="A41" t="s">
        <v>191</v>
      </c>
      <c r="B41" s="536" t="str">
        <f>_xlfn.CONCAT($D41,":"," ","Actos administrativos Bases Admin. y Técnicas")</f>
        <v>CDC: Actos administrativos Bases Admin. y Técnicas</v>
      </c>
      <c r="C41">
        <f t="shared" si="0"/>
        <v>0</v>
      </c>
      <c r="D41" t="s">
        <v>21</v>
      </c>
      <c r="E41" t="s">
        <v>230</v>
      </c>
      <c r="F41" t="s">
        <v>13</v>
      </c>
      <c r="G41" t="s">
        <v>274</v>
      </c>
    </row>
    <row r="42" spans="1:7" ht="18" customHeight="1">
      <c r="A42" t="s">
        <v>191</v>
      </c>
      <c r="B42" s="536" t="str">
        <f>_xlfn.CONCAT($D42,":"," ","Propuestas de convenios o reformulación")</f>
        <v>CDC: Propuestas de convenios o reformulación</v>
      </c>
      <c r="C42">
        <f t="shared" si="0"/>
        <v>0</v>
      </c>
      <c r="D42" t="s">
        <v>21</v>
      </c>
      <c r="E42" t="s">
        <v>231</v>
      </c>
      <c r="F42" t="s">
        <v>13</v>
      </c>
      <c r="G42" t="s">
        <v>275</v>
      </c>
    </row>
    <row r="43" spans="1:7" ht="18" customHeight="1">
      <c r="A43" t="s">
        <v>191</v>
      </c>
      <c r="B43" s="536" t="str">
        <f>_xlfn.CONCAT($D43,":"," ","Actos administrativos que transfieren recursos")</f>
        <v>CDC: Actos administrativos que transfieren recursos</v>
      </c>
      <c r="C43">
        <f t="shared" si="0"/>
        <v>0</v>
      </c>
      <c r="D43" t="s">
        <v>21</v>
      </c>
      <c r="E43" t="s">
        <v>232</v>
      </c>
      <c r="F43" t="s">
        <v>13</v>
      </c>
      <c r="G43" t="s">
        <v>276</v>
      </c>
    </row>
    <row r="44" spans="1:7" ht="18" customHeight="1">
      <c r="A44" t="s">
        <v>191</v>
      </c>
      <c r="B44" s="536" t="str">
        <f>_xlfn.CONCAT($D44,":"," ","Actos administrativos artículo 11 de la Ley N°20.159")</f>
        <v>CDC: Actos administrativos artículo 11 de la Ley N°20.159</v>
      </c>
      <c r="C44">
        <f t="shared" si="0"/>
        <v>0</v>
      </c>
      <c r="D44" t="s">
        <v>21</v>
      </c>
      <c r="E44" t="s">
        <v>233</v>
      </c>
      <c r="F44" t="s">
        <v>13</v>
      </c>
      <c r="G44" t="s">
        <v>277</v>
      </c>
    </row>
    <row r="45" spans="1:7" ht="20.25" customHeight="1">
      <c r="A45" t="s">
        <v>191</v>
      </c>
      <c r="B45" s="536" t="str">
        <f>_xlfn.CONCAT($D45,":"," ","Recursos de apelación, reclamación")</f>
        <v>CDC: Recursos de apelación, reclamación</v>
      </c>
      <c r="C45">
        <f t="shared" si="0"/>
        <v>0</v>
      </c>
      <c r="D45" t="s">
        <v>21</v>
      </c>
      <c r="E45" t="s">
        <v>234</v>
      </c>
      <c r="F45" t="s">
        <v>13</v>
      </c>
      <c r="G45" t="s">
        <v>278</v>
      </c>
    </row>
    <row r="46" spans="1:7" ht="18" customHeight="1">
      <c r="A46" t="s">
        <v>191</v>
      </c>
      <c r="B46" s="536" t="str">
        <f>_xlfn.CONCAT($D46,":"," ","Defensas a recursos de protección")</f>
        <v>CDC: Defensas a recursos de protección</v>
      </c>
      <c r="C46">
        <f t="shared" si="0"/>
        <v>0</v>
      </c>
      <c r="D46" t="s">
        <v>21</v>
      </c>
      <c r="E46" t="s">
        <v>235</v>
      </c>
      <c r="F46" t="s">
        <v>13</v>
      </c>
      <c r="G46" t="s">
        <v>279</v>
      </c>
    </row>
    <row r="47" spans="1:7" ht="18" customHeight="1"/>
    <row r="48" spans="1:7" ht="18" customHeight="1"/>
    <row r="49" ht="18" customHeight="1"/>
    <row r="50" ht="18" customHeight="1"/>
    <row r="51" ht="18" customHeight="1"/>
    <row r="52" ht="18" customHeight="1"/>
    <row r="53" ht="18" customHeight="1"/>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iconSet" priority="1" id="{A79CF2C1-BAFA-4E90-B8E1-E2129BE92D25}">
            <x14:iconSet iconSet="4TrafficLights" showValue="0" custom="1">
              <x14:cfvo type="percent">
                <xm:f>0</xm:f>
              </x14:cfvo>
              <x14:cfvo type="num">
                <xm:f>1</xm:f>
              </x14:cfvo>
              <x14:cfvo type="num" gte="0">
                <xm:f>2</xm:f>
              </x14:cfvo>
              <x14:cfvo type="num">
                <xm:f>4</xm:f>
              </x14:cfvo>
              <x14:cfIcon iconSet="3TrafficLights1" iconId="2"/>
              <x14:cfIcon iconSet="3TrafficLights1" iconId="1"/>
              <x14:cfIcon iconSet="3TrafficLights1" iconId="0"/>
              <x14:cfIcon iconSet="4RedToBlack" iconId="1"/>
            </x14:iconSet>
          </x14:cfRule>
          <xm:sqref>C3:C56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83"/>
  <sheetViews>
    <sheetView workbookViewId="0">
      <selection activeCell="G20" sqref="G20"/>
    </sheetView>
  </sheetViews>
  <sheetFormatPr baseColWidth="10" defaultRowHeight="15"/>
  <cols>
    <col min="2" max="2" width="14" customWidth="1"/>
    <col min="3" max="3" width="22.85546875" customWidth="1"/>
    <col min="4" max="4" width="17.5703125" customWidth="1"/>
  </cols>
  <sheetData>
    <row r="3" spans="2:5" ht="18.75" customHeight="1">
      <c r="B3" s="72" t="s">
        <v>46</v>
      </c>
      <c r="C3" s="72" t="s">
        <v>39</v>
      </c>
      <c r="D3" s="72" t="s">
        <v>69</v>
      </c>
      <c r="E3" s="72" t="s">
        <v>70</v>
      </c>
    </row>
    <row r="4" spans="2:5">
      <c r="B4" s="2" t="s">
        <v>280</v>
      </c>
      <c r="C4" s="2" t="s">
        <v>285</v>
      </c>
      <c r="D4" s="2" t="s">
        <v>23</v>
      </c>
      <c r="E4" s="73" t="s">
        <v>13</v>
      </c>
    </row>
    <row r="5" spans="2:5">
      <c r="B5" s="2" t="s">
        <v>280</v>
      </c>
      <c r="C5" s="2" t="s">
        <v>286</v>
      </c>
      <c r="D5" s="2" t="s">
        <v>24</v>
      </c>
      <c r="E5" s="73" t="s">
        <v>13</v>
      </c>
    </row>
    <row r="6" spans="2:5">
      <c r="B6" s="2" t="s">
        <v>280</v>
      </c>
      <c r="C6" s="2" t="s">
        <v>287</v>
      </c>
      <c r="D6" s="2" t="s">
        <v>25</v>
      </c>
      <c r="E6" s="73" t="s">
        <v>13</v>
      </c>
    </row>
    <row r="7" spans="2:5">
      <c r="B7" s="2" t="s">
        <v>280</v>
      </c>
      <c r="C7" s="2" t="s">
        <v>288</v>
      </c>
      <c r="D7" s="2" t="s">
        <v>26</v>
      </c>
      <c r="E7" s="73" t="s">
        <v>13</v>
      </c>
    </row>
    <row r="8" spans="2:5">
      <c r="B8" s="2" t="s">
        <v>280</v>
      </c>
      <c r="C8" s="2" t="s">
        <v>289</v>
      </c>
      <c r="D8" s="2" t="s">
        <v>27</v>
      </c>
      <c r="E8" s="73" t="s">
        <v>13</v>
      </c>
    </row>
    <row r="9" spans="2:5">
      <c r="B9" s="2" t="s">
        <v>280</v>
      </c>
      <c r="C9" s="2" t="s">
        <v>290</v>
      </c>
      <c r="D9" s="2" t="s">
        <v>28</v>
      </c>
      <c r="E9" s="73" t="s">
        <v>13</v>
      </c>
    </row>
    <row r="10" spans="2:5">
      <c r="B10" s="2" t="s">
        <v>280</v>
      </c>
      <c r="C10" s="2" t="s">
        <v>291</v>
      </c>
      <c r="D10" s="2" t="s">
        <v>29</v>
      </c>
      <c r="E10" s="73" t="s">
        <v>13</v>
      </c>
    </row>
    <row r="11" spans="2:5">
      <c r="B11" s="2" t="s">
        <v>280</v>
      </c>
      <c r="C11" s="2" t="s">
        <v>292</v>
      </c>
      <c r="D11" s="2" t="s">
        <v>30</v>
      </c>
      <c r="E11" s="73" t="s">
        <v>13</v>
      </c>
    </row>
    <row r="12" spans="2:5">
      <c r="B12" s="2" t="s">
        <v>280</v>
      </c>
      <c r="C12" s="2" t="s">
        <v>293</v>
      </c>
      <c r="D12" s="2" t="s">
        <v>365</v>
      </c>
      <c r="E12" s="73" t="s">
        <v>13</v>
      </c>
    </row>
    <row r="13" spans="2:5">
      <c r="B13" s="2" t="s">
        <v>280</v>
      </c>
      <c r="C13" s="2" t="s">
        <v>294</v>
      </c>
      <c r="D13" s="2" t="s">
        <v>32</v>
      </c>
      <c r="E13" s="73" t="s">
        <v>13</v>
      </c>
    </row>
    <row r="14" spans="2:5">
      <c r="B14" s="2" t="s">
        <v>280</v>
      </c>
      <c r="C14" s="2" t="s">
        <v>295</v>
      </c>
      <c r="D14" s="2" t="s">
        <v>33</v>
      </c>
      <c r="E14" s="73" t="s">
        <v>13</v>
      </c>
    </row>
    <row r="15" spans="2:5">
      <c r="B15" s="2" t="s">
        <v>280</v>
      </c>
      <c r="C15" s="2" t="s">
        <v>296</v>
      </c>
      <c r="D15" s="2" t="s">
        <v>34</v>
      </c>
      <c r="E15" s="73" t="s">
        <v>13</v>
      </c>
    </row>
    <row r="16" spans="2:5">
      <c r="B16" s="2" t="s">
        <v>280</v>
      </c>
      <c r="C16" s="2" t="s">
        <v>297</v>
      </c>
      <c r="D16" s="2" t="s">
        <v>35</v>
      </c>
      <c r="E16" s="73" t="s">
        <v>13</v>
      </c>
    </row>
    <row r="17" spans="2:5">
      <c r="B17" s="2" t="s">
        <v>280</v>
      </c>
      <c r="C17" s="2" t="s">
        <v>298</v>
      </c>
      <c r="D17" s="2" t="s">
        <v>36</v>
      </c>
      <c r="E17" s="73" t="s">
        <v>13</v>
      </c>
    </row>
    <row r="18" spans="2:5">
      <c r="B18" s="2" t="s">
        <v>280</v>
      </c>
      <c r="C18" s="2" t="s">
        <v>299</v>
      </c>
      <c r="D18" s="2" t="s">
        <v>37</v>
      </c>
      <c r="E18" s="73" t="s">
        <v>13</v>
      </c>
    </row>
    <row r="19" spans="2:5">
      <c r="B19" s="2" t="s">
        <v>280</v>
      </c>
      <c r="C19" s="2" t="s">
        <v>300</v>
      </c>
      <c r="D19" s="2" t="s">
        <v>38</v>
      </c>
      <c r="E19" s="73" t="s">
        <v>13</v>
      </c>
    </row>
    <row r="20" spans="2:5">
      <c r="B20" s="74" t="s">
        <v>281</v>
      </c>
      <c r="C20" s="74" t="s">
        <v>301</v>
      </c>
      <c r="D20" s="74" t="s">
        <v>23</v>
      </c>
      <c r="E20" s="73" t="s">
        <v>13</v>
      </c>
    </row>
    <row r="21" spans="2:5">
      <c r="B21" s="74" t="s">
        <v>281</v>
      </c>
      <c r="C21" s="74" t="s">
        <v>302</v>
      </c>
      <c r="D21" s="74" t="s">
        <v>24</v>
      </c>
      <c r="E21" s="73" t="s">
        <v>13</v>
      </c>
    </row>
    <row r="22" spans="2:5">
      <c r="B22" s="74" t="s">
        <v>281</v>
      </c>
      <c r="C22" s="74" t="s">
        <v>303</v>
      </c>
      <c r="D22" s="74" t="s">
        <v>25</v>
      </c>
      <c r="E22" s="73" t="s">
        <v>13</v>
      </c>
    </row>
    <row r="23" spans="2:5">
      <c r="B23" s="74" t="s">
        <v>281</v>
      </c>
      <c r="C23" s="74" t="s">
        <v>304</v>
      </c>
      <c r="D23" s="74" t="s">
        <v>26</v>
      </c>
      <c r="E23" s="73" t="s">
        <v>13</v>
      </c>
    </row>
    <row r="24" spans="2:5">
      <c r="B24" s="74" t="s">
        <v>281</v>
      </c>
      <c r="C24" s="74" t="s">
        <v>305</v>
      </c>
      <c r="D24" s="74" t="s">
        <v>27</v>
      </c>
      <c r="E24" s="73" t="s">
        <v>13</v>
      </c>
    </row>
    <row r="25" spans="2:5">
      <c r="B25" s="74" t="s">
        <v>281</v>
      </c>
      <c r="C25" s="74" t="s">
        <v>306</v>
      </c>
      <c r="D25" s="74" t="s">
        <v>28</v>
      </c>
      <c r="E25" s="73" t="s">
        <v>13</v>
      </c>
    </row>
    <row r="26" spans="2:5">
      <c r="B26" s="74" t="s">
        <v>281</v>
      </c>
      <c r="C26" s="74" t="s">
        <v>307</v>
      </c>
      <c r="D26" s="74" t="s">
        <v>29</v>
      </c>
      <c r="E26" s="73" t="s">
        <v>13</v>
      </c>
    </row>
    <row r="27" spans="2:5">
      <c r="B27" s="74" t="s">
        <v>281</v>
      </c>
      <c r="C27" s="74" t="s">
        <v>308</v>
      </c>
      <c r="D27" s="74" t="s">
        <v>30</v>
      </c>
      <c r="E27" s="73" t="s">
        <v>13</v>
      </c>
    </row>
    <row r="28" spans="2:5">
      <c r="B28" s="74" t="s">
        <v>281</v>
      </c>
      <c r="C28" s="74" t="s">
        <v>309</v>
      </c>
      <c r="D28" s="74" t="s">
        <v>365</v>
      </c>
      <c r="E28" s="73" t="s">
        <v>13</v>
      </c>
    </row>
    <row r="29" spans="2:5">
      <c r="B29" s="74" t="s">
        <v>281</v>
      </c>
      <c r="C29" s="74" t="s">
        <v>310</v>
      </c>
      <c r="D29" s="74" t="s">
        <v>32</v>
      </c>
      <c r="E29" s="73" t="s">
        <v>13</v>
      </c>
    </row>
    <row r="30" spans="2:5">
      <c r="B30" s="74" t="s">
        <v>281</v>
      </c>
      <c r="C30" s="74" t="s">
        <v>311</v>
      </c>
      <c r="D30" s="74" t="s">
        <v>33</v>
      </c>
      <c r="E30" s="73" t="s">
        <v>13</v>
      </c>
    </row>
    <row r="31" spans="2:5">
      <c r="B31" s="74" t="s">
        <v>281</v>
      </c>
      <c r="C31" s="74" t="s">
        <v>312</v>
      </c>
      <c r="D31" s="74" t="s">
        <v>34</v>
      </c>
      <c r="E31" s="73" t="s">
        <v>13</v>
      </c>
    </row>
    <row r="32" spans="2:5">
      <c r="B32" s="74" t="s">
        <v>281</v>
      </c>
      <c r="C32" s="74" t="s">
        <v>313</v>
      </c>
      <c r="D32" s="74" t="s">
        <v>35</v>
      </c>
      <c r="E32" s="73" t="s">
        <v>45</v>
      </c>
    </row>
    <row r="33" spans="2:5">
      <c r="B33" s="74" t="s">
        <v>281</v>
      </c>
      <c r="C33" s="74" t="s">
        <v>314</v>
      </c>
      <c r="D33" s="74" t="s">
        <v>36</v>
      </c>
      <c r="E33" s="73" t="s">
        <v>13</v>
      </c>
    </row>
    <row r="34" spans="2:5">
      <c r="B34" s="74" t="s">
        <v>281</v>
      </c>
      <c r="C34" s="74" t="s">
        <v>315</v>
      </c>
      <c r="D34" s="74" t="s">
        <v>37</v>
      </c>
      <c r="E34" s="73" t="s">
        <v>13</v>
      </c>
    </row>
    <row r="35" spans="2:5">
      <c r="B35" s="74" t="s">
        <v>281</v>
      </c>
      <c r="C35" s="74" t="s">
        <v>316</v>
      </c>
      <c r="D35" s="74" t="s">
        <v>38</v>
      </c>
      <c r="E35" s="73" t="s">
        <v>45</v>
      </c>
    </row>
    <row r="36" spans="2:5">
      <c r="B36" s="71" t="s">
        <v>282</v>
      </c>
      <c r="C36" s="2" t="s">
        <v>317</v>
      </c>
      <c r="D36" s="2" t="s">
        <v>23</v>
      </c>
      <c r="E36" s="73" t="s">
        <v>13</v>
      </c>
    </row>
    <row r="37" spans="2:5">
      <c r="B37" s="71" t="s">
        <v>282</v>
      </c>
      <c r="C37" s="2" t="s">
        <v>318</v>
      </c>
      <c r="D37" s="2" t="s">
        <v>24</v>
      </c>
      <c r="E37" s="73" t="s">
        <v>13</v>
      </c>
    </row>
    <row r="38" spans="2:5">
      <c r="B38" s="71" t="s">
        <v>282</v>
      </c>
      <c r="C38" s="2" t="s">
        <v>319</v>
      </c>
      <c r="D38" s="2" t="s">
        <v>25</v>
      </c>
      <c r="E38" s="73" t="s">
        <v>13</v>
      </c>
    </row>
    <row r="39" spans="2:5">
      <c r="B39" s="71" t="s">
        <v>282</v>
      </c>
      <c r="C39" s="2" t="s">
        <v>320</v>
      </c>
      <c r="D39" s="2" t="s">
        <v>26</v>
      </c>
      <c r="E39" s="73" t="s">
        <v>13</v>
      </c>
    </row>
    <row r="40" spans="2:5">
      <c r="B40" s="71" t="s">
        <v>282</v>
      </c>
      <c r="C40" s="2" t="s">
        <v>321</v>
      </c>
      <c r="D40" s="2" t="s">
        <v>27</v>
      </c>
      <c r="E40" s="73" t="s">
        <v>13</v>
      </c>
    </row>
    <row r="41" spans="2:5">
      <c r="B41" s="71" t="s">
        <v>282</v>
      </c>
      <c r="C41" s="2" t="s">
        <v>322</v>
      </c>
      <c r="D41" s="2" t="s">
        <v>28</v>
      </c>
      <c r="E41" s="73" t="s">
        <v>13</v>
      </c>
    </row>
    <row r="42" spans="2:5">
      <c r="B42" s="71" t="s">
        <v>282</v>
      </c>
      <c r="C42" s="2" t="s">
        <v>323</v>
      </c>
      <c r="D42" s="2" t="s">
        <v>29</v>
      </c>
      <c r="E42" s="73" t="s">
        <v>13</v>
      </c>
    </row>
    <row r="43" spans="2:5">
      <c r="B43" s="71" t="s">
        <v>282</v>
      </c>
      <c r="C43" s="2" t="s">
        <v>324</v>
      </c>
      <c r="D43" s="2" t="s">
        <v>30</v>
      </c>
      <c r="E43" s="73" t="s">
        <v>13</v>
      </c>
    </row>
    <row r="44" spans="2:5">
      <c r="B44" s="71" t="s">
        <v>282</v>
      </c>
      <c r="C44" s="2" t="s">
        <v>325</v>
      </c>
      <c r="D44" s="2" t="s">
        <v>365</v>
      </c>
      <c r="E44" s="73" t="s">
        <v>13</v>
      </c>
    </row>
    <row r="45" spans="2:5">
      <c r="B45" s="71" t="s">
        <v>282</v>
      </c>
      <c r="C45" s="2" t="s">
        <v>326</v>
      </c>
      <c r="D45" s="2" t="s">
        <v>32</v>
      </c>
      <c r="E45" s="73" t="s">
        <v>13</v>
      </c>
    </row>
    <row r="46" spans="2:5">
      <c r="B46" s="71" t="s">
        <v>282</v>
      </c>
      <c r="C46" s="2" t="s">
        <v>327</v>
      </c>
      <c r="D46" s="2" t="s">
        <v>33</v>
      </c>
      <c r="E46" s="73" t="s">
        <v>13</v>
      </c>
    </row>
    <row r="47" spans="2:5">
      <c r="B47" s="71" t="s">
        <v>282</v>
      </c>
      <c r="C47" s="2" t="s">
        <v>328</v>
      </c>
      <c r="D47" s="2" t="s">
        <v>34</v>
      </c>
      <c r="E47" s="73" t="s">
        <v>13</v>
      </c>
    </row>
    <row r="48" spans="2:5">
      <c r="B48" s="71" t="s">
        <v>282</v>
      </c>
      <c r="C48" s="2" t="s">
        <v>329</v>
      </c>
      <c r="D48" s="2" t="s">
        <v>35</v>
      </c>
      <c r="E48" s="73" t="s">
        <v>13</v>
      </c>
    </row>
    <row r="49" spans="2:5">
      <c r="B49" s="71" t="s">
        <v>282</v>
      </c>
      <c r="C49" s="2" t="s">
        <v>330</v>
      </c>
      <c r="D49" s="2" t="s">
        <v>36</v>
      </c>
      <c r="E49" s="73" t="s">
        <v>13</v>
      </c>
    </row>
    <row r="50" spans="2:5">
      <c r="B50" s="71" t="s">
        <v>282</v>
      </c>
      <c r="C50" s="2" t="s">
        <v>331</v>
      </c>
      <c r="D50" s="2" t="s">
        <v>37</v>
      </c>
      <c r="E50" s="73" t="s">
        <v>13</v>
      </c>
    </row>
    <row r="51" spans="2:5">
      <c r="B51" s="71" t="s">
        <v>282</v>
      </c>
      <c r="C51" s="2" t="s">
        <v>332</v>
      </c>
      <c r="D51" s="2" t="s">
        <v>38</v>
      </c>
      <c r="E51" s="73" t="s">
        <v>13</v>
      </c>
    </row>
    <row r="52" spans="2:5">
      <c r="B52" s="71" t="s">
        <v>283</v>
      </c>
      <c r="C52" s="2" t="s">
        <v>333</v>
      </c>
      <c r="D52" s="75" t="s">
        <v>23</v>
      </c>
      <c r="E52" s="73" t="s">
        <v>13</v>
      </c>
    </row>
    <row r="53" spans="2:5">
      <c r="B53" s="71" t="s">
        <v>283</v>
      </c>
      <c r="C53" s="2" t="s">
        <v>334</v>
      </c>
      <c r="D53" s="75" t="s">
        <v>24</v>
      </c>
      <c r="E53" s="73" t="s">
        <v>13</v>
      </c>
    </row>
    <row r="54" spans="2:5">
      <c r="B54" s="71" t="s">
        <v>283</v>
      </c>
      <c r="C54" s="2" t="s">
        <v>335</v>
      </c>
      <c r="D54" s="75" t="s">
        <v>25</v>
      </c>
      <c r="E54" s="73" t="s">
        <v>13</v>
      </c>
    </row>
    <row r="55" spans="2:5">
      <c r="B55" s="71" t="s">
        <v>283</v>
      </c>
      <c r="C55" s="2" t="s">
        <v>336</v>
      </c>
      <c r="D55" s="75" t="s">
        <v>26</v>
      </c>
      <c r="E55" s="73" t="s">
        <v>13</v>
      </c>
    </row>
    <row r="56" spans="2:5">
      <c r="B56" s="71" t="s">
        <v>283</v>
      </c>
      <c r="C56" s="2" t="s">
        <v>337</v>
      </c>
      <c r="D56" s="75" t="s">
        <v>27</v>
      </c>
      <c r="E56" s="73" t="s">
        <v>13</v>
      </c>
    </row>
    <row r="57" spans="2:5">
      <c r="B57" s="71" t="s">
        <v>283</v>
      </c>
      <c r="C57" s="2" t="s">
        <v>338</v>
      </c>
      <c r="D57" s="75" t="s">
        <v>28</v>
      </c>
      <c r="E57" s="73" t="s">
        <v>13</v>
      </c>
    </row>
    <row r="58" spans="2:5">
      <c r="B58" s="71" t="s">
        <v>283</v>
      </c>
      <c r="C58" s="2" t="s">
        <v>339</v>
      </c>
      <c r="D58" s="75" t="s">
        <v>29</v>
      </c>
      <c r="E58" s="73" t="s">
        <v>13</v>
      </c>
    </row>
    <row r="59" spans="2:5">
      <c r="B59" s="71" t="s">
        <v>283</v>
      </c>
      <c r="C59" s="2" t="s">
        <v>340</v>
      </c>
      <c r="D59" s="75" t="s">
        <v>30</v>
      </c>
      <c r="E59" s="73" t="s">
        <v>13</v>
      </c>
    </row>
    <row r="60" spans="2:5">
      <c r="B60" s="71" t="s">
        <v>283</v>
      </c>
      <c r="C60" s="2" t="s">
        <v>341</v>
      </c>
      <c r="D60" s="75" t="s">
        <v>365</v>
      </c>
      <c r="E60" s="73" t="s">
        <v>13</v>
      </c>
    </row>
    <row r="61" spans="2:5">
      <c r="B61" s="71" t="s">
        <v>283</v>
      </c>
      <c r="C61" s="2" t="s">
        <v>342</v>
      </c>
      <c r="D61" s="75" t="s">
        <v>32</v>
      </c>
      <c r="E61" s="73" t="s">
        <v>13</v>
      </c>
    </row>
    <row r="62" spans="2:5">
      <c r="B62" s="71" t="s">
        <v>283</v>
      </c>
      <c r="C62" s="2" t="s">
        <v>343</v>
      </c>
      <c r="D62" s="75" t="s">
        <v>33</v>
      </c>
      <c r="E62" s="73" t="s">
        <v>13</v>
      </c>
    </row>
    <row r="63" spans="2:5">
      <c r="B63" s="71" t="s">
        <v>283</v>
      </c>
      <c r="C63" s="2" t="s">
        <v>344</v>
      </c>
      <c r="D63" s="75" t="s">
        <v>34</v>
      </c>
      <c r="E63" s="73" t="s">
        <v>13</v>
      </c>
    </row>
    <row r="64" spans="2:5">
      <c r="B64" s="71" t="s">
        <v>283</v>
      </c>
      <c r="C64" s="2" t="s">
        <v>345</v>
      </c>
      <c r="D64" s="75" t="s">
        <v>35</v>
      </c>
      <c r="E64" s="73" t="s">
        <v>13</v>
      </c>
    </row>
    <row r="65" spans="2:5">
      <c r="B65" s="71" t="s">
        <v>283</v>
      </c>
      <c r="C65" s="2" t="s">
        <v>346</v>
      </c>
      <c r="D65" s="75" t="s">
        <v>36</v>
      </c>
      <c r="E65" s="73" t="s">
        <v>13</v>
      </c>
    </row>
    <row r="66" spans="2:5">
      <c r="B66" s="71" t="s">
        <v>283</v>
      </c>
      <c r="C66" s="2" t="s">
        <v>347</v>
      </c>
      <c r="D66" s="75" t="s">
        <v>37</v>
      </c>
      <c r="E66" s="73" t="s">
        <v>13</v>
      </c>
    </row>
    <row r="67" spans="2:5">
      <c r="B67" s="71" t="s">
        <v>283</v>
      </c>
      <c r="C67" s="2" t="s">
        <v>348</v>
      </c>
      <c r="D67" s="75" t="s">
        <v>38</v>
      </c>
      <c r="E67" s="73" t="s">
        <v>13</v>
      </c>
    </row>
    <row r="68" spans="2:5">
      <c r="B68" s="71" t="s">
        <v>284</v>
      </c>
      <c r="C68" s="2" t="s">
        <v>349</v>
      </c>
      <c r="D68" s="75" t="s">
        <v>23</v>
      </c>
      <c r="E68" s="73" t="s">
        <v>13</v>
      </c>
    </row>
    <row r="69" spans="2:5">
      <c r="B69" s="71" t="s">
        <v>284</v>
      </c>
      <c r="C69" s="2" t="s">
        <v>350</v>
      </c>
      <c r="D69" s="75" t="s">
        <v>24</v>
      </c>
      <c r="E69" s="73" t="s">
        <v>13</v>
      </c>
    </row>
    <row r="70" spans="2:5">
      <c r="B70" s="71" t="s">
        <v>284</v>
      </c>
      <c r="C70" s="2" t="s">
        <v>351</v>
      </c>
      <c r="D70" s="75" t="s">
        <v>25</v>
      </c>
      <c r="E70" s="73" t="s">
        <v>13</v>
      </c>
    </row>
    <row r="71" spans="2:5">
      <c r="B71" s="71" t="s">
        <v>284</v>
      </c>
      <c r="C71" s="2" t="s">
        <v>352</v>
      </c>
      <c r="D71" s="75" t="s">
        <v>26</v>
      </c>
      <c r="E71" s="73" t="s">
        <v>13</v>
      </c>
    </row>
    <row r="72" spans="2:5">
      <c r="B72" s="71" t="s">
        <v>284</v>
      </c>
      <c r="C72" s="2" t="s">
        <v>353</v>
      </c>
      <c r="D72" s="75" t="s">
        <v>27</v>
      </c>
      <c r="E72" s="73" t="s">
        <v>13</v>
      </c>
    </row>
    <row r="73" spans="2:5">
      <c r="B73" s="71" t="s">
        <v>284</v>
      </c>
      <c r="C73" s="2" t="s">
        <v>354</v>
      </c>
      <c r="D73" s="75" t="s">
        <v>28</v>
      </c>
      <c r="E73" s="73" t="s">
        <v>13</v>
      </c>
    </row>
    <row r="74" spans="2:5">
      <c r="B74" s="71" t="s">
        <v>284</v>
      </c>
      <c r="C74" s="2" t="s">
        <v>355</v>
      </c>
      <c r="D74" s="75" t="s">
        <v>29</v>
      </c>
      <c r="E74" s="73" t="s">
        <v>13</v>
      </c>
    </row>
    <row r="75" spans="2:5">
      <c r="B75" s="71" t="s">
        <v>284</v>
      </c>
      <c r="C75" s="2" t="s">
        <v>356</v>
      </c>
      <c r="D75" s="75" t="s">
        <v>30</v>
      </c>
      <c r="E75" s="73" t="s">
        <v>13</v>
      </c>
    </row>
    <row r="76" spans="2:5">
      <c r="B76" s="71" t="s">
        <v>284</v>
      </c>
      <c r="C76" s="2" t="s">
        <v>357</v>
      </c>
      <c r="D76" s="75" t="s">
        <v>365</v>
      </c>
      <c r="E76" s="73" t="s">
        <v>13</v>
      </c>
    </row>
    <row r="77" spans="2:5">
      <c r="B77" s="71" t="s">
        <v>284</v>
      </c>
      <c r="C77" s="2" t="s">
        <v>358</v>
      </c>
      <c r="D77" s="75" t="s">
        <v>32</v>
      </c>
      <c r="E77" s="73" t="s">
        <v>13</v>
      </c>
    </row>
    <row r="78" spans="2:5">
      <c r="B78" s="71" t="s">
        <v>284</v>
      </c>
      <c r="C78" s="2" t="s">
        <v>359</v>
      </c>
      <c r="D78" s="75" t="s">
        <v>33</v>
      </c>
      <c r="E78" s="73" t="s">
        <v>13</v>
      </c>
    </row>
    <row r="79" spans="2:5">
      <c r="B79" s="71" t="s">
        <v>284</v>
      </c>
      <c r="C79" s="2" t="s">
        <v>360</v>
      </c>
      <c r="D79" s="75" t="s">
        <v>34</v>
      </c>
      <c r="E79" s="73" t="s">
        <v>13</v>
      </c>
    </row>
    <row r="80" spans="2:5">
      <c r="B80" s="71" t="s">
        <v>284</v>
      </c>
      <c r="C80" s="2" t="s">
        <v>361</v>
      </c>
      <c r="D80" s="75" t="s">
        <v>35</v>
      </c>
      <c r="E80" s="73" t="s">
        <v>13</v>
      </c>
    </row>
    <row r="81" spans="2:5">
      <c r="B81" s="71" t="s">
        <v>284</v>
      </c>
      <c r="C81" s="2" t="s">
        <v>362</v>
      </c>
      <c r="D81" s="75" t="s">
        <v>36</v>
      </c>
      <c r="E81" s="73" t="s">
        <v>13</v>
      </c>
    </row>
    <row r="82" spans="2:5">
      <c r="B82" s="71" t="s">
        <v>284</v>
      </c>
      <c r="C82" s="2" t="s">
        <v>363</v>
      </c>
      <c r="D82" s="75" t="s">
        <v>37</v>
      </c>
      <c r="E82" s="73" t="s">
        <v>13</v>
      </c>
    </row>
    <row r="83" spans="2:5">
      <c r="B83" s="71" t="s">
        <v>284</v>
      </c>
      <c r="C83" s="2" t="s">
        <v>364</v>
      </c>
      <c r="D83" s="75" t="s">
        <v>38</v>
      </c>
      <c r="E83" s="73" t="s">
        <v>13</v>
      </c>
    </row>
  </sheetData>
  <pageMargins left="0.70866141732283472" right="0.70866141732283472" top="0.74803149606299213" bottom="0.74803149606299213" header="0.31496062992125984" footer="0.31496062992125984"/>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view="pageBreakPreview" topLeftCell="A10" zoomScaleNormal="85" zoomScaleSheetLayoutView="100" workbookViewId="0">
      <selection activeCell="C12" sqref="C12"/>
    </sheetView>
  </sheetViews>
  <sheetFormatPr baseColWidth="10" defaultColWidth="11.42578125" defaultRowHeight="15"/>
  <cols>
    <col min="1" max="1" width="3.5703125" style="30" customWidth="1"/>
    <col min="2" max="2" width="7.42578125" style="30" customWidth="1"/>
    <col min="3" max="3" width="28.7109375" style="30" bestFit="1" customWidth="1"/>
    <col min="4" max="4" width="16.28515625" style="30" customWidth="1"/>
    <col min="5" max="6" width="20.28515625" style="30" customWidth="1"/>
    <col min="7" max="7" width="19.7109375" style="30" customWidth="1"/>
    <col min="8" max="8" width="11.140625" style="30" customWidth="1"/>
    <col min="9" max="9" width="21.28515625" style="30" customWidth="1"/>
    <col min="10" max="10" width="15.42578125" style="30" customWidth="1"/>
    <col min="11" max="11" width="20.28515625" style="30" customWidth="1"/>
    <col min="12" max="12" width="21.140625" style="30" customWidth="1"/>
    <col min="13" max="13" width="18.28515625" style="30" customWidth="1"/>
    <col min="14" max="14" width="7.140625" style="30" customWidth="1"/>
    <col min="15" max="15" width="1" style="30" customWidth="1"/>
    <col min="16" max="16384" width="11.42578125" style="30"/>
  </cols>
  <sheetData>
    <row r="1" spans="1:16">
      <c r="A1" s="241"/>
      <c r="B1" s="261"/>
      <c r="C1" s="255"/>
      <c r="D1" s="255"/>
      <c r="E1" s="255"/>
      <c r="F1" s="255"/>
      <c r="G1" s="255"/>
      <c r="H1" s="255"/>
      <c r="I1" s="255"/>
      <c r="J1" s="255"/>
      <c r="K1" s="255"/>
      <c r="L1" s="255"/>
      <c r="M1" s="255"/>
      <c r="N1" s="255"/>
      <c r="O1" s="255"/>
      <c r="P1" s="255"/>
    </row>
    <row r="2" spans="1:16" ht="13.5" customHeight="1">
      <c r="A2" s="259"/>
      <c r="B2" s="260"/>
      <c r="N2" s="257"/>
      <c r="O2" s="262"/>
      <c r="P2" s="260"/>
    </row>
    <row r="3" spans="1:16" ht="37.35" customHeight="1">
      <c r="A3" s="31"/>
      <c r="B3" s="618" t="s">
        <v>47</v>
      </c>
      <c r="C3" s="619"/>
      <c r="D3" s="619"/>
      <c r="E3" s="619"/>
      <c r="F3" s="619"/>
      <c r="G3" s="619"/>
      <c r="H3" s="619"/>
      <c r="I3" s="619"/>
      <c r="J3" s="619"/>
      <c r="K3" s="619"/>
      <c r="L3" s="619"/>
      <c r="M3" s="619"/>
      <c r="N3" s="619"/>
      <c r="O3" s="620"/>
    </row>
    <row r="4" spans="1:16" ht="7.35" customHeight="1">
      <c r="A4" s="32"/>
      <c r="B4" s="625" t="s">
        <v>48</v>
      </c>
      <c r="C4" s="626"/>
      <c r="D4" s="626"/>
      <c r="E4" s="626"/>
      <c r="F4" s="626"/>
      <c r="G4" s="626"/>
      <c r="H4" s="626"/>
      <c r="I4" s="626"/>
      <c r="J4" s="626"/>
      <c r="K4" s="626"/>
      <c r="L4" s="626"/>
      <c r="M4" s="626"/>
      <c r="N4" s="626"/>
      <c r="O4" s="256"/>
    </row>
    <row r="5" spans="1:16" ht="43.5" customHeight="1">
      <c r="A5" s="32"/>
      <c r="B5" s="625"/>
      <c r="C5" s="626"/>
      <c r="D5" s="626"/>
      <c r="E5" s="626"/>
      <c r="F5" s="626"/>
      <c r="G5" s="626"/>
      <c r="H5" s="626"/>
      <c r="I5" s="626"/>
      <c r="J5" s="626"/>
      <c r="K5" s="626"/>
      <c r="L5" s="626"/>
      <c r="M5" s="626"/>
      <c r="N5" s="626"/>
      <c r="O5" s="256"/>
    </row>
    <row r="6" spans="1:16" ht="43.5" customHeight="1">
      <c r="A6" s="32"/>
      <c r="B6" s="625"/>
      <c r="C6" s="626"/>
      <c r="D6" s="626"/>
      <c r="E6" s="626"/>
      <c r="F6" s="626"/>
      <c r="G6" s="626"/>
      <c r="H6" s="626"/>
      <c r="I6" s="626"/>
      <c r="J6" s="626"/>
      <c r="K6" s="626"/>
      <c r="L6" s="626"/>
      <c r="M6" s="626"/>
      <c r="N6" s="626"/>
      <c r="O6" s="256"/>
    </row>
    <row r="7" spans="1:16" ht="8.1" customHeight="1">
      <c r="A7" s="32"/>
      <c r="B7" s="246"/>
      <c r="C7" s="237"/>
      <c r="D7" s="237"/>
      <c r="E7" s="237"/>
      <c r="F7" s="237"/>
      <c r="G7" s="237"/>
      <c r="H7" s="237"/>
      <c r="I7" s="237"/>
      <c r="J7" s="237"/>
      <c r="K7" s="237"/>
      <c r="L7" s="237"/>
      <c r="M7" s="237"/>
      <c r="N7" s="237"/>
      <c r="O7" s="256"/>
    </row>
    <row r="8" spans="1:16" ht="32.25" customHeight="1" thickBot="1">
      <c r="A8" s="245"/>
      <c r="B8" s="247"/>
      <c r="O8" s="256"/>
    </row>
    <row r="9" spans="1:16" ht="17.25" customHeight="1" thickBot="1">
      <c r="A9" s="240"/>
      <c r="B9" s="247"/>
      <c r="C9" s="238"/>
      <c r="D9" s="629" t="s">
        <v>49</v>
      </c>
      <c r="E9" s="627"/>
      <c r="F9" s="627"/>
      <c r="G9" s="628"/>
      <c r="I9" s="238"/>
      <c r="J9" s="634" t="s">
        <v>49</v>
      </c>
      <c r="K9" s="631"/>
      <c r="L9" s="632"/>
      <c r="M9" s="633"/>
      <c r="O9" s="256"/>
    </row>
    <row r="10" spans="1:16" ht="37.5" customHeight="1" thickBot="1">
      <c r="A10" s="240"/>
      <c r="B10" s="249"/>
      <c r="C10" s="62" t="s">
        <v>50</v>
      </c>
      <c r="D10" s="630"/>
      <c r="E10" s="63" t="s">
        <v>51</v>
      </c>
      <c r="F10" s="63" t="s">
        <v>52</v>
      </c>
      <c r="G10" s="64" t="s">
        <v>53</v>
      </c>
      <c r="I10" s="66" t="s">
        <v>50</v>
      </c>
      <c r="J10" s="635"/>
      <c r="K10" s="67" t="s">
        <v>51</v>
      </c>
      <c r="L10" s="67" t="s">
        <v>52</v>
      </c>
      <c r="M10" s="68" t="s">
        <v>53</v>
      </c>
      <c r="O10" s="256"/>
    </row>
    <row r="11" spans="1:16" ht="18.75">
      <c r="A11" s="242"/>
      <c r="B11" s="247"/>
      <c r="C11" s="65" t="s">
        <v>18</v>
      </c>
      <c r="D11" s="343">
        <v>1</v>
      </c>
      <c r="E11" s="343">
        <v>1</v>
      </c>
      <c r="F11" s="343">
        <v>1</v>
      </c>
      <c r="G11" s="344">
        <v>1</v>
      </c>
      <c r="I11" s="563" t="s">
        <v>23</v>
      </c>
      <c r="J11" s="343">
        <v>1</v>
      </c>
      <c r="K11" s="343">
        <v>1</v>
      </c>
      <c r="L11" s="343">
        <v>1</v>
      </c>
      <c r="M11" s="344">
        <v>1</v>
      </c>
      <c r="O11" s="256"/>
    </row>
    <row r="12" spans="1:16" ht="18.75">
      <c r="A12" s="32"/>
      <c r="B12" s="247"/>
      <c r="C12" s="34" t="s">
        <v>16</v>
      </c>
      <c r="D12" s="345">
        <v>0.97</v>
      </c>
      <c r="E12" s="345">
        <v>1</v>
      </c>
      <c r="F12" s="345">
        <v>1</v>
      </c>
      <c r="G12" s="346">
        <v>0.9</v>
      </c>
      <c r="I12" s="564" t="s">
        <v>24</v>
      </c>
      <c r="J12" s="345">
        <v>1</v>
      </c>
      <c r="K12" s="345">
        <v>1</v>
      </c>
      <c r="L12" s="345">
        <v>1</v>
      </c>
      <c r="M12" s="346">
        <v>1</v>
      </c>
      <c r="N12" s="257"/>
      <c r="O12" s="248"/>
    </row>
    <row r="13" spans="1:16" ht="18.75">
      <c r="A13" s="32"/>
      <c r="B13" s="247"/>
      <c r="C13" s="34" t="s">
        <v>19</v>
      </c>
      <c r="D13" s="345">
        <v>1</v>
      </c>
      <c r="E13" s="345">
        <v>1</v>
      </c>
      <c r="F13" s="345">
        <v>1</v>
      </c>
      <c r="G13" s="346">
        <v>1</v>
      </c>
      <c r="I13" s="564" t="s">
        <v>25</v>
      </c>
      <c r="J13" s="345">
        <v>1</v>
      </c>
      <c r="K13" s="345">
        <v>1</v>
      </c>
      <c r="L13" s="345">
        <v>1</v>
      </c>
      <c r="M13" s="346">
        <v>1</v>
      </c>
      <c r="N13" s="257"/>
      <c r="O13" s="248"/>
    </row>
    <row r="14" spans="1:16" ht="18.75">
      <c r="A14" s="243"/>
      <c r="B14" s="247"/>
      <c r="C14" s="34" t="s">
        <v>17</v>
      </c>
      <c r="D14" s="345">
        <v>0.92</v>
      </c>
      <c r="E14" s="345">
        <v>1</v>
      </c>
      <c r="F14" s="345">
        <v>1</v>
      </c>
      <c r="G14" s="346">
        <v>0.75</v>
      </c>
      <c r="I14" s="564" t="s">
        <v>26</v>
      </c>
      <c r="J14" s="345">
        <v>1</v>
      </c>
      <c r="K14" s="345">
        <v>1</v>
      </c>
      <c r="L14" s="345">
        <v>1</v>
      </c>
      <c r="M14" s="346">
        <v>1</v>
      </c>
      <c r="N14" s="257"/>
      <c r="O14" s="248"/>
    </row>
    <row r="15" spans="1:16" ht="18.75">
      <c r="A15" s="32"/>
      <c r="B15" s="247"/>
      <c r="C15" s="57" t="s">
        <v>366</v>
      </c>
      <c r="D15" s="345">
        <v>1</v>
      </c>
      <c r="E15" s="345">
        <v>1</v>
      </c>
      <c r="F15" s="345">
        <v>1</v>
      </c>
      <c r="G15" s="346">
        <v>1</v>
      </c>
      <c r="I15" s="564" t="s">
        <v>27</v>
      </c>
      <c r="J15" s="345">
        <v>1</v>
      </c>
      <c r="K15" s="345">
        <v>1</v>
      </c>
      <c r="L15" s="345">
        <v>1</v>
      </c>
      <c r="M15" s="346">
        <v>1</v>
      </c>
      <c r="N15" s="257"/>
      <c r="O15" s="248"/>
    </row>
    <row r="16" spans="1:16" ht="18.75">
      <c r="A16" s="32"/>
      <c r="B16" s="247"/>
      <c r="C16" s="57" t="s">
        <v>367</v>
      </c>
      <c r="D16" s="345">
        <v>1</v>
      </c>
      <c r="E16" s="345">
        <v>1</v>
      </c>
      <c r="F16" s="345">
        <v>1</v>
      </c>
      <c r="G16" s="346">
        <v>1</v>
      </c>
      <c r="I16" s="564" t="s">
        <v>28</v>
      </c>
      <c r="J16" s="345">
        <v>0.9</v>
      </c>
      <c r="K16" s="345">
        <v>1</v>
      </c>
      <c r="L16" s="345">
        <v>1</v>
      </c>
      <c r="M16" s="346">
        <v>0.7</v>
      </c>
      <c r="N16" s="257"/>
      <c r="O16" s="248"/>
    </row>
    <row r="17" spans="1:15" ht="18.75">
      <c r="A17" s="32"/>
      <c r="B17" s="247"/>
      <c r="C17" s="57" t="s">
        <v>368</v>
      </c>
      <c r="D17" s="345">
        <v>1</v>
      </c>
      <c r="E17" s="345">
        <v>1</v>
      </c>
      <c r="F17" s="345">
        <v>1</v>
      </c>
      <c r="G17" s="346">
        <v>1</v>
      </c>
      <c r="I17" s="564" t="s">
        <v>29</v>
      </c>
      <c r="J17" s="345">
        <v>1</v>
      </c>
      <c r="K17" s="345">
        <v>1</v>
      </c>
      <c r="L17" s="345">
        <v>1</v>
      </c>
      <c r="M17" s="346">
        <v>1</v>
      </c>
      <c r="N17" s="257"/>
      <c r="O17" s="248"/>
    </row>
    <row r="18" spans="1:15" ht="18.75">
      <c r="A18" s="32"/>
      <c r="B18" s="247"/>
      <c r="C18" s="57" t="s">
        <v>369</v>
      </c>
      <c r="D18" s="345">
        <v>0.67</v>
      </c>
      <c r="E18" s="345">
        <v>1</v>
      </c>
      <c r="F18" s="345">
        <v>1</v>
      </c>
      <c r="G18" s="346">
        <v>0</v>
      </c>
      <c r="I18" s="564" t="s">
        <v>30</v>
      </c>
      <c r="J18" s="345">
        <v>0.8</v>
      </c>
      <c r="K18" s="345">
        <v>1</v>
      </c>
      <c r="L18" s="345">
        <v>0.8</v>
      </c>
      <c r="M18" s="346">
        <v>0.6</v>
      </c>
      <c r="N18" s="257"/>
      <c r="O18" s="248"/>
    </row>
    <row r="19" spans="1:15" ht="18.75">
      <c r="A19" s="32"/>
      <c r="B19" s="247"/>
      <c r="C19" s="34" t="s">
        <v>370</v>
      </c>
      <c r="D19" s="345">
        <v>1</v>
      </c>
      <c r="E19" s="345">
        <v>1</v>
      </c>
      <c r="F19" s="345">
        <v>1</v>
      </c>
      <c r="G19" s="346">
        <v>1</v>
      </c>
      <c r="I19" s="564" t="s">
        <v>365</v>
      </c>
      <c r="J19" s="345">
        <v>0.87</v>
      </c>
      <c r="K19" s="345">
        <v>1</v>
      </c>
      <c r="L19" s="345">
        <v>0.8</v>
      </c>
      <c r="M19" s="346">
        <v>0.8</v>
      </c>
      <c r="N19" s="257"/>
      <c r="O19" s="248"/>
    </row>
    <row r="20" spans="1:15" ht="18.75">
      <c r="A20" s="32"/>
      <c r="B20" s="247"/>
      <c r="C20" s="34" t="s">
        <v>371</v>
      </c>
      <c r="D20" s="345">
        <v>1</v>
      </c>
      <c r="E20" s="345">
        <v>1</v>
      </c>
      <c r="F20" s="345">
        <v>1</v>
      </c>
      <c r="G20" s="346">
        <v>1</v>
      </c>
      <c r="I20" s="564" t="s">
        <v>32</v>
      </c>
      <c r="J20" s="345">
        <v>0.8</v>
      </c>
      <c r="K20" s="345">
        <v>1</v>
      </c>
      <c r="L20" s="345">
        <v>0.8</v>
      </c>
      <c r="M20" s="346">
        <v>0.6</v>
      </c>
      <c r="N20" s="257"/>
      <c r="O20" s="248"/>
    </row>
    <row r="21" spans="1:15" ht="18.75">
      <c r="A21" s="32"/>
      <c r="B21" s="247"/>
      <c r="C21" s="33" t="s">
        <v>372</v>
      </c>
      <c r="D21" s="345">
        <v>1</v>
      </c>
      <c r="E21" s="345">
        <v>1</v>
      </c>
      <c r="F21" s="345">
        <v>1</v>
      </c>
      <c r="G21" s="346">
        <v>1</v>
      </c>
      <c r="I21" s="564" t="s">
        <v>33</v>
      </c>
      <c r="J21" s="345">
        <v>1</v>
      </c>
      <c r="K21" s="345">
        <v>1</v>
      </c>
      <c r="L21" s="345">
        <v>1</v>
      </c>
      <c r="M21" s="346">
        <v>1</v>
      </c>
      <c r="N21" s="257"/>
      <c r="O21" s="248"/>
    </row>
    <row r="22" spans="1:15" ht="18.75">
      <c r="A22" s="32"/>
      <c r="B22" s="247"/>
      <c r="C22" s="33" t="s">
        <v>373</v>
      </c>
      <c r="D22" s="345">
        <v>1</v>
      </c>
      <c r="E22" s="345">
        <v>1</v>
      </c>
      <c r="F22" s="345">
        <v>1</v>
      </c>
      <c r="G22" s="346">
        <v>1</v>
      </c>
      <c r="I22" s="564" t="s">
        <v>34</v>
      </c>
      <c r="J22" s="345">
        <v>0.93</v>
      </c>
      <c r="K22" s="345">
        <v>1</v>
      </c>
      <c r="L22" s="345">
        <v>1</v>
      </c>
      <c r="M22" s="346">
        <v>0.8</v>
      </c>
      <c r="N22" s="257"/>
      <c r="O22" s="248"/>
    </row>
    <row r="23" spans="1:15" ht="18.75">
      <c r="A23" s="32"/>
      <c r="B23" s="247"/>
      <c r="C23" s="34" t="s">
        <v>190</v>
      </c>
      <c r="D23" s="345">
        <v>1</v>
      </c>
      <c r="E23" s="345">
        <v>1</v>
      </c>
      <c r="F23" s="345">
        <v>1</v>
      </c>
      <c r="G23" s="346">
        <v>1</v>
      </c>
      <c r="I23" s="564" t="s">
        <v>35</v>
      </c>
      <c r="J23" s="345">
        <v>1</v>
      </c>
      <c r="K23" s="345">
        <v>1</v>
      </c>
      <c r="L23" s="345">
        <v>1</v>
      </c>
      <c r="M23" s="346">
        <v>1</v>
      </c>
      <c r="N23" s="257"/>
      <c r="O23" s="248"/>
    </row>
    <row r="24" spans="1:15" ht="18.75">
      <c r="A24" s="32"/>
      <c r="B24" s="247"/>
      <c r="C24" s="33" t="s">
        <v>374</v>
      </c>
      <c r="D24" s="345">
        <v>1</v>
      </c>
      <c r="E24" s="345">
        <v>1</v>
      </c>
      <c r="F24" s="345">
        <v>1</v>
      </c>
      <c r="G24" s="346">
        <v>1</v>
      </c>
      <c r="I24" s="564" t="s">
        <v>36</v>
      </c>
      <c r="J24" s="345">
        <v>1</v>
      </c>
      <c r="K24" s="345">
        <v>1</v>
      </c>
      <c r="L24" s="345">
        <v>1</v>
      </c>
      <c r="M24" s="346">
        <v>1</v>
      </c>
      <c r="N24" s="257"/>
      <c r="O24" s="248"/>
    </row>
    <row r="25" spans="1:15" ht="18.75">
      <c r="A25" s="32"/>
      <c r="B25" s="247"/>
      <c r="C25" s="33" t="s">
        <v>190</v>
      </c>
      <c r="D25" s="345">
        <v>1</v>
      </c>
      <c r="E25" s="345">
        <v>1</v>
      </c>
      <c r="F25" s="345">
        <v>1</v>
      </c>
      <c r="G25" s="346">
        <v>1</v>
      </c>
      <c r="I25" s="564" t="s">
        <v>37</v>
      </c>
      <c r="J25" s="345">
        <v>1</v>
      </c>
      <c r="K25" s="345">
        <v>1</v>
      </c>
      <c r="L25" s="345">
        <v>1</v>
      </c>
      <c r="M25" s="346">
        <v>1</v>
      </c>
      <c r="N25" s="257"/>
      <c r="O25" s="248"/>
    </row>
    <row r="26" spans="1:15" ht="19.5" thickBot="1">
      <c r="A26" s="32"/>
      <c r="B26" s="247"/>
      <c r="C26" s="33" t="s">
        <v>375</v>
      </c>
      <c r="D26" s="345">
        <v>1</v>
      </c>
      <c r="E26" s="345">
        <v>1</v>
      </c>
      <c r="F26" s="345">
        <v>1</v>
      </c>
      <c r="G26" s="346">
        <v>1</v>
      </c>
      <c r="I26" s="565" t="s">
        <v>38</v>
      </c>
      <c r="J26" s="347">
        <v>1</v>
      </c>
      <c r="K26" s="347">
        <v>1</v>
      </c>
      <c r="L26" s="347">
        <v>1</v>
      </c>
      <c r="M26" s="348">
        <v>1</v>
      </c>
      <c r="N26" s="257"/>
      <c r="O26" s="248"/>
    </row>
    <row r="27" spans="1:15" ht="23.25" customHeight="1">
      <c r="A27" s="32"/>
      <c r="B27" s="247"/>
      <c r="C27" s="33" t="s">
        <v>376</v>
      </c>
      <c r="D27" s="345">
        <v>1</v>
      </c>
      <c r="E27" s="345">
        <v>1</v>
      </c>
      <c r="F27" s="345">
        <v>1</v>
      </c>
      <c r="G27" s="346">
        <v>1</v>
      </c>
      <c r="N27" s="257"/>
      <c r="O27" s="248"/>
    </row>
    <row r="28" spans="1:15" ht="23.25" customHeight="1" thickBot="1">
      <c r="A28" s="32"/>
      <c r="B28" s="247"/>
      <c r="C28" s="304" t="s">
        <v>20</v>
      </c>
      <c r="D28" s="347">
        <v>1</v>
      </c>
      <c r="E28" s="347">
        <v>1</v>
      </c>
      <c r="F28" s="347">
        <v>1</v>
      </c>
      <c r="G28" s="348">
        <v>1</v>
      </c>
      <c r="I28" s="562"/>
      <c r="J28" s="562"/>
      <c r="N28" s="257"/>
      <c r="O28" s="248"/>
    </row>
    <row r="29" spans="1:15" ht="28.5" customHeight="1" thickBot="1">
      <c r="B29" s="247"/>
      <c r="N29" s="257"/>
      <c r="O29" s="248"/>
    </row>
    <row r="30" spans="1:15" ht="42" customHeight="1" thickBot="1">
      <c r="A30" s="32"/>
      <c r="B30" s="249"/>
      <c r="C30" s="644" t="s">
        <v>54</v>
      </c>
      <c r="D30" s="645"/>
      <c r="E30" s="645"/>
      <c r="F30" s="645"/>
      <c r="G30" s="646"/>
      <c r="N30" s="257"/>
      <c r="O30" s="248"/>
    </row>
    <row r="31" spans="1:15" ht="49.5" customHeight="1">
      <c r="A31" s="32"/>
      <c r="B31" s="247"/>
      <c r="C31" s="636" t="s">
        <v>51</v>
      </c>
      <c r="D31" s="637"/>
      <c r="E31" s="638" t="s">
        <v>55</v>
      </c>
      <c r="F31" s="638"/>
      <c r="G31" s="639"/>
      <c r="N31" s="257"/>
      <c r="O31" s="248"/>
    </row>
    <row r="32" spans="1:15" ht="60" customHeight="1">
      <c r="A32" s="32"/>
      <c r="B32" s="247"/>
      <c r="C32" s="640" t="s">
        <v>52</v>
      </c>
      <c r="D32" s="641"/>
      <c r="E32" s="642" t="s">
        <v>56</v>
      </c>
      <c r="F32" s="642"/>
      <c r="G32" s="643"/>
      <c r="N32" s="257"/>
      <c r="O32" s="248"/>
    </row>
    <row r="33" spans="1:15" ht="66.75" customHeight="1" thickBot="1">
      <c r="A33" s="32"/>
      <c r="B33" s="249"/>
      <c r="C33" s="621" t="s">
        <v>53</v>
      </c>
      <c r="D33" s="622"/>
      <c r="E33" s="623" t="s">
        <v>57</v>
      </c>
      <c r="F33" s="623"/>
      <c r="G33" s="624"/>
      <c r="H33" s="253"/>
      <c r="J33" s="255"/>
      <c r="K33" s="255"/>
      <c r="L33" s="255"/>
      <c r="M33" s="255"/>
      <c r="N33" s="255"/>
      <c r="O33" s="256"/>
    </row>
    <row r="34" spans="1:15" ht="22.5" customHeight="1" thickBot="1">
      <c r="A34" s="252"/>
      <c r="B34" s="258"/>
      <c r="C34" s="250"/>
      <c r="D34" s="250"/>
      <c r="E34" s="250"/>
      <c r="F34" s="250"/>
      <c r="G34" s="250"/>
      <c r="H34" s="250"/>
      <c r="I34" s="254"/>
      <c r="J34" s="250"/>
      <c r="K34" s="250"/>
      <c r="L34" s="250"/>
      <c r="M34" s="250"/>
      <c r="N34" s="250"/>
      <c r="O34" s="251"/>
    </row>
    <row r="35" spans="1:15" ht="12" customHeight="1">
      <c r="A35" s="239"/>
    </row>
    <row r="36" spans="1:15" ht="8.25" customHeight="1"/>
    <row r="38" spans="1:15" ht="3" customHeight="1">
      <c r="C38" s="244"/>
      <c r="D38" s="244"/>
      <c r="E38" s="244"/>
      <c r="F38" s="244"/>
      <c r="G38" s="244"/>
      <c r="H38" s="244"/>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35" priority="2">
      <formula>D11&lt;100%</formula>
    </cfRule>
  </conditionalFormatting>
  <conditionalFormatting sqref="I11:M26">
    <cfRule type="expression" dxfId="34" priority="1">
      <formula>I11&lt;100%</formula>
    </cfRule>
  </conditionalFormatting>
  <printOptions horizontalCentered="1"/>
  <pageMargins left="0" right="0" top="0" bottom="0" header="0" footer="0"/>
  <pageSetup paperSize="5" scale="6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dimension ref="A1:Q50"/>
  <sheetViews>
    <sheetView zoomScale="55" zoomScaleNormal="55" workbookViewId="0">
      <selection activeCell="B13" sqref="B13"/>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54"/>
      <c r="C1" s="655"/>
      <c r="D1" s="656"/>
      <c r="E1" s="79"/>
      <c r="F1" s="82"/>
      <c r="G1" s="80"/>
      <c r="I1" s="97"/>
      <c r="J1" s="96"/>
      <c r="K1" s="104"/>
      <c r="L1" s="104"/>
      <c r="M1" s="87"/>
      <c r="N1" s="81"/>
      <c r="O1" s="81"/>
      <c r="P1" s="90"/>
    </row>
    <row r="2" spans="1:17" ht="36">
      <c r="B2" s="120" t="s">
        <v>172</v>
      </c>
      <c r="C2" s="120"/>
      <c r="D2" s="82"/>
      <c r="E2" s="88"/>
      <c r="G2" s="90"/>
      <c r="H2" s="82"/>
      <c r="I2" s="650" t="s">
        <v>391</v>
      </c>
      <c r="J2" s="651"/>
      <c r="K2" s="93"/>
      <c r="L2" s="82"/>
      <c r="M2" s="90"/>
      <c r="N2" s="82"/>
      <c r="O2" s="79"/>
      <c r="P2" s="82"/>
      <c r="Q2" s="79"/>
    </row>
    <row r="3" spans="1:17" s="59" customFormat="1" ht="22.5" customHeight="1">
      <c r="A3" s="85"/>
      <c r="B3" s="59" t="s">
        <v>392</v>
      </c>
      <c r="C3" s="94"/>
      <c r="D3" s="91"/>
      <c r="E3" s="84"/>
      <c r="F3" s="86"/>
      <c r="G3" s="91"/>
      <c r="H3" s="94"/>
      <c r="I3" s="95"/>
      <c r="J3" s="95"/>
      <c r="K3" s="86"/>
      <c r="L3" s="86"/>
      <c r="M3" s="86"/>
      <c r="N3" s="84"/>
      <c r="O3" s="84"/>
      <c r="P3" s="86"/>
      <c r="Q3" s="119"/>
    </row>
    <row r="4" spans="1:17" s="60" customFormat="1" ht="25.5" customHeight="1" thickBot="1">
      <c r="B4" s="133" t="s">
        <v>64</v>
      </c>
      <c r="C4" s="298"/>
      <c r="D4" s="204"/>
      <c r="F4" s="203"/>
      <c r="G4" s="108"/>
      <c r="H4" s="108"/>
      <c r="I4" s="203"/>
      <c r="J4" s="203"/>
      <c r="K4" s="203"/>
      <c r="L4" s="93"/>
      <c r="M4" s="108"/>
      <c r="N4" s="109"/>
      <c r="O4" s="92"/>
      <c r="P4" s="93"/>
      <c r="Q4" s="118"/>
    </row>
    <row r="5" spans="1:17" ht="78" customHeight="1" thickBot="1">
      <c r="A5" s="89"/>
      <c r="B5" s="376" t="s">
        <v>58</v>
      </c>
      <c r="C5" s="657" t="s">
        <v>182</v>
      </c>
      <c r="D5" s="658"/>
      <c r="E5" s="373" t="s">
        <v>60</v>
      </c>
      <c r="F5" s="373" t="s">
        <v>59</v>
      </c>
      <c r="G5" s="373" t="s">
        <v>61</v>
      </c>
      <c r="H5" s="374" t="s">
        <v>118</v>
      </c>
      <c r="I5" s="374" t="s">
        <v>62</v>
      </c>
      <c r="J5" s="375" t="s">
        <v>63</v>
      </c>
      <c r="K5" s="205"/>
      <c r="L5" s="82"/>
      <c r="M5" s="82"/>
      <c r="N5" s="82"/>
      <c r="O5" s="81"/>
      <c r="P5" s="104"/>
    </row>
    <row r="6" spans="1:17" ht="51" customHeight="1">
      <c r="B6" s="215" t="s">
        <v>377</v>
      </c>
      <c r="C6" s="659">
        <v>44725</v>
      </c>
      <c r="D6" s="660"/>
      <c r="E6" s="457">
        <v>44908</v>
      </c>
      <c r="F6" s="457">
        <v>45090</v>
      </c>
      <c r="G6" s="457">
        <v>45273</v>
      </c>
      <c r="H6" s="457">
        <v>45456</v>
      </c>
      <c r="I6" s="457">
        <v>45639</v>
      </c>
      <c r="J6" s="460">
        <v>45821</v>
      </c>
      <c r="K6" s="116"/>
      <c r="L6" s="82"/>
      <c r="M6" s="82"/>
      <c r="N6" s="90"/>
      <c r="O6" s="79"/>
      <c r="P6" s="104"/>
      <c r="Q6" s="79"/>
    </row>
    <row r="7" spans="1:17" ht="45.75" customHeight="1">
      <c r="A7" s="99"/>
      <c r="B7" s="216" t="s">
        <v>377</v>
      </c>
      <c r="C7" s="661">
        <v>45822</v>
      </c>
      <c r="D7" s="662"/>
      <c r="E7" s="458">
        <v>46005</v>
      </c>
      <c r="F7" s="458">
        <v>46187</v>
      </c>
      <c r="G7" s="458">
        <v>46370</v>
      </c>
      <c r="H7" s="458">
        <v>46552</v>
      </c>
      <c r="I7" s="458">
        <v>46735</v>
      </c>
      <c r="J7" s="461">
        <v>46918</v>
      </c>
      <c r="L7" s="82"/>
      <c r="M7" s="82"/>
      <c r="N7" s="82"/>
      <c r="O7" s="81"/>
      <c r="P7" s="90"/>
    </row>
    <row r="8" spans="1:17" ht="44.25" customHeight="1">
      <c r="A8" s="100"/>
      <c r="B8" s="216" t="s">
        <v>378</v>
      </c>
      <c r="C8" s="661">
        <v>37484</v>
      </c>
      <c r="D8" s="662"/>
      <c r="E8" s="458">
        <v>44608</v>
      </c>
      <c r="F8" s="458">
        <v>45154</v>
      </c>
      <c r="G8" s="458">
        <v>45338</v>
      </c>
      <c r="H8" s="458">
        <v>45520</v>
      </c>
      <c r="I8" s="458">
        <v>45704</v>
      </c>
      <c r="J8" s="461">
        <v>45885</v>
      </c>
      <c r="K8" s="206"/>
      <c r="L8" s="82"/>
      <c r="M8" s="82"/>
      <c r="N8" s="82"/>
      <c r="P8" s="82"/>
      <c r="Q8" s="82"/>
    </row>
    <row r="9" spans="1:17" ht="39.75" customHeight="1">
      <c r="A9" s="100"/>
      <c r="B9" s="216" t="s">
        <v>379</v>
      </c>
      <c r="C9" s="661">
        <v>44868</v>
      </c>
      <c r="D9" s="662"/>
      <c r="E9" s="458">
        <v>45049</v>
      </c>
      <c r="F9" s="458">
        <v>45233</v>
      </c>
      <c r="G9" s="458">
        <v>45415</v>
      </c>
      <c r="H9" s="458">
        <v>45599</v>
      </c>
      <c r="I9" s="458">
        <v>45780</v>
      </c>
      <c r="J9" s="461">
        <v>45964</v>
      </c>
      <c r="K9" s="152"/>
      <c r="L9" s="82"/>
      <c r="M9" s="82"/>
      <c r="N9" s="88"/>
      <c r="O9" s="79"/>
      <c r="P9" s="104"/>
      <c r="Q9" s="105"/>
    </row>
    <row r="10" spans="1:17" ht="55.5" customHeight="1">
      <c r="A10" s="102"/>
      <c r="B10" s="216" t="s">
        <v>380</v>
      </c>
      <c r="C10" s="661">
        <v>45439</v>
      </c>
      <c r="D10" s="662"/>
      <c r="E10" s="458">
        <v>45623</v>
      </c>
      <c r="F10" s="458">
        <v>45804</v>
      </c>
      <c r="G10" s="458">
        <v>45988</v>
      </c>
      <c r="H10" s="458">
        <v>46169</v>
      </c>
      <c r="I10" s="458">
        <v>46353</v>
      </c>
      <c r="J10" s="461">
        <v>46534</v>
      </c>
      <c r="K10" s="116"/>
      <c r="L10" s="82"/>
      <c r="M10" s="82"/>
      <c r="N10" s="90"/>
      <c r="O10" s="81"/>
      <c r="P10" s="82"/>
    </row>
    <row r="11" spans="1:17" ht="55.5" customHeight="1">
      <c r="A11" s="101"/>
      <c r="B11" s="216" t="s">
        <v>381</v>
      </c>
      <c r="C11" s="661">
        <v>45017</v>
      </c>
      <c r="D11" s="663"/>
      <c r="E11" s="458">
        <v>45200</v>
      </c>
      <c r="F11" s="458">
        <v>45383</v>
      </c>
      <c r="G11" s="458">
        <v>45566</v>
      </c>
      <c r="H11" s="458">
        <v>45748</v>
      </c>
      <c r="I11" s="458">
        <v>45931</v>
      </c>
      <c r="J11" s="461">
        <v>46113</v>
      </c>
      <c r="L11" s="82"/>
      <c r="M11" s="90"/>
      <c r="N11" s="90"/>
      <c r="O11" s="98"/>
      <c r="P11" s="82"/>
    </row>
    <row r="12" spans="1:17" ht="44.25" customHeight="1">
      <c r="A12" s="101"/>
      <c r="B12" s="216" t="s">
        <v>382</v>
      </c>
      <c r="C12" s="661">
        <v>44930</v>
      </c>
      <c r="D12" s="662"/>
      <c r="E12" s="458">
        <v>45111</v>
      </c>
      <c r="F12" s="458">
        <v>45295</v>
      </c>
      <c r="G12" s="458">
        <v>45477</v>
      </c>
      <c r="H12" s="458">
        <v>45661</v>
      </c>
      <c r="I12" s="458">
        <v>45842</v>
      </c>
      <c r="J12" s="461">
        <v>46026</v>
      </c>
      <c r="L12" s="82"/>
      <c r="M12" s="90"/>
      <c r="N12" s="82"/>
      <c r="O12" s="89"/>
      <c r="P12" s="82"/>
      <c r="Q12" s="103"/>
    </row>
    <row r="13" spans="1:17" ht="63" customHeight="1" thickBot="1">
      <c r="A13" s="100"/>
      <c r="B13" s="217" t="s">
        <v>383</v>
      </c>
      <c r="C13" s="652">
        <v>44958</v>
      </c>
      <c r="D13" s="653"/>
      <c r="E13" s="459">
        <v>45139</v>
      </c>
      <c r="F13" s="459">
        <v>45323</v>
      </c>
      <c r="G13" s="459">
        <v>45505</v>
      </c>
      <c r="H13" s="459">
        <v>45689</v>
      </c>
      <c r="I13" s="459">
        <v>45870</v>
      </c>
      <c r="J13" s="462">
        <v>46054</v>
      </c>
      <c r="K13" s="206"/>
      <c r="L13" s="82"/>
      <c r="M13" s="82"/>
      <c r="N13" s="104"/>
      <c r="O13" s="82"/>
      <c r="P13" s="82"/>
      <c r="Q13" s="103"/>
    </row>
    <row r="14" spans="1:17" ht="9" customHeight="1" thickBot="1">
      <c r="A14" s="79"/>
      <c r="B14" s="124"/>
      <c r="C14" s="124"/>
      <c r="D14" s="107"/>
      <c r="F14" s="124"/>
      <c r="H14" s="125"/>
      <c r="I14" s="125"/>
      <c r="J14" s="125"/>
      <c r="K14" s="103"/>
      <c r="L14" s="82"/>
      <c r="M14" s="106"/>
      <c r="N14" s="82"/>
      <c r="O14" s="82"/>
      <c r="P14" s="79"/>
    </row>
    <row r="15" spans="1:17" ht="33" customHeight="1" thickBot="1">
      <c r="A15" s="79"/>
      <c r="B15" s="480" t="s">
        <v>67</v>
      </c>
      <c r="C15" s="478"/>
      <c r="D15" s="289" t="s">
        <v>68</v>
      </c>
      <c r="E15" s="126"/>
      <c r="F15" s="127"/>
      <c r="G15" s="128"/>
      <c r="H15" s="129"/>
      <c r="I15" s="130"/>
      <c r="J15" s="131"/>
      <c r="K15" s="300"/>
      <c r="L15" s="82"/>
      <c r="M15" s="82"/>
      <c r="N15" s="106"/>
      <c r="O15" s="82"/>
      <c r="P15" s="79"/>
    </row>
    <row r="16" spans="1:17" ht="135.75" customHeight="1" thickBot="1">
      <c r="A16" s="79"/>
      <c r="B16" s="482" t="s">
        <v>145</v>
      </c>
      <c r="C16" s="481"/>
      <c r="D16" s="294" t="s">
        <v>377</v>
      </c>
      <c r="E16" s="647" t="s">
        <v>384</v>
      </c>
      <c r="F16" s="648"/>
      <c r="G16" s="648"/>
      <c r="H16" s="648"/>
      <c r="I16" s="648"/>
      <c r="J16" s="649"/>
      <c r="K16" s="301"/>
      <c r="L16" s="115"/>
      <c r="M16" s="113"/>
      <c r="N16" s="112"/>
      <c r="P16" s="79"/>
    </row>
    <row r="17" spans="1:16" ht="108.75" customHeight="1" thickBot="1">
      <c r="A17" s="87"/>
      <c r="B17" s="484" t="s">
        <v>65</v>
      </c>
      <c r="C17" s="483"/>
      <c r="D17" s="294" t="s">
        <v>378</v>
      </c>
      <c r="E17" s="647" t="s">
        <v>385</v>
      </c>
      <c r="F17" s="648"/>
      <c r="G17" s="648"/>
      <c r="H17" s="648"/>
      <c r="I17" s="648"/>
      <c r="J17" s="649"/>
      <c r="K17" s="136"/>
      <c r="L17" s="123"/>
      <c r="M17" s="115"/>
      <c r="N17" s="115"/>
      <c r="O17" s="82"/>
      <c r="P17" s="79"/>
    </row>
    <row r="18" spans="1:16" ht="87" customHeight="1" thickBot="1">
      <c r="A18" s="78"/>
      <c r="B18" s="484" t="s">
        <v>66</v>
      </c>
      <c r="C18" s="483"/>
      <c r="D18" s="295" t="s">
        <v>379</v>
      </c>
      <c r="E18" s="647" t="s">
        <v>386</v>
      </c>
      <c r="F18" s="648"/>
      <c r="G18" s="648"/>
      <c r="H18" s="648"/>
      <c r="I18" s="648"/>
      <c r="J18" s="649"/>
      <c r="L18" s="115"/>
      <c r="M18" s="111"/>
      <c r="N18" s="110"/>
      <c r="O18" s="58"/>
      <c r="P18" s="87"/>
    </row>
    <row r="19" spans="1:16" ht="74.25" customHeight="1" thickBot="1">
      <c r="A19" s="82"/>
      <c r="B19" s="87"/>
      <c r="C19" s="87"/>
      <c r="D19" s="296" t="s">
        <v>380</v>
      </c>
      <c r="E19" s="647" t="s">
        <v>387</v>
      </c>
      <c r="F19" s="648"/>
      <c r="G19" s="648"/>
      <c r="H19" s="648"/>
      <c r="I19" s="648"/>
      <c r="J19" s="649"/>
      <c r="K19" s="136"/>
      <c r="L19" s="123"/>
      <c r="M19" s="111"/>
      <c r="N19" s="110"/>
      <c r="O19" s="112"/>
      <c r="P19" s="78"/>
    </row>
    <row r="20" spans="1:16" ht="99.75" customHeight="1" thickBot="1">
      <c r="A20" s="79"/>
      <c r="B20" s="90"/>
      <c r="D20" s="295" t="s">
        <v>381</v>
      </c>
      <c r="E20" s="647" t="s">
        <v>388</v>
      </c>
      <c r="F20" s="648"/>
      <c r="G20" s="648"/>
      <c r="H20" s="648"/>
      <c r="I20" s="648"/>
      <c r="J20" s="649"/>
      <c r="K20" s="302"/>
      <c r="L20" s="297"/>
      <c r="M20" s="114"/>
      <c r="N20" s="112"/>
      <c r="O20" s="110"/>
    </row>
    <row r="21" spans="1:16" ht="84.75" customHeight="1" thickBot="1">
      <c r="B21" s="90"/>
      <c r="D21" s="295" t="s">
        <v>382</v>
      </c>
      <c r="E21" s="647" t="s">
        <v>389</v>
      </c>
      <c r="F21" s="648"/>
      <c r="G21" s="648"/>
      <c r="H21" s="648"/>
      <c r="I21" s="648"/>
      <c r="J21" s="649"/>
      <c r="K21" s="302"/>
      <c r="L21" s="58"/>
      <c r="M21" s="114"/>
      <c r="N21" s="112"/>
      <c r="O21" s="586"/>
    </row>
    <row r="22" spans="1:16" s="226" customFormat="1" ht="105" customHeight="1" thickBot="1">
      <c r="B22" s="227"/>
      <c r="C22" s="228"/>
      <c r="D22" s="295" t="s">
        <v>383</v>
      </c>
      <c r="E22" s="647" t="s">
        <v>390</v>
      </c>
      <c r="F22" s="648"/>
      <c r="G22" s="648"/>
      <c r="H22" s="648"/>
      <c r="I22" s="648"/>
      <c r="J22" s="649"/>
      <c r="K22" s="303"/>
      <c r="L22" s="58"/>
      <c r="M22" s="112"/>
      <c r="N22" s="112"/>
      <c r="O22" s="117"/>
    </row>
    <row r="23" spans="1:16" ht="23.25" customHeight="1">
      <c r="A23" s="83"/>
      <c r="B23" s="103"/>
      <c r="C23" s="103"/>
      <c r="D23" s="82"/>
      <c r="F23" s="104"/>
      <c r="G23" s="81"/>
      <c r="H23" s="81"/>
      <c r="I23" s="104"/>
      <c r="K23" s="82"/>
      <c r="L23" s="82"/>
      <c r="M23" s="90"/>
      <c r="N23" s="104"/>
      <c r="O23" s="104"/>
    </row>
    <row r="24" spans="1:16" ht="22.5" customHeight="1">
      <c r="A24" s="83"/>
      <c r="B24" s="103"/>
      <c r="C24" s="103"/>
      <c r="D24" s="82"/>
      <c r="E24" s="78"/>
      <c r="F24" s="82"/>
      <c r="G24" s="89"/>
      <c r="H24" s="82"/>
      <c r="I24" s="82"/>
      <c r="J24" s="79"/>
      <c r="K24" s="79"/>
      <c r="L24" s="79"/>
      <c r="M24" s="82"/>
      <c r="N24" s="82"/>
      <c r="O24" s="106"/>
    </row>
    <row r="25" spans="1:16" ht="22.5" customHeight="1">
      <c r="A25" s="83"/>
      <c r="B25" s="82"/>
      <c r="C25" s="90"/>
      <c r="D25" s="90"/>
      <c r="E25" s="82"/>
      <c r="F25" s="82"/>
      <c r="G25" s="83"/>
      <c r="H25" s="82"/>
      <c r="I25" s="82"/>
      <c r="J25" s="81"/>
      <c r="K25" s="104"/>
      <c r="L25" s="98"/>
      <c r="M25" s="82"/>
      <c r="N25" s="104"/>
      <c r="O25" s="106"/>
    </row>
    <row r="26" spans="1:16">
      <c r="A26" s="80"/>
      <c r="B26" s="90"/>
      <c r="C26" s="90"/>
      <c r="D26" s="82"/>
      <c r="E26" s="103"/>
      <c r="F26" s="82"/>
      <c r="G26" s="90"/>
      <c r="H26" s="82"/>
      <c r="I26" s="105"/>
      <c r="J26" s="79"/>
      <c r="K26" s="79"/>
      <c r="L26" s="79"/>
      <c r="M26" s="82"/>
      <c r="N26" s="104"/>
      <c r="O26" s="104"/>
    </row>
    <row r="27" spans="1:16" ht="15.75" thickBot="1">
      <c r="A27" s="83"/>
      <c r="B27" s="82"/>
      <c r="C27" s="104"/>
      <c r="D27" s="104"/>
      <c r="E27" s="82"/>
      <c r="F27" s="106"/>
      <c r="G27" s="90"/>
      <c r="H27" s="90"/>
      <c r="I27" s="90"/>
      <c r="J27" s="90"/>
      <c r="K27" s="83"/>
      <c r="M27" s="90"/>
      <c r="N27" s="90"/>
      <c r="O27" s="106"/>
    </row>
    <row r="28" spans="1:16">
      <c r="A28" s="83"/>
      <c r="B28" s="104"/>
      <c r="C28" s="104"/>
      <c r="D28" s="104"/>
      <c r="E28" s="82"/>
      <c r="F28" s="90"/>
      <c r="G28" s="82"/>
      <c r="H28" s="90"/>
      <c r="I28" s="79"/>
      <c r="J28" s="121"/>
      <c r="K28" s="122"/>
      <c r="L28" s="78"/>
      <c r="M28" s="103"/>
      <c r="N28" s="90"/>
      <c r="O28" s="90"/>
    </row>
    <row r="29" spans="1:16">
      <c r="A29" s="82"/>
      <c r="B29" s="82"/>
      <c r="C29" s="82"/>
      <c r="D29" s="82"/>
      <c r="E29" s="82"/>
      <c r="F29" s="82"/>
      <c r="G29" s="82"/>
      <c r="H29" s="82"/>
      <c r="I29" s="82"/>
      <c r="J29" s="82"/>
      <c r="K29" s="82"/>
      <c r="L29" s="80"/>
      <c r="M29" s="82"/>
      <c r="N29" s="80"/>
      <c r="O29" s="82"/>
    </row>
    <row r="30" spans="1:16">
      <c r="A30" s="82"/>
      <c r="B30" s="82"/>
      <c r="C30" s="82"/>
      <c r="D30" s="82"/>
      <c r="E30" s="82"/>
      <c r="F30" s="82"/>
      <c r="G30" s="82"/>
      <c r="H30" s="82"/>
      <c r="I30" s="82"/>
      <c r="J30" s="82"/>
      <c r="K30" s="82"/>
      <c r="L30" s="89"/>
      <c r="M30" s="79"/>
      <c r="N30" s="80"/>
      <c r="O30" s="105"/>
    </row>
    <row r="31" spans="1:16">
      <c r="A31" s="82"/>
      <c r="B31" s="82"/>
      <c r="C31" s="82"/>
      <c r="D31" s="82"/>
      <c r="E31" s="82"/>
      <c r="F31" s="82"/>
      <c r="G31" s="82"/>
      <c r="H31" s="82"/>
      <c r="I31" s="82"/>
      <c r="J31" s="82"/>
      <c r="K31" s="82"/>
      <c r="L31" s="83"/>
      <c r="M31" s="82"/>
      <c r="N31" s="105"/>
    </row>
    <row r="32" spans="1:16">
      <c r="A32" s="82"/>
      <c r="B32" s="82"/>
      <c r="C32" s="82"/>
      <c r="D32" s="82"/>
      <c r="E32" s="82"/>
      <c r="F32" s="82"/>
      <c r="G32" s="82"/>
      <c r="H32" s="82"/>
      <c r="I32" s="82"/>
      <c r="J32" s="82"/>
      <c r="K32" s="82"/>
      <c r="L32" s="80"/>
      <c r="M32" s="104"/>
      <c r="N32" s="87"/>
    </row>
    <row r="33" spans="1:14">
      <c r="A33" s="82"/>
      <c r="B33" s="82"/>
      <c r="C33" s="82"/>
      <c r="D33" s="82"/>
      <c r="E33" s="82"/>
      <c r="F33" s="82"/>
      <c r="G33" s="82"/>
      <c r="H33" s="82"/>
      <c r="I33" s="82"/>
      <c r="J33" s="82"/>
      <c r="K33" s="82"/>
      <c r="L33" s="105"/>
      <c r="M33" s="104"/>
    </row>
    <row r="34" spans="1:14">
      <c r="A34" s="82"/>
      <c r="B34" s="82"/>
      <c r="C34" s="82"/>
      <c r="D34" s="82"/>
      <c r="E34" s="82"/>
      <c r="F34" s="82"/>
      <c r="G34" s="82"/>
      <c r="H34" s="82"/>
      <c r="I34" s="82"/>
      <c r="J34" s="82"/>
      <c r="K34" s="82"/>
      <c r="L34" s="98"/>
      <c r="M34" s="82"/>
    </row>
    <row r="35" spans="1:14">
      <c r="A35" s="82"/>
      <c r="B35" s="82"/>
      <c r="C35" s="82"/>
      <c r="D35" s="82"/>
      <c r="E35" s="82"/>
      <c r="F35" s="82"/>
      <c r="G35" s="82"/>
      <c r="H35" s="82"/>
      <c r="I35" s="82"/>
      <c r="J35" s="82"/>
      <c r="K35" s="82"/>
      <c r="L35" s="83"/>
      <c r="M35" s="81"/>
      <c r="N35" s="98"/>
    </row>
    <row r="36" spans="1:14">
      <c r="A36" s="82"/>
      <c r="B36" s="82"/>
      <c r="C36" s="82"/>
      <c r="D36" s="82"/>
      <c r="E36" s="82"/>
      <c r="F36" s="82"/>
      <c r="G36" s="82"/>
      <c r="H36" s="82"/>
      <c r="I36" s="82"/>
      <c r="J36" s="82"/>
      <c r="K36" s="82"/>
      <c r="L36" s="78"/>
      <c r="M36" s="103"/>
      <c r="N36" s="78"/>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row r="48" spans="1:14">
      <c r="A48" s="82"/>
      <c r="B48" s="82"/>
      <c r="C48" s="82"/>
      <c r="D48" s="82"/>
      <c r="E48" s="82"/>
      <c r="F48" s="82"/>
      <c r="G48" s="82"/>
      <c r="H48" s="82"/>
      <c r="I48" s="82"/>
      <c r="J48" s="82"/>
      <c r="K48" s="82"/>
    </row>
    <row r="49" spans="1:11">
      <c r="A49" s="82"/>
      <c r="B49" s="82"/>
      <c r="C49" s="82"/>
      <c r="D49" s="82"/>
      <c r="E49" s="82"/>
      <c r="F49" s="82"/>
      <c r="G49" s="82"/>
      <c r="H49" s="82"/>
      <c r="I49" s="82"/>
      <c r="J49" s="82"/>
      <c r="K49" s="82"/>
    </row>
    <row r="50" spans="1:11">
      <c r="A50" s="82"/>
      <c r="B50" s="82"/>
      <c r="C50" s="82"/>
      <c r="D50" s="82"/>
      <c r="E50" s="82"/>
      <c r="F50" s="82"/>
      <c r="G50" s="82"/>
      <c r="H50" s="82"/>
      <c r="I50" s="82"/>
      <c r="J50" s="82"/>
      <c r="K50" s="82"/>
    </row>
  </sheetData>
  <mergeCells count="18">
    <mergeCell ref="B1:D1"/>
    <mergeCell ref="E18:J18"/>
    <mergeCell ref="C5:D5"/>
    <mergeCell ref="C6:D6"/>
    <mergeCell ref="C7:D7"/>
    <mergeCell ref="C8:D8"/>
    <mergeCell ref="C9:D9"/>
    <mergeCell ref="C10:D10"/>
    <mergeCell ref="C12:D12"/>
    <mergeCell ref="C11:D11"/>
    <mergeCell ref="E22:J22"/>
    <mergeCell ref="E16:J16"/>
    <mergeCell ref="E17:J17"/>
    <mergeCell ref="I2:J2"/>
    <mergeCell ref="C13:D13"/>
    <mergeCell ref="E20:J20"/>
    <mergeCell ref="E19:J19"/>
    <mergeCell ref="E21:J21"/>
  </mergeCells>
  <printOptions horizontalCentered="1"/>
  <pageMargins left="0" right="0" top="0" bottom="0" header="0" footer="0"/>
  <pageSetup paperSize="5" scale="45"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F9304-2CFF-4E87-9F4C-58C052AC34D3}">
  <sheetPr>
    <pageSetUpPr fitToPage="1"/>
  </sheetPr>
  <dimension ref="A1:Q50"/>
  <sheetViews>
    <sheetView topLeftCell="A16" zoomScale="55" zoomScaleNormal="55" workbookViewId="0">
      <selection activeCell="E21" sqref="E21:J21"/>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54"/>
      <c r="C1" s="655"/>
      <c r="D1" s="656"/>
      <c r="E1" s="79"/>
      <c r="F1" s="82"/>
      <c r="G1" s="80"/>
      <c r="I1" s="97"/>
      <c r="J1" s="96"/>
      <c r="K1" s="104"/>
      <c r="L1" s="104"/>
      <c r="M1" s="87"/>
      <c r="N1" s="81"/>
      <c r="O1" s="81"/>
      <c r="P1" s="90"/>
    </row>
    <row r="2" spans="1:17" ht="36">
      <c r="B2" s="120" t="s">
        <v>173</v>
      </c>
      <c r="C2" s="120"/>
      <c r="D2" s="82"/>
      <c r="E2" s="88"/>
      <c r="G2" s="90"/>
      <c r="H2" s="82"/>
      <c r="I2" s="650" t="s">
        <v>391</v>
      </c>
      <c r="J2" s="651"/>
      <c r="K2" s="93"/>
      <c r="L2" s="82"/>
      <c r="M2" s="90"/>
      <c r="N2" s="82"/>
      <c r="O2" s="79"/>
      <c r="P2" s="82"/>
      <c r="Q2" s="79"/>
    </row>
    <row r="3" spans="1:17" s="59" customFormat="1" ht="22.5" customHeight="1">
      <c r="A3" s="85"/>
      <c r="B3" s="59" t="s">
        <v>392</v>
      </c>
      <c r="D3" s="91"/>
      <c r="E3" s="84"/>
      <c r="F3" s="86"/>
      <c r="G3" s="91"/>
      <c r="H3" s="94"/>
      <c r="I3" s="95"/>
      <c r="J3" s="95"/>
      <c r="K3" s="86"/>
      <c r="L3" s="86"/>
      <c r="M3" s="86"/>
      <c r="N3" s="84"/>
      <c r="O3" s="84"/>
      <c r="P3" s="86"/>
      <c r="Q3" s="119"/>
    </row>
    <row r="4" spans="1:17" s="60" customFormat="1" ht="25.5" customHeight="1" thickBot="1">
      <c r="B4" s="133" t="s">
        <v>64</v>
      </c>
      <c r="C4" s="298"/>
      <c r="D4" s="204"/>
      <c r="F4" s="203"/>
      <c r="G4" s="108"/>
      <c r="H4" s="108"/>
      <c r="I4" s="203"/>
      <c r="J4" s="203"/>
      <c r="K4" s="203"/>
      <c r="L4" s="93"/>
      <c r="M4" s="108"/>
      <c r="N4" s="109"/>
      <c r="O4" s="92"/>
      <c r="P4" s="93"/>
      <c r="Q4" s="118"/>
    </row>
    <row r="5" spans="1:17" ht="78" customHeight="1" thickBot="1">
      <c r="A5" s="89"/>
      <c r="B5" s="566" t="s">
        <v>58</v>
      </c>
      <c r="C5" s="657" t="s">
        <v>182</v>
      </c>
      <c r="D5" s="658"/>
      <c r="E5" s="567" t="s">
        <v>60</v>
      </c>
      <c r="F5" s="567" t="s">
        <v>59</v>
      </c>
      <c r="G5" s="567" t="s">
        <v>61</v>
      </c>
      <c r="H5" s="568" t="s">
        <v>118</v>
      </c>
      <c r="I5" s="568" t="s">
        <v>62</v>
      </c>
      <c r="J5" s="569" t="s">
        <v>63</v>
      </c>
      <c r="K5" s="205"/>
      <c r="L5" s="82"/>
      <c r="M5" s="82"/>
      <c r="N5" s="82"/>
      <c r="O5" s="82"/>
      <c r="P5" s="104"/>
    </row>
    <row r="6" spans="1:17" ht="28.5">
      <c r="A6" s="79"/>
      <c r="B6" s="573" t="s">
        <v>393</v>
      </c>
      <c r="C6" s="669">
        <v>45231</v>
      </c>
      <c r="D6" s="670"/>
      <c r="E6" s="574">
        <v>45413</v>
      </c>
      <c r="F6" s="574">
        <v>45597</v>
      </c>
      <c r="G6" s="574">
        <v>45778</v>
      </c>
      <c r="H6" s="574">
        <v>45962</v>
      </c>
      <c r="I6" s="574">
        <v>46143</v>
      </c>
      <c r="J6" s="575">
        <v>46327</v>
      </c>
      <c r="K6" s="78"/>
      <c r="L6" s="82"/>
      <c r="M6" s="82"/>
      <c r="N6" s="82"/>
      <c r="O6" s="82"/>
      <c r="P6" s="79"/>
    </row>
    <row r="7" spans="1:17" ht="28.5">
      <c r="A7" s="79"/>
      <c r="B7" s="216" t="s">
        <v>394</v>
      </c>
      <c r="C7" s="661">
        <v>44867</v>
      </c>
      <c r="D7" s="663"/>
      <c r="E7" s="458">
        <v>45048</v>
      </c>
      <c r="F7" s="458">
        <v>45232</v>
      </c>
      <c r="G7" s="458">
        <v>45414</v>
      </c>
      <c r="H7" s="458">
        <v>45598</v>
      </c>
      <c r="I7" s="458">
        <v>45779</v>
      </c>
      <c r="J7" s="461">
        <v>45963</v>
      </c>
      <c r="K7" s="78"/>
      <c r="L7" s="82"/>
      <c r="M7" s="82"/>
      <c r="N7" s="82"/>
      <c r="O7" s="82"/>
      <c r="P7" s="79"/>
    </row>
    <row r="8" spans="1:17" ht="28.5">
      <c r="A8" s="79"/>
      <c r="B8" s="216" t="s">
        <v>395</v>
      </c>
      <c r="C8" s="673">
        <v>45108</v>
      </c>
      <c r="D8" s="673"/>
      <c r="E8" s="458">
        <v>45292</v>
      </c>
      <c r="F8" s="458">
        <v>45474</v>
      </c>
      <c r="G8" s="458">
        <v>45658</v>
      </c>
      <c r="H8" s="458">
        <v>45839</v>
      </c>
      <c r="I8" s="458">
        <v>46023</v>
      </c>
      <c r="J8" s="461">
        <v>46204</v>
      </c>
      <c r="K8" s="78"/>
      <c r="L8" s="82"/>
      <c r="M8" s="82"/>
      <c r="N8" s="82"/>
      <c r="O8" s="82"/>
      <c r="P8" s="79"/>
    </row>
    <row r="9" spans="1:17" ht="29.25" thickBot="1">
      <c r="A9" s="79"/>
      <c r="B9" s="576" t="s">
        <v>396</v>
      </c>
      <c r="C9" s="674">
        <v>45150</v>
      </c>
      <c r="D9" s="674"/>
      <c r="E9" s="459">
        <v>45334</v>
      </c>
      <c r="F9" s="459">
        <v>45516</v>
      </c>
      <c r="G9" s="459">
        <v>45700</v>
      </c>
      <c r="H9" s="459">
        <v>45881</v>
      </c>
      <c r="I9" s="459">
        <v>46065</v>
      </c>
      <c r="J9" s="462">
        <v>46246</v>
      </c>
      <c r="K9" s="78"/>
      <c r="L9" s="82"/>
      <c r="M9" s="82"/>
      <c r="N9" s="82"/>
      <c r="O9" s="82"/>
      <c r="P9" s="79"/>
    </row>
    <row r="10" spans="1:17" ht="28.5">
      <c r="A10" s="79"/>
      <c r="B10" s="570"/>
      <c r="C10" s="671"/>
      <c r="D10" s="672"/>
      <c r="E10" s="571"/>
      <c r="F10" s="571"/>
      <c r="G10" s="571"/>
      <c r="H10" s="571"/>
      <c r="I10" s="572"/>
      <c r="J10" s="572"/>
      <c r="K10" s="82"/>
      <c r="L10" s="82"/>
      <c r="M10" s="82"/>
      <c r="N10" s="82"/>
      <c r="O10" s="82"/>
      <c r="P10" s="79"/>
    </row>
    <row r="11" spans="1:17">
      <c r="A11" s="79"/>
      <c r="B11" s="82"/>
      <c r="C11" s="82"/>
      <c r="D11" s="82"/>
      <c r="E11" s="87"/>
      <c r="F11" s="82"/>
      <c r="G11" s="82"/>
      <c r="H11" s="81"/>
      <c r="I11" s="82"/>
      <c r="J11" s="82"/>
      <c r="K11" s="82"/>
      <c r="L11" s="82"/>
      <c r="M11" s="82"/>
      <c r="N11" s="82"/>
      <c r="O11" s="82"/>
      <c r="P11" s="79"/>
    </row>
    <row r="12" spans="1:17">
      <c r="A12" s="79"/>
      <c r="B12" s="82"/>
      <c r="C12" s="82"/>
      <c r="D12" s="78"/>
      <c r="E12" s="82"/>
      <c r="F12" s="82"/>
      <c r="G12" s="82"/>
      <c r="H12" s="82"/>
      <c r="I12" s="82"/>
      <c r="J12" s="79"/>
      <c r="K12" s="82"/>
      <c r="L12" s="82"/>
      <c r="M12" s="82"/>
      <c r="N12" s="82"/>
      <c r="O12" s="82"/>
      <c r="P12" s="79"/>
    </row>
    <row r="13" spans="1:17" ht="15.75" thickBot="1">
      <c r="A13" s="79"/>
      <c r="B13" s="166"/>
      <c r="C13" s="89"/>
      <c r="D13" s="533"/>
      <c r="E13" s="535"/>
      <c r="F13" s="535"/>
      <c r="G13" s="535"/>
      <c r="H13" s="535"/>
      <c r="I13" s="534"/>
      <c r="J13" s="87"/>
      <c r="K13" s="82"/>
      <c r="L13" s="82"/>
      <c r="M13" s="82"/>
      <c r="N13" s="82"/>
      <c r="O13" s="82"/>
      <c r="P13" s="79"/>
    </row>
    <row r="14" spans="1:17" ht="30.75" customHeight="1" thickBot="1">
      <c r="A14" s="79"/>
      <c r="B14" s="480" t="s">
        <v>67</v>
      </c>
      <c r="C14" s="490"/>
      <c r="D14" s="289" t="s">
        <v>68</v>
      </c>
      <c r="E14" s="126"/>
      <c r="F14" s="127"/>
      <c r="G14" s="128"/>
      <c r="H14" s="129"/>
      <c r="I14" s="130"/>
      <c r="J14" s="131"/>
      <c r="K14" s="300"/>
      <c r="L14" s="82"/>
      <c r="M14" s="82"/>
      <c r="N14" s="82"/>
      <c r="O14" s="82"/>
      <c r="P14" s="79"/>
    </row>
    <row r="15" spans="1:17" ht="8.25" customHeight="1" thickBot="1">
      <c r="A15" s="87"/>
      <c r="B15" s="479"/>
      <c r="C15" s="299"/>
      <c r="D15" s="290"/>
      <c r="E15" s="291"/>
      <c r="F15" s="291"/>
      <c r="G15" s="292"/>
      <c r="H15" s="291"/>
      <c r="I15" s="292"/>
      <c r="J15" s="293"/>
      <c r="L15" s="82"/>
      <c r="M15" s="82"/>
      <c r="N15" s="82"/>
      <c r="O15" s="82"/>
      <c r="P15" s="79"/>
    </row>
    <row r="16" spans="1:17" ht="74.25" customHeight="1" thickBot="1">
      <c r="A16" s="79"/>
      <c r="B16" s="482" t="s">
        <v>145</v>
      </c>
      <c r="C16" s="489"/>
      <c r="D16" s="294" t="s">
        <v>393</v>
      </c>
      <c r="E16" s="647" t="s">
        <v>397</v>
      </c>
      <c r="F16" s="648"/>
      <c r="G16" s="648"/>
      <c r="H16" s="648"/>
      <c r="I16" s="648"/>
      <c r="J16" s="649"/>
      <c r="K16" s="301"/>
      <c r="L16" s="115"/>
      <c r="M16" s="115"/>
      <c r="N16" s="115"/>
      <c r="O16" s="82"/>
      <c r="P16" s="79"/>
    </row>
    <row r="17" spans="1:16" ht="108.75" customHeight="1" thickBot="1">
      <c r="A17" s="87"/>
      <c r="B17" s="484" t="s">
        <v>65</v>
      </c>
      <c r="C17" s="488"/>
      <c r="D17" s="294" t="s">
        <v>394</v>
      </c>
      <c r="E17" s="647" t="s">
        <v>398</v>
      </c>
      <c r="F17" s="648"/>
      <c r="G17" s="648"/>
      <c r="H17" s="648"/>
      <c r="I17" s="648"/>
      <c r="J17" s="649"/>
      <c r="K17" s="136"/>
      <c r="L17" s="115"/>
      <c r="M17" s="115"/>
      <c r="N17" s="115"/>
      <c r="O17" s="82"/>
      <c r="P17" s="79"/>
    </row>
    <row r="18" spans="1:16" ht="87" customHeight="1" thickBot="1">
      <c r="A18" s="78"/>
      <c r="B18" s="484" t="s">
        <v>66</v>
      </c>
      <c r="C18" s="483"/>
      <c r="D18" s="577" t="s">
        <v>395</v>
      </c>
      <c r="E18" s="665" t="s">
        <v>399</v>
      </c>
      <c r="F18" s="666"/>
      <c r="G18" s="666"/>
      <c r="H18" s="666"/>
      <c r="I18" s="666"/>
      <c r="J18" s="667"/>
      <c r="K18" s="82"/>
      <c r="L18" s="115"/>
      <c r="M18" s="111"/>
      <c r="N18" s="110"/>
      <c r="O18" s="58"/>
      <c r="P18" s="87"/>
    </row>
    <row r="19" spans="1:16" ht="74.25" customHeight="1" thickBot="1">
      <c r="A19" s="82"/>
      <c r="B19" s="87"/>
      <c r="C19" s="79"/>
      <c r="D19" s="578" t="s">
        <v>396</v>
      </c>
      <c r="E19" s="675" t="s">
        <v>400</v>
      </c>
      <c r="F19" s="676"/>
      <c r="G19" s="676"/>
      <c r="H19" s="676"/>
      <c r="I19" s="676"/>
      <c r="J19" s="677"/>
      <c r="K19" s="80"/>
      <c r="L19" s="123"/>
      <c r="M19" s="111"/>
      <c r="N19" s="110"/>
      <c r="O19" s="112"/>
      <c r="P19" s="78"/>
    </row>
    <row r="20" spans="1:16" ht="108" customHeight="1">
      <c r="A20" s="79"/>
      <c r="B20" s="90"/>
      <c r="C20" s="104"/>
      <c r="D20" s="491"/>
      <c r="E20" s="668"/>
      <c r="F20" s="668"/>
      <c r="G20" s="668"/>
      <c r="H20" s="668"/>
      <c r="I20" s="668"/>
      <c r="J20" s="668"/>
      <c r="K20" s="83"/>
      <c r="L20" s="297"/>
      <c r="M20" s="114"/>
      <c r="N20" s="112"/>
      <c r="O20" s="110"/>
    </row>
    <row r="21" spans="1:16" s="226" customFormat="1" ht="81.75" customHeight="1">
      <c r="B21" s="227"/>
      <c r="C21" s="228"/>
      <c r="D21" s="487"/>
      <c r="E21" s="664"/>
      <c r="F21" s="664"/>
      <c r="G21" s="664"/>
      <c r="H21" s="664"/>
      <c r="I21" s="664"/>
      <c r="J21" s="664"/>
      <c r="K21" s="485"/>
      <c r="L21" s="58"/>
      <c r="M21" s="112"/>
      <c r="N21" s="112"/>
      <c r="O21" s="117"/>
    </row>
    <row r="22" spans="1:16" ht="98.25" customHeight="1">
      <c r="A22" s="83"/>
      <c r="B22" s="106"/>
      <c r="C22" s="87"/>
      <c r="D22" s="486"/>
      <c r="E22" s="664"/>
      <c r="F22" s="664"/>
      <c r="G22" s="664"/>
      <c r="H22" s="664"/>
      <c r="I22" s="664"/>
      <c r="J22" s="664"/>
      <c r="L22" s="112"/>
      <c r="M22" s="115"/>
      <c r="N22" s="115"/>
      <c r="O22" s="112"/>
      <c r="P22" s="58"/>
    </row>
    <row r="23" spans="1:16" ht="23.25" customHeight="1">
      <c r="A23" s="83"/>
      <c r="B23" s="103"/>
      <c r="C23" s="103"/>
      <c r="D23" s="104"/>
      <c r="F23" s="104"/>
      <c r="G23" s="81"/>
      <c r="H23" s="81"/>
      <c r="I23" s="104"/>
      <c r="K23" s="82"/>
      <c r="L23" s="82"/>
      <c r="M23" s="90"/>
      <c r="N23" s="104"/>
      <c r="O23" s="104"/>
    </row>
    <row r="24" spans="1:16" ht="22.5" customHeight="1">
      <c r="A24" s="83"/>
      <c r="B24" s="103"/>
      <c r="C24" s="103"/>
      <c r="D24" s="82"/>
      <c r="E24" s="78"/>
      <c r="F24" s="82"/>
      <c r="G24" s="89"/>
      <c r="H24" s="82"/>
      <c r="I24" s="82"/>
      <c r="J24" s="79"/>
      <c r="K24" s="79"/>
      <c r="L24" s="79"/>
      <c r="M24" s="82"/>
      <c r="N24" s="82"/>
      <c r="O24" s="106"/>
    </row>
    <row r="25" spans="1:16" ht="22.5" customHeight="1">
      <c r="A25" s="83"/>
      <c r="B25" s="82"/>
      <c r="C25" s="90"/>
      <c r="D25" s="90"/>
      <c r="E25" s="82"/>
      <c r="F25" s="82"/>
      <c r="G25" s="83"/>
      <c r="H25" s="82"/>
      <c r="I25" s="82"/>
      <c r="J25" s="81"/>
      <c r="K25" s="104"/>
      <c r="L25" s="98"/>
      <c r="M25" s="82"/>
      <c r="N25" s="104"/>
      <c r="O25" s="106"/>
    </row>
    <row r="26" spans="1:16">
      <c r="A26" s="80"/>
      <c r="B26" s="90"/>
      <c r="C26" s="90"/>
      <c r="D26" s="82"/>
      <c r="E26" s="103"/>
      <c r="F26" s="82"/>
      <c r="G26" s="90"/>
      <c r="H26" s="82"/>
      <c r="I26" s="105"/>
      <c r="J26" s="79"/>
      <c r="K26" s="79"/>
      <c r="L26" s="79"/>
      <c r="M26" s="82"/>
      <c r="N26" s="104"/>
      <c r="O26" s="104"/>
    </row>
    <row r="27" spans="1:16" ht="15.75" thickBot="1">
      <c r="A27" s="83"/>
      <c r="B27" s="82"/>
      <c r="C27" s="104"/>
      <c r="D27" s="104"/>
      <c r="E27" s="82"/>
      <c r="F27" s="106"/>
      <c r="G27" s="90"/>
      <c r="H27" s="90"/>
      <c r="I27" s="90"/>
      <c r="J27" s="90"/>
      <c r="K27" s="83"/>
      <c r="M27" s="90"/>
      <c r="N27" s="90"/>
      <c r="O27" s="106"/>
    </row>
    <row r="28" spans="1:16">
      <c r="A28" s="83"/>
      <c r="B28" s="104"/>
      <c r="C28" s="104"/>
      <c r="D28" s="104"/>
      <c r="E28" s="82"/>
      <c r="F28" s="90"/>
      <c r="G28" s="82"/>
      <c r="H28" s="90"/>
      <c r="I28" s="79"/>
      <c r="J28" s="121"/>
      <c r="K28" s="122"/>
      <c r="L28" s="78"/>
      <c r="M28" s="103"/>
      <c r="N28" s="90"/>
      <c r="O28" s="90"/>
    </row>
    <row r="29" spans="1:16">
      <c r="A29" s="82"/>
      <c r="B29" s="82"/>
      <c r="C29" s="82"/>
      <c r="D29" s="82"/>
      <c r="E29" s="82"/>
      <c r="F29" s="82"/>
      <c r="G29" s="82"/>
      <c r="H29" s="82"/>
      <c r="I29" s="82"/>
      <c r="J29" s="82"/>
      <c r="K29" s="82"/>
      <c r="L29" s="80"/>
      <c r="M29" s="82"/>
      <c r="N29" s="80"/>
      <c r="O29" s="82"/>
    </row>
    <row r="30" spans="1:16">
      <c r="A30" s="82"/>
      <c r="B30" s="82"/>
      <c r="C30" s="82"/>
      <c r="D30" s="82"/>
      <c r="E30" s="82"/>
      <c r="F30" s="82"/>
      <c r="G30" s="82"/>
      <c r="H30" s="82"/>
      <c r="I30" s="82"/>
      <c r="J30" s="82"/>
      <c r="K30" s="82"/>
      <c r="L30" s="89"/>
      <c r="M30" s="79"/>
      <c r="N30" s="80"/>
      <c r="O30" s="105"/>
    </row>
    <row r="31" spans="1:16">
      <c r="A31" s="82"/>
      <c r="B31" s="82"/>
      <c r="C31" s="82"/>
      <c r="D31" s="82"/>
      <c r="E31" s="82"/>
      <c r="F31" s="82"/>
      <c r="G31" s="82"/>
      <c r="H31" s="82"/>
      <c r="I31" s="82"/>
      <c r="J31" s="82"/>
      <c r="K31" s="82"/>
      <c r="L31" s="83"/>
      <c r="M31" s="82"/>
      <c r="N31" s="105"/>
    </row>
    <row r="32" spans="1:16">
      <c r="A32" s="82"/>
      <c r="B32" s="82"/>
      <c r="C32" s="82"/>
      <c r="D32" s="82"/>
      <c r="E32" s="82"/>
      <c r="F32" s="82"/>
      <c r="G32" s="82"/>
      <c r="H32" s="82"/>
      <c r="I32" s="82"/>
      <c r="J32" s="82"/>
      <c r="K32" s="82"/>
      <c r="L32" s="80"/>
      <c r="M32" s="104"/>
      <c r="N32" s="87"/>
    </row>
    <row r="33" spans="1:14">
      <c r="A33" s="82"/>
      <c r="B33" s="82"/>
      <c r="C33" s="82"/>
      <c r="D33" s="82"/>
      <c r="E33" s="82"/>
      <c r="F33" s="82"/>
      <c r="G33" s="82"/>
      <c r="H33" s="82"/>
      <c r="I33" s="82"/>
      <c r="J33" s="82"/>
      <c r="K33" s="82"/>
      <c r="L33" s="105"/>
      <c r="M33" s="104"/>
    </row>
    <row r="34" spans="1:14">
      <c r="A34" s="82"/>
      <c r="B34" s="82"/>
      <c r="C34" s="82"/>
      <c r="D34" s="82"/>
      <c r="E34" s="82"/>
      <c r="F34" s="82"/>
      <c r="G34" s="82"/>
      <c r="H34" s="82"/>
      <c r="I34" s="82"/>
      <c r="J34" s="82"/>
      <c r="K34" s="82"/>
      <c r="L34" s="98"/>
      <c r="M34" s="82"/>
    </row>
    <row r="35" spans="1:14">
      <c r="A35" s="82"/>
      <c r="B35" s="82"/>
      <c r="C35" s="82"/>
      <c r="D35" s="82"/>
      <c r="E35" s="82"/>
      <c r="F35" s="82"/>
      <c r="G35" s="82"/>
      <c r="H35" s="82"/>
      <c r="I35" s="82"/>
      <c r="J35" s="82"/>
      <c r="K35" s="82"/>
      <c r="L35" s="83"/>
      <c r="M35" s="81"/>
      <c r="N35" s="98"/>
    </row>
    <row r="36" spans="1:14">
      <c r="A36" s="82"/>
      <c r="B36" s="82"/>
      <c r="C36" s="82"/>
      <c r="D36" s="82"/>
      <c r="E36" s="82"/>
      <c r="F36" s="82"/>
      <c r="G36" s="82"/>
      <c r="H36" s="82"/>
      <c r="I36" s="82"/>
      <c r="J36" s="82"/>
      <c r="K36" s="82"/>
      <c r="L36" s="78"/>
      <c r="M36" s="103"/>
      <c r="N36" s="78"/>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row r="48" spans="1:14">
      <c r="A48" s="82"/>
      <c r="B48" s="82"/>
      <c r="C48" s="82"/>
      <c r="D48" s="82"/>
      <c r="E48" s="82"/>
      <c r="F48" s="82"/>
      <c r="G48" s="82"/>
      <c r="H48" s="82"/>
      <c r="I48" s="82"/>
      <c r="J48" s="82"/>
      <c r="K48" s="82"/>
    </row>
    <row r="49" spans="1:11">
      <c r="A49" s="82"/>
      <c r="B49" s="82"/>
      <c r="C49" s="82"/>
      <c r="D49" s="82"/>
      <c r="E49" s="82"/>
      <c r="F49" s="82"/>
      <c r="G49" s="82"/>
      <c r="H49" s="82"/>
      <c r="I49" s="82"/>
      <c r="J49" s="82"/>
      <c r="K49" s="82"/>
    </row>
    <row r="50" spans="1:11">
      <c r="A50" s="82"/>
      <c r="B50" s="82"/>
      <c r="C50" s="82"/>
      <c r="D50" s="82"/>
      <c r="E50" s="82"/>
      <c r="F50" s="82"/>
      <c r="G50" s="82"/>
      <c r="H50" s="82"/>
      <c r="I50" s="82"/>
      <c r="J50" s="82"/>
      <c r="K50" s="82"/>
    </row>
  </sheetData>
  <mergeCells count="15">
    <mergeCell ref="E21:J21"/>
    <mergeCell ref="E22:J22"/>
    <mergeCell ref="E16:J16"/>
    <mergeCell ref="E17:J17"/>
    <mergeCell ref="B1:D1"/>
    <mergeCell ref="I2:J2"/>
    <mergeCell ref="C5:D5"/>
    <mergeCell ref="E18:J18"/>
    <mergeCell ref="E20:J20"/>
    <mergeCell ref="C6:D6"/>
    <mergeCell ref="C10:D10"/>
    <mergeCell ref="C8:D8"/>
    <mergeCell ref="C9:D9"/>
    <mergeCell ref="C7:D7"/>
    <mergeCell ref="E19:J19"/>
  </mergeCells>
  <printOptions horizontalCentered="1"/>
  <pageMargins left="0" right="0" top="0" bottom="0" header="0" footer="0"/>
  <pageSetup paperSize="5" scale="47"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zoomScale="70" zoomScaleNormal="70" workbookViewId="0">
      <selection activeCell="AE26" sqref="AE26"/>
    </sheetView>
  </sheetViews>
  <sheetFormatPr baseColWidth="10" defaultRowHeight="15"/>
  <cols>
    <col min="1" max="1" width="3.5703125" customWidth="1"/>
    <col min="2" max="2" width="39" customWidth="1"/>
    <col min="3" max="3" width="20.14062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178"/>
      <c r="B1" s="769" t="s">
        <v>0</v>
      </c>
      <c r="C1" s="770"/>
      <c r="D1" s="770"/>
      <c r="E1" s="770"/>
      <c r="F1" s="770"/>
      <c r="G1" s="770"/>
      <c r="H1" s="770"/>
      <c r="I1" s="770"/>
      <c r="J1" s="770"/>
      <c r="K1" s="770"/>
      <c r="L1" s="770"/>
      <c r="M1" s="770"/>
      <c r="N1" s="770"/>
      <c r="O1" s="770"/>
      <c r="P1" s="770"/>
      <c r="Q1" s="770"/>
      <c r="R1" s="770"/>
      <c r="S1" s="770"/>
      <c r="T1" s="770"/>
      <c r="U1" s="770"/>
      <c r="V1" s="770"/>
      <c r="W1" s="770"/>
      <c r="X1" s="770"/>
      <c r="Y1" s="771"/>
      <c r="Z1" s="173"/>
    </row>
    <row r="2" spans="1:28" ht="9" customHeight="1" thickBot="1">
      <c r="A2" s="176"/>
      <c r="B2" s="88"/>
      <c r="C2" s="106"/>
      <c r="D2" s="106"/>
      <c r="E2" s="106"/>
      <c r="F2" s="106"/>
      <c r="G2" s="106"/>
      <c r="H2" s="106"/>
      <c r="I2" s="106"/>
      <c r="J2" s="106"/>
      <c r="K2" s="106"/>
      <c r="L2" s="106"/>
      <c r="M2" s="106"/>
      <c r="N2" s="106"/>
      <c r="O2" s="106"/>
      <c r="P2" s="106"/>
      <c r="Q2" s="87"/>
      <c r="R2" s="106"/>
      <c r="S2" s="106"/>
      <c r="T2" s="106"/>
      <c r="U2" s="87"/>
      <c r="V2" s="106"/>
      <c r="W2" s="106"/>
      <c r="X2" s="106"/>
      <c r="Y2" s="87"/>
      <c r="Z2" s="82"/>
      <c r="AA2" s="103"/>
    </row>
    <row r="3" spans="1:28" ht="24.75" customHeight="1" thickBot="1">
      <c r="A3" s="179" t="s">
        <v>114</v>
      </c>
      <c r="B3" s="772" t="s">
        <v>143</v>
      </c>
      <c r="C3" s="773"/>
      <c r="D3" s="773"/>
      <c r="E3" s="773"/>
      <c r="F3" s="773"/>
      <c r="G3" s="773"/>
      <c r="H3" s="773"/>
      <c r="I3" s="773"/>
      <c r="J3" s="773"/>
      <c r="K3" s="773"/>
      <c r="L3" s="773"/>
      <c r="M3" s="773"/>
      <c r="N3" s="773"/>
      <c r="O3" s="773"/>
      <c r="P3" s="773"/>
      <c r="Q3" s="773"/>
      <c r="R3" s="773"/>
      <c r="S3" s="773"/>
      <c r="T3" s="773"/>
      <c r="U3" s="773"/>
      <c r="V3" s="773"/>
      <c r="W3" s="773"/>
      <c r="X3" s="773"/>
      <c r="Y3" s="774"/>
      <c r="Z3" s="174"/>
      <c r="AA3" s="103"/>
    </row>
    <row r="4" spans="1:28" ht="23.25" customHeight="1" thickBot="1">
      <c r="A4" s="180" t="s">
        <v>115</v>
      </c>
      <c r="B4" s="775" t="s">
        <v>188</v>
      </c>
      <c r="C4" s="776"/>
      <c r="D4" s="776"/>
      <c r="E4" s="776"/>
      <c r="F4" s="776"/>
      <c r="G4" s="776"/>
      <c r="H4" s="776"/>
      <c r="I4" s="776"/>
      <c r="J4" s="776"/>
      <c r="K4" s="776"/>
      <c r="L4" s="776"/>
      <c r="M4" s="776"/>
      <c r="N4" s="776"/>
      <c r="O4" s="776"/>
      <c r="P4" s="776"/>
      <c r="Q4" s="776"/>
      <c r="R4" s="776"/>
      <c r="S4" s="776"/>
      <c r="T4" s="776"/>
      <c r="U4" s="776"/>
      <c r="V4" s="776"/>
      <c r="W4" s="776"/>
      <c r="X4" s="776"/>
      <c r="Y4" s="777"/>
      <c r="Z4" s="175"/>
      <c r="AA4" s="103"/>
    </row>
    <row r="5" spans="1:28" ht="15.75" thickBot="1">
      <c r="A5" s="177"/>
      <c r="B5" s="88"/>
      <c r="C5" s="106"/>
      <c r="D5" s="106"/>
      <c r="E5" s="106"/>
      <c r="F5" s="104"/>
      <c r="G5" s="106"/>
      <c r="H5" s="106"/>
      <c r="I5" s="106"/>
      <c r="J5" s="106"/>
      <c r="K5" s="106"/>
      <c r="L5" s="106"/>
      <c r="M5" s="106"/>
      <c r="N5" s="106"/>
      <c r="O5" s="106"/>
      <c r="P5" s="106"/>
      <c r="Q5" s="87"/>
      <c r="R5" s="87"/>
      <c r="S5" s="106"/>
      <c r="T5" s="106"/>
      <c r="U5" s="87"/>
      <c r="V5" s="106"/>
      <c r="W5" s="106"/>
      <c r="X5" s="106"/>
      <c r="Y5" s="87"/>
      <c r="Z5" s="82"/>
      <c r="AA5" s="103"/>
    </row>
    <row r="6" spans="1:28" ht="24.75" customHeight="1" thickBot="1">
      <c r="A6" s="181"/>
      <c r="B6" s="781" t="s">
        <v>71</v>
      </c>
      <c r="C6" s="782"/>
      <c r="D6" s="782"/>
      <c r="E6" s="783"/>
      <c r="F6" s="89"/>
      <c r="G6" s="142"/>
      <c r="H6" s="747" t="s">
        <v>76</v>
      </c>
      <c r="I6" s="748"/>
      <c r="J6" s="748"/>
      <c r="K6" s="749"/>
      <c r="L6" s="89"/>
      <c r="M6" s="142"/>
      <c r="N6" s="759" t="s">
        <v>95</v>
      </c>
      <c r="O6" s="760"/>
      <c r="P6" s="761"/>
      <c r="Q6" s="149"/>
      <c r="R6" s="151"/>
      <c r="S6" s="754" t="s">
        <v>77</v>
      </c>
      <c r="T6" s="755"/>
      <c r="U6" s="152"/>
      <c r="V6" s="156"/>
      <c r="W6" s="143"/>
      <c r="X6" s="754" t="s">
        <v>78</v>
      </c>
      <c r="Y6" s="755"/>
      <c r="Z6" s="80"/>
      <c r="AA6" s="103"/>
    </row>
    <row r="7" spans="1:28" ht="30.75" customHeight="1" thickBot="1">
      <c r="A7" s="181"/>
      <c r="B7" s="365" t="s">
        <v>72</v>
      </c>
      <c r="C7" s="366" t="s">
        <v>73</v>
      </c>
      <c r="D7" s="367" t="s">
        <v>74</v>
      </c>
      <c r="E7" s="368" t="s">
        <v>75</v>
      </c>
      <c r="F7" s="89"/>
      <c r="G7" s="116"/>
      <c r="H7" s="756">
        <f>I23</f>
        <v>68</v>
      </c>
      <c r="I7" s="758"/>
      <c r="J7" s="758"/>
      <c r="K7" s="757"/>
      <c r="L7" s="89"/>
      <c r="M7" s="116"/>
      <c r="N7" s="762">
        <f>L23</f>
        <v>187</v>
      </c>
      <c r="O7" s="763"/>
      <c r="P7" s="764"/>
      <c r="Q7" s="150"/>
      <c r="R7" s="152"/>
      <c r="S7" s="756">
        <f>O23</f>
        <v>473</v>
      </c>
      <c r="T7" s="757"/>
      <c r="U7" s="89"/>
      <c r="V7" s="155"/>
      <c r="W7" s="82"/>
      <c r="X7" s="756">
        <f>R23</f>
        <v>526</v>
      </c>
      <c r="Y7" s="757"/>
      <c r="Z7" s="141"/>
      <c r="AA7" s="103"/>
    </row>
    <row r="8" spans="1:28" ht="21.75" customHeight="1" thickBot="1">
      <c r="A8" s="181"/>
      <c r="B8" s="189" t="s">
        <v>401</v>
      </c>
      <c r="C8" s="184" t="s">
        <v>409</v>
      </c>
      <c r="D8" s="182">
        <v>2019</v>
      </c>
      <c r="E8" s="198"/>
      <c r="F8" s="89"/>
      <c r="G8" s="144"/>
      <c r="H8" s="145"/>
      <c r="I8" s="146"/>
      <c r="J8" s="154"/>
      <c r="K8" s="147"/>
      <c r="L8" s="89"/>
      <c r="M8" s="144"/>
      <c r="N8" s="148"/>
      <c r="O8" s="148"/>
      <c r="P8" s="147"/>
      <c r="Q8" s="89"/>
      <c r="R8" s="153"/>
      <c r="S8" s="148"/>
      <c r="T8" s="147"/>
      <c r="U8" s="78"/>
      <c r="V8" s="144"/>
      <c r="W8" s="148"/>
      <c r="X8" s="148"/>
      <c r="Y8" s="147"/>
      <c r="Z8" s="80"/>
      <c r="AA8" s="103"/>
    </row>
    <row r="9" spans="1:28" ht="18" customHeight="1" thickBot="1">
      <c r="A9" s="183"/>
      <c r="B9" s="189" t="s">
        <v>402</v>
      </c>
      <c r="C9" s="185" t="s">
        <v>410</v>
      </c>
      <c r="D9" s="134">
        <v>2024</v>
      </c>
      <c r="E9" s="199"/>
      <c r="F9" s="80"/>
      <c r="G9" s="106"/>
      <c r="H9" s="106"/>
      <c r="I9" s="106"/>
      <c r="J9" s="106"/>
      <c r="K9" s="106"/>
      <c r="L9" s="106"/>
      <c r="M9" s="106"/>
      <c r="N9" s="106"/>
      <c r="O9" s="160"/>
      <c r="P9" s="106"/>
      <c r="Q9" s="87"/>
      <c r="R9" s="87"/>
      <c r="S9" s="106"/>
      <c r="T9" s="106"/>
      <c r="U9" s="90"/>
      <c r="V9" s="106"/>
      <c r="W9" s="106"/>
      <c r="X9" s="106"/>
      <c r="Y9" s="87"/>
      <c r="Z9" s="82"/>
      <c r="AA9" s="103"/>
    </row>
    <row r="10" spans="1:28" ht="21" customHeight="1">
      <c r="A10" s="81"/>
      <c r="B10" s="189" t="s">
        <v>403</v>
      </c>
      <c r="C10" s="185" t="s">
        <v>410</v>
      </c>
      <c r="D10" s="134">
        <v>2024</v>
      </c>
      <c r="E10" s="199"/>
      <c r="F10" s="89"/>
      <c r="G10" s="788" t="s">
        <v>79</v>
      </c>
      <c r="H10" s="789"/>
      <c r="I10" s="789"/>
      <c r="J10" s="789"/>
      <c r="K10" s="789"/>
      <c r="L10" s="789"/>
      <c r="M10" s="789"/>
      <c r="N10" s="789"/>
      <c r="O10" s="789"/>
      <c r="P10" s="789"/>
      <c r="Q10" s="789"/>
      <c r="R10" s="789"/>
      <c r="S10" s="789"/>
      <c r="T10" s="789"/>
      <c r="U10" s="789"/>
      <c r="V10" s="789"/>
      <c r="W10" s="789"/>
      <c r="X10" s="789"/>
      <c r="Y10" s="790"/>
      <c r="Z10" s="80"/>
      <c r="AA10" s="103"/>
    </row>
    <row r="11" spans="1:28" ht="19.5" customHeight="1">
      <c r="A11" s="79"/>
      <c r="B11" s="189" t="s">
        <v>404</v>
      </c>
      <c r="C11" s="188" t="s">
        <v>410</v>
      </c>
      <c r="D11" s="134">
        <v>2024</v>
      </c>
      <c r="E11" s="199"/>
      <c r="F11" s="89"/>
      <c r="G11" s="791" t="s">
        <v>80</v>
      </c>
      <c r="H11" s="786"/>
      <c r="I11" s="786" t="s">
        <v>81</v>
      </c>
      <c r="J11" s="786"/>
      <c r="K11" s="786"/>
      <c r="L11" s="786" t="s">
        <v>82</v>
      </c>
      <c r="M11" s="786"/>
      <c r="N11" s="786"/>
      <c r="O11" s="786" t="s">
        <v>83</v>
      </c>
      <c r="P11" s="786"/>
      <c r="Q11" s="786"/>
      <c r="R11" s="786" t="s">
        <v>78</v>
      </c>
      <c r="S11" s="786"/>
      <c r="T11" s="786"/>
      <c r="U11" s="786"/>
      <c r="V11" s="786"/>
      <c r="W11" s="786"/>
      <c r="X11" s="786"/>
      <c r="Y11" s="787"/>
      <c r="Z11" s="80"/>
      <c r="AA11" s="103"/>
    </row>
    <row r="12" spans="1:28" ht="17.25" customHeight="1">
      <c r="A12" s="79"/>
      <c r="B12" s="190" t="s">
        <v>405</v>
      </c>
      <c r="C12" s="192" t="s">
        <v>410</v>
      </c>
      <c r="D12" s="185">
        <v>2024</v>
      </c>
      <c r="E12" s="199"/>
      <c r="F12" s="89"/>
      <c r="G12" s="791"/>
      <c r="H12" s="786"/>
      <c r="I12" s="786"/>
      <c r="J12" s="786"/>
      <c r="K12" s="786"/>
      <c r="L12" s="786"/>
      <c r="M12" s="786"/>
      <c r="N12" s="786"/>
      <c r="O12" s="786"/>
      <c r="P12" s="786"/>
      <c r="Q12" s="786"/>
      <c r="R12" s="713" t="s">
        <v>84</v>
      </c>
      <c r="S12" s="713"/>
      <c r="T12" s="713" t="s">
        <v>85</v>
      </c>
      <c r="U12" s="713"/>
      <c r="V12" s="713" t="s">
        <v>86</v>
      </c>
      <c r="W12" s="713"/>
      <c r="X12" s="713" t="s">
        <v>87</v>
      </c>
      <c r="Y12" s="744"/>
      <c r="Z12" s="80"/>
      <c r="AA12" s="79"/>
    </row>
    <row r="13" spans="1:28" ht="18.75" customHeight="1">
      <c r="A13" s="79"/>
      <c r="B13" s="189" t="s">
        <v>406</v>
      </c>
      <c r="C13" s="184" t="s">
        <v>410</v>
      </c>
      <c r="D13" s="134">
        <v>2024</v>
      </c>
      <c r="E13" s="199"/>
      <c r="F13" s="89"/>
      <c r="G13" s="791"/>
      <c r="H13" s="786"/>
      <c r="I13" s="786"/>
      <c r="J13" s="786"/>
      <c r="K13" s="786"/>
      <c r="L13" s="786"/>
      <c r="M13" s="786"/>
      <c r="N13" s="786"/>
      <c r="O13" s="786"/>
      <c r="P13" s="786"/>
      <c r="Q13" s="786"/>
      <c r="R13" s="713"/>
      <c r="S13" s="713"/>
      <c r="T13" s="713"/>
      <c r="U13" s="713"/>
      <c r="V13" s="713"/>
      <c r="W13" s="713"/>
      <c r="X13" s="784"/>
      <c r="Y13" s="785"/>
      <c r="Z13" s="80"/>
      <c r="AA13" s="81"/>
    </row>
    <row r="14" spans="1:28" ht="18.75" customHeight="1">
      <c r="A14" s="79"/>
      <c r="B14" s="189" t="s">
        <v>407</v>
      </c>
      <c r="C14" s="185" t="s">
        <v>410</v>
      </c>
      <c r="D14" s="134">
        <v>2024</v>
      </c>
      <c r="E14" s="199"/>
      <c r="F14" s="89"/>
      <c r="G14" s="765" t="s">
        <v>18</v>
      </c>
      <c r="H14" s="766"/>
      <c r="I14" s="743">
        <v>4</v>
      </c>
      <c r="J14" s="767"/>
      <c r="K14" s="768"/>
      <c r="L14" s="741">
        <v>8</v>
      </c>
      <c r="M14" s="741"/>
      <c r="N14" s="741"/>
      <c r="O14" s="741">
        <v>30</v>
      </c>
      <c r="P14" s="741"/>
      <c r="Q14" s="741"/>
      <c r="R14" s="741">
        <v>53</v>
      </c>
      <c r="S14" s="741"/>
      <c r="T14" s="741">
        <v>0</v>
      </c>
      <c r="U14" s="741"/>
      <c r="V14" s="741">
        <v>8</v>
      </c>
      <c r="W14" s="743"/>
      <c r="X14" s="741">
        <v>2</v>
      </c>
      <c r="Y14" s="742"/>
      <c r="Z14" s="80"/>
    </row>
    <row r="15" spans="1:28" ht="19.5" customHeight="1" thickBot="1">
      <c r="A15" s="79"/>
      <c r="B15" s="191" t="s">
        <v>408</v>
      </c>
      <c r="C15" s="187" t="s">
        <v>410</v>
      </c>
      <c r="D15" s="186">
        <v>2024</v>
      </c>
      <c r="E15" s="200"/>
      <c r="F15" s="89"/>
      <c r="G15" s="765" t="s">
        <v>16</v>
      </c>
      <c r="H15" s="766"/>
      <c r="I15" s="743">
        <v>11</v>
      </c>
      <c r="J15" s="767"/>
      <c r="K15" s="768"/>
      <c r="L15" s="741">
        <v>30</v>
      </c>
      <c r="M15" s="741"/>
      <c r="N15" s="741"/>
      <c r="O15" s="741">
        <v>105</v>
      </c>
      <c r="P15" s="741"/>
      <c r="Q15" s="741"/>
      <c r="R15" s="741">
        <v>105</v>
      </c>
      <c r="S15" s="741"/>
      <c r="T15" s="741">
        <v>8</v>
      </c>
      <c r="U15" s="741"/>
      <c r="V15" s="741">
        <v>0</v>
      </c>
      <c r="W15" s="743"/>
      <c r="X15" s="741">
        <v>4</v>
      </c>
      <c r="Y15" s="742"/>
      <c r="Z15" s="80"/>
      <c r="AA15" s="103"/>
    </row>
    <row r="16" spans="1:28" ht="24" customHeight="1" thickBot="1">
      <c r="A16" s="82"/>
      <c r="B16" s="106"/>
      <c r="C16" s="106"/>
      <c r="D16" s="106"/>
      <c r="E16" s="106"/>
      <c r="F16" s="79"/>
      <c r="G16" s="765" t="s">
        <v>19</v>
      </c>
      <c r="H16" s="766"/>
      <c r="I16" s="743">
        <v>19</v>
      </c>
      <c r="J16" s="767"/>
      <c r="K16" s="768"/>
      <c r="L16" s="741">
        <v>58</v>
      </c>
      <c r="M16" s="741"/>
      <c r="N16" s="741"/>
      <c r="O16" s="741">
        <v>99</v>
      </c>
      <c r="P16" s="741"/>
      <c r="Q16" s="741"/>
      <c r="R16" s="741">
        <v>107</v>
      </c>
      <c r="S16" s="741"/>
      <c r="T16" s="741">
        <v>8</v>
      </c>
      <c r="U16" s="741"/>
      <c r="V16" s="741">
        <v>6</v>
      </c>
      <c r="W16" s="743"/>
      <c r="X16" s="741">
        <v>7</v>
      </c>
      <c r="Y16" s="742"/>
      <c r="Z16" s="80"/>
      <c r="AA16" s="103"/>
      <c r="AB16" s="194"/>
    </row>
    <row r="17" spans="1:27" ht="21" customHeight="1">
      <c r="A17" s="79"/>
      <c r="B17" s="778" t="s">
        <v>89</v>
      </c>
      <c r="C17" s="779"/>
      <c r="D17" s="779"/>
      <c r="E17" s="780"/>
      <c r="F17" s="89"/>
      <c r="G17" s="765" t="s">
        <v>17</v>
      </c>
      <c r="H17" s="766"/>
      <c r="I17" s="743">
        <v>15</v>
      </c>
      <c r="J17" s="767"/>
      <c r="K17" s="768"/>
      <c r="L17" s="741">
        <v>49</v>
      </c>
      <c r="M17" s="741"/>
      <c r="N17" s="741"/>
      <c r="O17" s="741">
        <v>127</v>
      </c>
      <c r="P17" s="741"/>
      <c r="Q17" s="741"/>
      <c r="R17" s="741">
        <v>134</v>
      </c>
      <c r="S17" s="741"/>
      <c r="T17" s="741">
        <v>12</v>
      </c>
      <c r="U17" s="741"/>
      <c r="V17" s="741">
        <v>5</v>
      </c>
      <c r="W17" s="743"/>
      <c r="X17" s="741">
        <v>7</v>
      </c>
      <c r="Y17" s="742"/>
      <c r="Z17" s="80"/>
      <c r="AA17" s="103"/>
    </row>
    <row r="18" spans="1:27" ht="34.5" customHeight="1">
      <c r="A18" s="79"/>
      <c r="B18" s="369" t="s">
        <v>90</v>
      </c>
      <c r="C18" s="370" t="s">
        <v>84</v>
      </c>
      <c r="D18" s="371" t="s">
        <v>70</v>
      </c>
      <c r="E18" s="372" t="s">
        <v>91</v>
      </c>
      <c r="F18" s="89"/>
      <c r="G18" s="765" t="s">
        <v>164</v>
      </c>
      <c r="H18" s="766"/>
      <c r="I18" s="743">
        <v>1</v>
      </c>
      <c r="J18" s="767"/>
      <c r="K18" s="768"/>
      <c r="L18" s="741">
        <v>2</v>
      </c>
      <c r="M18" s="741"/>
      <c r="N18" s="741"/>
      <c r="O18" s="741">
        <v>4</v>
      </c>
      <c r="P18" s="741"/>
      <c r="Q18" s="741"/>
      <c r="R18" s="741">
        <v>4</v>
      </c>
      <c r="S18" s="741"/>
      <c r="T18" s="741">
        <v>0</v>
      </c>
      <c r="U18" s="741"/>
      <c r="V18" s="741">
        <v>2</v>
      </c>
      <c r="W18" s="743"/>
      <c r="X18" s="741">
        <v>2</v>
      </c>
      <c r="Y18" s="742"/>
      <c r="Z18" s="80"/>
      <c r="AA18" s="103"/>
    </row>
    <row r="19" spans="1:27" ht="45" customHeight="1">
      <c r="A19" s="79"/>
      <c r="B19" s="157" t="s">
        <v>92</v>
      </c>
      <c r="C19" s="134">
        <v>16</v>
      </c>
      <c r="D19" s="544" t="s">
        <v>413</v>
      </c>
      <c r="E19" s="201"/>
      <c r="F19" s="89"/>
      <c r="G19" s="765" t="s">
        <v>165</v>
      </c>
      <c r="H19" s="766"/>
      <c r="I19" s="743">
        <v>5</v>
      </c>
      <c r="J19" s="767"/>
      <c r="K19" s="768"/>
      <c r="L19" s="741">
        <v>8</v>
      </c>
      <c r="M19" s="741"/>
      <c r="N19" s="741"/>
      <c r="O19" s="741">
        <v>22</v>
      </c>
      <c r="P19" s="741"/>
      <c r="Q19" s="741"/>
      <c r="R19" s="741">
        <v>22</v>
      </c>
      <c r="S19" s="741"/>
      <c r="T19" s="741">
        <v>0</v>
      </c>
      <c r="U19" s="741"/>
      <c r="V19" s="741">
        <v>2</v>
      </c>
      <c r="W19" s="743"/>
      <c r="X19" s="741">
        <v>0</v>
      </c>
      <c r="Y19" s="742"/>
      <c r="Z19" s="80"/>
      <c r="AA19" s="103"/>
    </row>
    <row r="20" spans="1:27" ht="41.25" customHeight="1">
      <c r="A20" s="79"/>
      <c r="B20" s="157" t="s">
        <v>93</v>
      </c>
      <c r="C20" s="139">
        <v>13</v>
      </c>
      <c r="D20" s="544" t="s">
        <v>413</v>
      </c>
      <c r="E20" s="201"/>
      <c r="F20" s="89"/>
      <c r="G20" s="765" t="s">
        <v>22</v>
      </c>
      <c r="H20" s="766"/>
      <c r="I20" s="743">
        <v>9</v>
      </c>
      <c r="J20" s="767"/>
      <c r="K20" s="768"/>
      <c r="L20" s="741">
        <v>22</v>
      </c>
      <c r="M20" s="741"/>
      <c r="N20" s="741"/>
      <c r="O20" s="741">
        <v>32</v>
      </c>
      <c r="P20" s="741"/>
      <c r="Q20" s="741"/>
      <c r="R20" s="741">
        <v>33</v>
      </c>
      <c r="S20" s="741"/>
      <c r="T20" s="741">
        <v>0</v>
      </c>
      <c r="U20" s="741"/>
      <c r="V20" s="741">
        <v>0</v>
      </c>
      <c r="W20" s="743"/>
      <c r="X20" s="741">
        <v>0</v>
      </c>
      <c r="Y20" s="742"/>
      <c r="Z20" s="80"/>
      <c r="AA20" s="103"/>
    </row>
    <row r="21" spans="1:27" ht="45" customHeight="1">
      <c r="A21" s="79"/>
      <c r="B21" s="157" t="s">
        <v>411</v>
      </c>
      <c r="C21" s="139">
        <v>35</v>
      </c>
      <c r="D21" s="544" t="s">
        <v>413</v>
      </c>
      <c r="E21" s="201"/>
      <c r="F21" s="89"/>
      <c r="G21" s="765" t="s">
        <v>20</v>
      </c>
      <c r="H21" s="766"/>
      <c r="I21" s="743">
        <v>3</v>
      </c>
      <c r="J21" s="767"/>
      <c r="K21" s="768"/>
      <c r="L21" s="741">
        <v>8</v>
      </c>
      <c r="M21" s="741"/>
      <c r="N21" s="741"/>
      <c r="O21" s="741">
        <v>50</v>
      </c>
      <c r="P21" s="741"/>
      <c r="Q21" s="741"/>
      <c r="R21" s="741">
        <v>62</v>
      </c>
      <c r="S21" s="741"/>
      <c r="T21" s="741">
        <v>0</v>
      </c>
      <c r="U21" s="741"/>
      <c r="V21" s="741">
        <v>10</v>
      </c>
      <c r="W21" s="743"/>
      <c r="X21" s="741">
        <v>11</v>
      </c>
      <c r="Y21" s="742"/>
      <c r="Z21" s="80"/>
      <c r="AA21" s="103"/>
    </row>
    <row r="22" spans="1:27" ht="50.25" customHeight="1">
      <c r="A22" s="79"/>
      <c r="B22" s="157" t="s">
        <v>94</v>
      </c>
      <c r="C22" s="139">
        <v>21</v>
      </c>
      <c r="D22" s="544" t="s">
        <v>413</v>
      </c>
      <c r="E22" s="201"/>
      <c r="F22" s="89"/>
      <c r="G22" s="765" t="s">
        <v>166</v>
      </c>
      <c r="H22" s="766"/>
      <c r="I22" s="743">
        <v>1</v>
      </c>
      <c r="J22" s="767"/>
      <c r="K22" s="768"/>
      <c r="L22" s="741">
        <v>2</v>
      </c>
      <c r="M22" s="741"/>
      <c r="N22" s="741"/>
      <c r="O22" s="741">
        <v>4</v>
      </c>
      <c r="P22" s="741"/>
      <c r="Q22" s="741"/>
      <c r="R22" s="741">
        <v>6</v>
      </c>
      <c r="S22" s="741"/>
      <c r="T22" s="741">
        <v>0</v>
      </c>
      <c r="U22" s="741"/>
      <c r="V22" s="741">
        <v>0</v>
      </c>
      <c r="W22" s="743"/>
      <c r="X22" s="741">
        <v>3</v>
      </c>
      <c r="Y22" s="742"/>
      <c r="Z22" s="80"/>
      <c r="AA22" s="103"/>
    </row>
    <row r="23" spans="1:27" ht="42" customHeight="1" thickBot="1">
      <c r="A23" s="79"/>
      <c r="B23" s="158" t="s">
        <v>412</v>
      </c>
      <c r="C23" s="159">
        <v>2</v>
      </c>
      <c r="D23" s="545" t="s">
        <v>413</v>
      </c>
      <c r="E23" s="202"/>
      <c r="F23" s="89"/>
      <c r="G23" s="753" t="s">
        <v>88</v>
      </c>
      <c r="H23" s="745"/>
      <c r="I23" s="745">
        <f>SUM(I14:K22)</f>
        <v>68</v>
      </c>
      <c r="J23" s="745"/>
      <c r="K23" s="745"/>
      <c r="L23" s="745">
        <f>SUM(L14:N22)</f>
        <v>187</v>
      </c>
      <c r="M23" s="745"/>
      <c r="N23" s="745"/>
      <c r="O23" s="750">
        <f>SUM(O14:Q22)</f>
        <v>473</v>
      </c>
      <c r="P23" s="751"/>
      <c r="Q23" s="752"/>
      <c r="R23" s="750">
        <f>SUM(R14:S22)</f>
        <v>526</v>
      </c>
      <c r="S23" s="752"/>
      <c r="T23" s="750">
        <f>SUM(T14:U22)</f>
        <v>28</v>
      </c>
      <c r="U23" s="752"/>
      <c r="V23" s="750">
        <f>SUM(V14:W22)</f>
        <v>33</v>
      </c>
      <c r="W23" s="751"/>
      <c r="X23" s="745">
        <f>SUM(X14:Y22)</f>
        <v>36</v>
      </c>
      <c r="Y23" s="746"/>
      <c r="Z23" s="80"/>
      <c r="AA23" s="103"/>
    </row>
    <row r="24" spans="1:27" ht="12" customHeight="1">
      <c r="A24" s="82"/>
      <c r="B24" s="104"/>
      <c r="C24" s="104"/>
      <c r="D24" s="104"/>
      <c r="E24" s="104"/>
      <c r="F24" s="82"/>
      <c r="G24" s="104"/>
      <c r="H24" s="104"/>
      <c r="I24" s="104"/>
      <c r="J24" s="104"/>
      <c r="K24" s="104"/>
      <c r="L24" s="104"/>
      <c r="M24" s="104"/>
      <c r="N24" s="104"/>
      <c r="O24" s="104"/>
      <c r="P24" s="104"/>
      <c r="Q24" s="81"/>
      <c r="R24" s="81"/>
      <c r="S24" s="104"/>
      <c r="T24" s="104"/>
      <c r="U24" s="81"/>
      <c r="V24" s="104"/>
      <c r="W24" s="104"/>
      <c r="X24" s="104"/>
      <c r="Y24" s="81"/>
      <c r="Z24" s="82"/>
      <c r="AA24" s="103"/>
    </row>
    <row r="25" spans="1:27" ht="9" customHeight="1" thickBot="1">
      <c r="A25" s="82"/>
      <c r="B25" s="82"/>
      <c r="C25" s="82"/>
      <c r="D25" s="82"/>
      <c r="E25" s="82"/>
      <c r="F25" s="82"/>
      <c r="G25" s="90"/>
      <c r="H25" s="90"/>
      <c r="I25" s="90"/>
      <c r="J25" s="90"/>
      <c r="K25" s="82"/>
      <c r="L25" s="90"/>
      <c r="M25" s="90"/>
      <c r="N25" s="90"/>
      <c r="O25" s="90"/>
      <c r="P25" s="90"/>
      <c r="Q25" s="103"/>
      <c r="R25" s="103"/>
      <c r="S25" s="90"/>
      <c r="T25" s="90"/>
      <c r="U25" s="103"/>
      <c r="V25" s="90"/>
      <c r="W25" s="90"/>
      <c r="X25" s="90"/>
      <c r="Y25" s="103"/>
      <c r="Z25" s="82"/>
      <c r="AA25" s="103"/>
    </row>
    <row r="26" spans="1:27" ht="37.5" customHeight="1">
      <c r="A26" s="82"/>
      <c r="B26" s="82"/>
      <c r="C26" s="82"/>
      <c r="D26" s="82"/>
      <c r="E26" s="82"/>
      <c r="F26" s="79"/>
      <c r="G26" s="135"/>
      <c r="H26" s="708" t="s">
        <v>103</v>
      </c>
      <c r="I26" s="709"/>
      <c r="J26" s="710"/>
      <c r="K26" s="89"/>
      <c r="L26" s="717" t="s">
        <v>96</v>
      </c>
      <c r="M26" s="718"/>
      <c r="N26" s="718"/>
      <c r="O26" s="718"/>
      <c r="P26" s="718"/>
      <c r="Q26" s="718"/>
      <c r="R26" s="718"/>
      <c r="S26" s="718"/>
      <c r="T26" s="718"/>
      <c r="U26" s="718"/>
      <c r="V26" s="718"/>
      <c r="W26" s="718"/>
      <c r="X26" s="718"/>
      <c r="Y26" s="719"/>
      <c r="Z26" s="80"/>
      <c r="AA26" s="103"/>
    </row>
    <row r="27" spans="1:27" ht="32.25" customHeight="1">
      <c r="A27" s="82"/>
      <c r="B27" s="82"/>
      <c r="C27" s="82"/>
      <c r="D27" s="82"/>
      <c r="E27" s="82"/>
      <c r="F27" s="79"/>
      <c r="G27" s="136"/>
      <c r="H27" s="690">
        <f>Y38</f>
        <v>64</v>
      </c>
      <c r="I27" s="691"/>
      <c r="J27" s="692"/>
      <c r="K27" s="89"/>
      <c r="L27" s="739" t="s">
        <v>80</v>
      </c>
      <c r="M27" s="713"/>
      <c r="N27" s="713"/>
      <c r="O27" s="713" t="s">
        <v>97</v>
      </c>
      <c r="P27" s="713"/>
      <c r="Q27" s="713" t="s">
        <v>98</v>
      </c>
      <c r="R27" s="713"/>
      <c r="S27" s="713" t="s">
        <v>99</v>
      </c>
      <c r="T27" s="713" t="s">
        <v>100</v>
      </c>
      <c r="U27" s="713"/>
      <c r="V27" s="713" t="s">
        <v>101</v>
      </c>
      <c r="W27" s="713" t="s">
        <v>102</v>
      </c>
      <c r="X27" s="713"/>
      <c r="Y27" s="744" t="s">
        <v>88</v>
      </c>
      <c r="Z27" s="80"/>
      <c r="AA27" s="79"/>
    </row>
    <row r="28" spans="1:27" ht="9.75" customHeight="1">
      <c r="A28" s="82"/>
      <c r="B28" s="82"/>
      <c r="C28" s="82"/>
      <c r="D28" s="82"/>
      <c r="E28" s="82"/>
      <c r="F28" s="79"/>
      <c r="G28" s="136"/>
      <c r="H28" s="82"/>
      <c r="I28" s="82"/>
      <c r="J28" s="165"/>
      <c r="K28" s="89"/>
      <c r="L28" s="739"/>
      <c r="M28" s="713"/>
      <c r="N28" s="713"/>
      <c r="O28" s="713"/>
      <c r="P28" s="713"/>
      <c r="Q28" s="713"/>
      <c r="R28" s="713"/>
      <c r="S28" s="713"/>
      <c r="T28" s="713"/>
      <c r="U28" s="713"/>
      <c r="V28" s="713"/>
      <c r="W28" s="713"/>
      <c r="X28" s="713"/>
      <c r="Y28" s="744"/>
      <c r="Z28" s="80"/>
      <c r="AA28" s="103"/>
    </row>
    <row r="29" spans="1:27" ht="17.25" customHeight="1" thickBot="1">
      <c r="A29" s="82"/>
      <c r="B29" s="82"/>
      <c r="C29" s="82"/>
      <c r="D29" s="82"/>
      <c r="E29" s="82"/>
      <c r="F29" s="79"/>
      <c r="G29" s="137"/>
      <c r="H29" s="166"/>
      <c r="I29" s="166"/>
      <c r="J29" s="138"/>
      <c r="K29" s="89"/>
      <c r="L29" s="725" t="s">
        <v>18</v>
      </c>
      <c r="M29" s="693"/>
      <c r="N29" s="693"/>
      <c r="O29" s="693">
        <v>3</v>
      </c>
      <c r="P29" s="693"/>
      <c r="Q29" s="693">
        <v>1</v>
      </c>
      <c r="R29" s="693"/>
      <c r="S29" s="71">
        <v>0</v>
      </c>
      <c r="T29" s="693">
        <v>0</v>
      </c>
      <c r="U29" s="693"/>
      <c r="V29" s="71">
        <v>3</v>
      </c>
      <c r="W29" s="693">
        <v>0</v>
      </c>
      <c r="X29" s="694"/>
      <c r="Y29" s="195">
        <v>6</v>
      </c>
      <c r="Z29" s="80"/>
      <c r="AA29" s="103"/>
    </row>
    <row r="30" spans="1:27" ht="15.75" thickBot="1">
      <c r="A30" s="82"/>
      <c r="B30" s="82"/>
      <c r="C30" s="82"/>
      <c r="D30" s="82"/>
      <c r="E30" s="82"/>
      <c r="F30" s="82"/>
      <c r="G30" s="106"/>
      <c r="H30" s="106"/>
      <c r="I30" s="106"/>
      <c r="J30" s="106"/>
      <c r="K30" s="79"/>
      <c r="L30" s="725" t="s">
        <v>16</v>
      </c>
      <c r="M30" s="693"/>
      <c r="N30" s="693"/>
      <c r="O30" s="693">
        <v>0</v>
      </c>
      <c r="P30" s="693"/>
      <c r="Q30" s="693">
        <v>0</v>
      </c>
      <c r="R30" s="693"/>
      <c r="S30" s="71">
        <v>9</v>
      </c>
      <c r="T30" s="693">
        <v>3</v>
      </c>
      <c r="U30" s="693"/>
      <c r="V30" s="71">
        <v>2</v>
      </c>
      <c r="W30" s="693">
        <v>1</v>
      </c>
      <c r="X30" s="694"/>
      <c r="Y30" s="195">
        <v>11</v>
      </c>
      <c r="Z30" s="80"/>
      <c r="AA30" s="79"/>
    </row>
    <row r="31" spans="1:27" ht="21">
      <c r="A31" s="82"/>
      <c r="B31" s="82"/>
      <c r="C31" s="82"/>
      <c r="D31" s="82"/>
      <c r="E31" s="82"/>
      <c r="F31" s="79"/>
      <c r="G31" s="135"/>
      <c r="H31" s="714" t="s">
        <v>93</v>
      </c>
      <c r="I31" s="715"/>
      <c r="J31" s="716"/>
      <c r="K31" s="89"/>
      <c r="L31" s="725" t="s">
        <v>19</v>
      </c>
      <c r="M31" s="693"/>
      <c r="N31" s="693"/>
      <c r="O31" s="693">
        <v>1</v>
      </c>
      <c r="P31" s="693"/>
      <c r="Q31" s="693">
        <v>0</v>
      </c>
      <c r="R31" s="693"/>
      <c r="S31" s="71">
        <v>3</v>
      </c>
      <c r="T31" s="693">
        <v>4</v>
      </c>
      <c r="U31" s="693"/>
      <c r="V31" s="71">
        <v>2</v>
      </c>
      <c r="W31" s="693">
        <v>0</v>
      </c>
      <c r="X31" s="694"/>
      <c r="Y31" s="195">
        <v>6</v>
      </c>
      <c r="Z31" s="80"/>
      <c r="AA31" s="79"/>
    </row>
    <row r="32" spans="1:27" ht="17.25" customHeight="1">
      <c r="A32" s="82"/>
      <c r="B32" s="82"/>
      <c r="C32" s="82"/>
      <c r="D32" s="82"/>
      <c r="E32" s="82"/>
      <c r="F32" s="79"/>
      <c r="G32" s="136"/>
      <c r="H32" s="82"/>
      <c r="I32" s="82"/>
      <c r="J32" s="165"/>
      <c r="K32" s="89"/>
      <c r="L32" s="725" t="s">
        <v>17</v>
      </c>
      <c r="M32" s="693"/>
      <c r="N32" s="693"/>
      <c r="O32" s="693">
        <v>2</v>
      </c>
      <c r="P32" s="693"/>
      <c r="Q32" s="693">
        <v>0</v>
      </c>
      <c r="R32" s="693"/>
      <c r="S32" s="71">
        <v>4</v>
      </c>
      <c r="T32" s="693">
        <v>2</v>
      </c>
      <c r="U32" s="693"/>
      <c r="V32" s="71">
        <v>9</v>
      </c>
      <c r="W32" s="693">
        <v>2</v>
      </c>
      <c r="X32" s="694"/>
      <c r="Y32" s="195">
        <v>15</v>
      </c>
      <c r="Z32" s="80"/>
      <c r="AA32" s="79"/>
    </row>
    <row r="33" spans="1:27" ht="31.5" customHeight="1">
      <c r="A33" s="82"/>
      <c r="B33" s="82"/>
      <c r="C33" s="82"/>
      <c r="D33" s="82"/>
      <c r="E33" s="82"/>
      <c r="F33" s="79"/>
      <c r="G33" s="136"/>
      <c r="H33" s="690">
        <f>O38</f>
        <v>13</v>
      </c>
      <c r="I33" s="691"/>
      <c r="J33" s="692"/>
      <c r="K33" s="89"/>
      <c r="L33" s="725" t="s">
        <v>164</v>
      </c>
      <c r="M33" s="693"/>
      <c r="N33" s="693"/>
      <c r="O33" s="693">
        <v>2</v>
      </c>
      <c r="P33" s="693"/>
      <c r="Q33" s="693">
        <v>2</v>
      </c>
      <c r="R33" s="693"/>
      <c r="S33" s="71">
        <v>0</v>
      </c>
      <c r="T33" s="693">
        <v>0</v>
      </c>
      <c r="U33" s="693"/>
      <c r="V33" s="71">
        <v>1</v>
      </c>
      <c r="W33" s="693">
        <v>1</v>
      </c>
      <c r="X33" s="694"/>
      <c r="Y33" s="195">
        <v>3</v>
      </c>
      <c r="Z33" s="80"/>
      <c r="AA33" s="193"/>
    </row>
    <row r="34" spans="1:27" ht="18" customHeight="1">
      <c r="A34" s="82"/>
      <c r="B34" s="82"/>
      <c r="C34" s="82"/>
      <c r="D34" s="82"/>
      <c r="E34" s="82"/>
      <c r="F34" s="79"/>
      <c r="G34" s="136"/>
      <c r="H34" s="82"/>
      <c r="I34" s="82"/>
      <c r="J34" s="165"/>
      <c r="K34" s="89"/>
      <c r="L34" s="725" t="s">
        <v>165</v>
      </c>
      <c r="M34" s="693"/>
      <c r="N34" s="693"/>
      <c r="O34" s="693">
        <v>1</v>
      </c>
      <c r="P34" s="693"/>
      <c r="Q34" s="693">
        <v>0</v>
      </c>
      <c r="R34" s="693"/>
      <c r="S34" s="71">
        <v>0</v>
      </c>
      <c r="T34" s="693">
        <v>0</v>
      </c>
      <c r="U34" s="693"/>
      <c r="V34" s="71">
        <v>4</v>
      </c>
      <c r="W34" s="693">
        <v>0</v>
      </c>
      <c r="X34" s="694"/>
      <c r="Y34" s="195">
        <v>5</v>
      </c>
      <c r="Z34" s="80"/>
      <c r="AA34" s="79"/>
    </row>
    <row r="35" spans="1:27" ht="15.75" customHeight="1" thickBot="1">
      <c r="A35" s="82"/>
      <c r="B35" s="82"/>
      <c r="C35" s="82"/>
      <c r="D35" s="82"/>
      <c r="E35" s="82"/>
      <c r="F35" s="79"/>
      <c r="G35" s="137"/>
      <c r="H35" s="166"/>
      <c r="I35" s="166"/>
      <c r="J35" s="138"/>
      <c r="K35" s="89"/>
      <c r="L35" s="725" t="s">
        <v>22</v>
      </c>
      <c r="M35" s="693"/>
      <c r="N35" s="693"/>
      <c r="O35" s="720">
        <v>0</v>
      </c>
      <c r="P35" s="720"/>
      <c r="Q35" s="720">
        <v>0</v>
      </c>
      <c r="R35" s="720"/>
      <c r="S35" s="162">
        <v>0</v>
      </c>
      <c r="T35" s="720">
        <v>0</v>
      </c>
      <c r="U35" s="720"/>
      <c r="V35" s="162">
        <v>5</v>
      </c>
      <c r="W35" s="720">
        <v>0</v>
      </c>
      <c r="X35" s="740"/>
      <c r="Y35" s="195">
        <v>5</v>
      </c>
      <c r="Z35" s="80"/>
      <c r="AA35" s="103"/>
    </row>
    <row r="36" spans="1:27" ht="21" customHeight="1" thickBot="1">
      <c r="A36" s="82"/>
      <c r="B36" s="82"/>
      <c r="C36" s="82"/>
      <c r="D36" s="82"/>
      <c r="E36" s="82"/>
      <c r="F36" s="82"/>
      <c r="G36" s="106"/>
      <c r="H36" s="106"/>
      <c r="I36" s="106"/>
      <c r="J36" s="106"/>
      <c r="K36" s="79"/>
      <c r="L36" s="725" t="s">
        <v>20</v>
      </c>
      <c r="M36" s="693"/>
      <c r="N36" s="694"/>
      <c r="O36" s="697">
        <v>4</v>
      </c>
      <c r="P36" s="697"/>
      <c r="Q36" s="697">
        <v>1</v>
      </c>
      <c r="R36" s="697"/>
      <c r="S36" s="163">
        <v>0</v>
      </c>
      <c r="T36" s="697">
        <v>0</v>
      </c>
      <c r="U36" s="697"/>
      <c r="V36" s="163">
        <v>6</v>
      </c>
      <c r="W36" s="697">
        <v>1</v>
      </c>
      <c r="X36" s="721"/>
      <c r="Y36" s="195">
        <v>10</v>
      </c>
      <c r="Z36" s="80"/>
      <c r="AA36" s="79"/>
    </row>
    <row r="37" spans="1:27" ht="19.5" customHeight="1">
      <c r="A37" s="82"/>
      <c r="B37" s="82"/>
      <c r="C37" s="82"/>
      <c r="D37" s="82"/>
      <c r="E37" s="82"/>
      <c r="F37" s="79"/>
      <c r="G37" s="135"/>
      <c r="H37" s="714" t="s">
        <v>92</v>
      </c>
      <c r="I37" s="715"/>
      <c r="J37" s="716"/>
      <c r="K37" s="89"/>
      <c r="L37" s="725" t="s">
        <v>166</v>
      </c>
      <c r="M37" s="693"/>
      <c r="N37" s="694"/>
      <c r="O37" s="697">
        <v>0</v>
      </c>
      <c r="P37" s="697"/>
      <c r="Q37" s="697">
        <v>0</v>
      </c>
      <c r="R37" s="697"/>
      <c r="S37" s="163">
        <v>0</v>
      </c>
      <c r="T37" s="697">
        <v>0</v>
      </c>
      <c r="U37" s="697"/>
      <c r="V37" s="163">
        <v>3</v>
      </c>
      <c r="W37" s="697">
        <v>3</v>
      </c>
      <c r="X37" s="721"/>
      <c r="Y37" s="195">
        <v>3</v>
      </c>
      <c r="Z37" s="80"/>
    </row>
    <row r="38" spans="1:27" ht="14.25" customHeight="1" thickBot="1">
      <c r="A38" s="82"/>
      <c r="B38" s="82"/>
      <c r="C38" s="82"/>
      <c r="D38" s="82"/>
      <c r="E38" s="82"/>
      <c r="F38" s="79"/>
      <c r="G38" s="136"/>
      <c r="H38" s="82"/>
      <c r="I38" s="82"/>
      <c r="J38" s="165"/>
      <c r="K38" s="89"/>
      <c r="L38" s="733" t="s">
        <v>88</v>
      </c>
      <c r="M38" s="734"/>
      <c r="N38" s="735"/>
      <c r="O38" s="698">
        <f>SUM(O29:P37)</f>
        <v>13</v>
      </c>
      <c r="P38" s="698"/>
      <c r="Q38" s="698">
        <f>SUM(Q29:R37)</f>
        <v>4</v>
      </c>
      <c r="R38" s="698"/>
      <c r="S38" s="196">
        <f>SUM(S29:S37)</f>
        <v>16</v>
      </c>
      <c r="T38" s="698">
        <f>SUM(T29:U37)</f>
        <v>9</v>
      </c>
      <c r="U38" s="698"/>
      <c r="V38" s="196">
        <f>SUM(V29:V37)</f>
        <v>35</v>
      </c>
      <c r="W38" s="698">
        <f>SUM(W29:X37)</f>
        <v>8</v>
      </c>
      <c r="X38" s="698"/>
      <c r="Y38" s="197">
        <f>SUM(Y29:Y37)</f>
        <v>64</v>
      </c>
      <c r="Z38" s="80"/>
      <c r="AA38" s="103"/>
    </row>
    <row r="39" spans="1:27" ht="25.5" customHeight="1">
      <c r="A39" s="82"/>
      <c r="B39" s="82"/>
      <c r="C39" s="82"/>
      <c r="D39" s="82"/>
      <c r="E39" s="82"/>
      <c r="F39" s="79"/>
      <c r="G39" s="136"/>
      <c r="H39" s="690">
        <f>S38</f>
        <v>16</v>
      </c>
      <c r="I39" s="691"/>
      <c r="J39" s="692"/>
      <c r="K39" s="89"/>
      <c r="L39" s="728"/>
      <c r="M39" s="736"/>
      <c r="N39" s="737"/>
      <c r="O39" s="728"/>
      <c r="P39" s="729"/>
      <c r="Q39" s="711"/>
      <c r="R39" s="712"/>
      <c r="S39" s="104"/>
      <c r="T39" s="699"/>
      <c r="U39" s="699"/>
      <c r="V39" s="104"/>
      <c r="W39" s="699"/>
      <c r="X39" s="699"/>
      <c r="Y39" s="132"/>
      <c r="Z39" s="82"/>
      <c r="AA39" s="79"/>
    </row>
    <row r="40" spans="1:27" ht="12" customHeight="1">
      <c r="A40" s="82"/>
      <c r="B40" s="82"/>
      <c r="C40" s="82"/>
      <c r="D40" s="82"/>
      <c r="E40" s="82"/>
      <c r="F40" s="79"/>
      <c r="G40" s="136"/>
      <c r="H40" s="82"/>
      <c r="I40" s="82"/>
      <c r="J40" s="165"/>
      <c r="K40" s="89"/>
      <c r="L40" s="701"/>
      <c r="M40" s="738"/>
      <c r="N40" s="702"/>
      <c r="O40" s="730"/>
      <c r="P40" s="727"/>
      <c r="Q40" s="726"/>
      <c r="R40" s="727"/>
      <c r="S40" s="82"/>
      <c r="T40" s="700"/>
      <c r="U40" s="700"/>
      <c r="V40" s="82"/>
      <c r="W40" s="700"/>
      <c r="X40" s="700"/>
      <c r="Y40" s="140"/>
      <c r="Z40" s="82"/>
    </row>
    <row r="41" spans="1:27" ht="9" customHeight="1" thickBot="1">
      <c r="A41" s="82"/>
      <c r="B41" s="82"/>
      <c r="C41" s="82"/>
      <c r="D41" s="82"/>
      <c r="E41" s="82"/>
      <c r="F41" s="79"/>
      <c r="G41" s="137"/>
      <c r="H41" s="166"/>
      <c r="I41" s="166"/>
      <c r="J41" s="138"/>
      <c r="K41" s="89"/>
      <c r="L41" s="701"/>
      <c r="M41" s="738"/>
      <c r="N41" s="702"/>
      <c r="O41" s="731"/>
      <c r="P41" s="732"/>
      <c r="Q41" s="701"/>
      <c r="R41" s="702"/>
      <c r="S41" s="82"/>
      <c r="T41" s="701"/>
      <c r="U41" s="702"/>
      <c r="V41" s="82"/>
      <c r="W41" s="701"/>
      <c r="X41" s="702"/>
      <c r="Y41" s="140"/>
      <c r="Z41" s="82"/>
      <c r="AA41" s="103"/>
    </row>
    <row r="42" spans="1:27" ht="24" thickBot="1">
      <c r="A42" s="82"/>
      <c r="B42" s="82"/>
      <c r="C42" s="82"/>
      <c r="D42" s="82"/>
      <c r="E42" s="82"/>
      <c r="F42" s="82"/>
      <c r="G42" s="106"/>
      <c r="H42" s="106"/>
      <c r="I42" s="106"/>
      <c r="J42" s="106"/>
      <c r="K42" s="79"/>
      <c r="L42" s="722"/>
      <c r="M42" s="723"/>
      <c r="N42" s="724"/>
      <c r="O42" s="711"/>
      <c r="P42" s="712"/>
      <c r="Q42" s="82"/>
      <c r="R42" s="695" t="s">
        <v>136</v>
      </c>
      <c r="S42" s="696"/>
      <c r="T42" s="105"/>
      <c r="U42" s="703"/>
      <c r="V42" s="704"/>
      <c r="W42" s="703"/>
      <c r="X42" s="704"/>
      <c r="Y42" s="140"/>
      <c r="Z42" s="82"/>
      <c r="AA42" s="79"/>
    </row>
    <row r="43" spans="1:27" ht="26.25" customHeight="1">
      <c r="A43" s="82"/>
      <c r="B43" s="82"/>
      <c r="C43" s="82"/>
      <c r="D43" s="82"/>
      <c r="E43" s="82"/>
      <c r="F43" s="79"/>
      <c r="G43" s="135"/>
      <c r="H43" s="706" t="s">
        <v>104</v>
      </c>
      <c r="I43" s="706"/>
      <c r="J43" s="707"/>
      <c r="K43" s="89"/>
      <c r="L43" s="135"/>
      <c r="M43" s="164"/>
      <c r="N43" s="681" t="s">
        <v>94</v>
      </c>
      <c r="O43" s="682"/>
      <c r="P43" s="683"/>
      <c r="Q43" s="136"/>
      <c r="R43" s="264" t="s">
        <v>137</v>
      </c>
      <c r="S43" s="277"/>
      <c r="T43" s="274" t="s">
        <v>140</v>
      </c>
      <c r="U43" s="265"/>
      <c r="V43" s="265"/>
      <c r="W43" s="265"/>
      <c r="X43" s="278"/>
      <c r="Y43" s="271"/>
      <c r="Z43" s="267"/>
      <c r="AA43" s="272"/>
    </row>
    <row r="44" spans="1:27" ht="12" customHeight="1">
      <c r="A44" s="82"/>
      <c r="B44" s="82"/>
      <c r="C44" s="82"/>
      <c r="D44" s="82"/>
      <c r="E44" s="82"/>
      <c r="F44" s="79"/>
      <c r="G44" s="136"/>
      <c r="H44" s="82"/>
      <c r="I44" s="82"/>
      <c r="J44" s="165"/>
      <c r="K44" s="89"/>
      <c r="L44" s="136"/>
      <c r="M44" s="82"/>
      <c r="N44" s="82"/>
      <c r="O44" s="82"/>
      <c r="P44" s="165"/>
      <c r="Q44" s="284"/>
      <c r="R44" s="266"/>
      <c r="S44" s="281"/>
      <c r="T44" s="282"/>
      <c r="U44" s="279"/>
      <c r="V44" s="280"/>
      <c r="W44" s="280"/>
      <c r="X44" s="280"/>
      <c r="Y44" s="286"/>
      <c r="Z44" s="280"/>
      <c r="AA44" s="281"/>
    </row>
    <row r="45" spans="1:27" ht="27" customHeight="1">
      <c r="A45" s="82"/>
      <c r="B45" s="82"/>
      <c r="C45" s="82"/>
      <c r="D45" s="82"/>
      <c r="E45" s="82"/>
      <c r="F45" s="79"/>
      <c r="G45" s="136"/>
      <c r="H45" s="690">
        <f>SUM(V38)</f>
        <v>35</v>
      </c>
      <c r="I45" s="691"/>
      <c r="J45" s="692"/>
      <c r="K45" s="89"/>
      <c r="L45" s="136"/>
      <c r="M45" s="82"/>
      <c r="N45" s="82"/>
      <c r="O45" s="684">
        <f>SUM(Q38,T38,W38)</f>
        <v>21</v>
      </c>
      <c r="P45" s="685"/>
      <c r="Q45" s="136"/>
      <c r="R45" s="265" t="s">
        <v>138</v>
      </c>
      <c r="S45" s="275"/>
      <c r="T45" s="273" t="s">
        <v>141</v>
      </c>
      <c r="U45" s="274"/>
      <c r="V45" s="267"/>
      <c r="W45" s="267"/>
      <c r="X45" s="272"/>
      <c r="Y45" s="285"/>
      <c r="Z45" s="267"/>
      <c r="AA45" s="272"/>
    </row>
    <row r="46" spans="1:27" ht="17.25" customHeight="1">
      <c r="A46" s="82"/>
      <c r="B46" s="82"/>
      <c r="C46" s="82"/>
      <c r="D46" s="82"/>
      <c r="E46" s="82"/>
      <c r="F46" s="79"/>
      <c r="G46" s="136"/>
      <c r="H46" s="82"/>
      <c r="I46" s="82"/>
      <c r="J46" s="165"/>
      <c r="K46" s="89"/>
      <c r="L46" s="136"/>
      <c r="M46" s="82"/>
      <c r="N46" s="82"/>
      <c r="O46" s="686"/>
      <c r="P46" s="687"/>
      <c r="Q46" s="136"/>
      <c r="R46" s="266"/>
      <c r="S46" s="281"/>
      <c r="T46" s="282"/>
      <c r="U46" s="279"/>
      <c r="V46" s="280"/>
      <c r="W46" s="280"/>
      <c r="X46" s="280"/>
      <c r="Y46" s="287"/>
      <c r="Z46" s="280"/>
      <c r="AA46" s="283"/>
    </row>
    <row r="47" spans="1:27" ht="19.5" customHeight="1" thickBot="1">
      <c r="A47" s="82"/>
      <c r="B47" s="82"/>
      <c r="C47" s="82"/>
      <c r="D47" s="82"/>
      <c r="E47" s="82"/>
      <c r="F47" s="79"/>
      <c r="G47" s="137"/>
      <c r="H47" s="166"/>
      <c r="I47" s="166"/>
      <c r="J47" s="138"/>
      <c r="K47" s="89"/>
      <c r="L47" s="137"/>
      <c r="M47" s="166"/>
      <c r="N47" s="166"/>
      <c r="O47" s="166"/>
      <c r="P47" s="138"/>
      <c r="R47" s="273" t="s">
        <v>139</v>
      </c>
      <c r="S47" s="272"/>
      <c r="T47" s="273" t="s">
        <v>142</v>
      </c>
      <c r="U47" s="274"/>
      <c r="V47" s="267"/>
      <c r="W47" s="267"/>
      <c r="X47" s="272"/>
      <c r="Y47" s="288"/>
      <c r="Z47" s="267"/>
      <c r="AA47" s="276"/>
    </row>
    <row r="48" spans="1:27" ht="18.75" customHeight="1">
      <c r="A48" s="82"/>
      <c r="B48" s="82"/>
      <c r="C48" s="82"/>
      <c r="D48" s="82"/>
      <c r="E48" s="90"/>
      <c r="F48" s="103"/>
      <c r="G48" s="104"/>
      <c r="H48" s="106"/>
      <c r="I48" s="106"/>
      <c r="J48" s="104"/>
      <c r="K48" s="78"/>
      <c r="L48" s="164"/>
      <c r="M48" s="164"/>
      <c r="N48" s="164"/>
      <c r="O48" s="164"/>
      <c r="P48" s="87"/>
      <c r="Q48" s="82"/>
      <c r="R48" s="79"/>
      <c r="S48" s="82"/>
      <c r="T48" s="82"/>
      <c r="U48" s="79"/>
      <c r="V48" s="82"/>
      <c r="W48" s="82"/>
      <c r="X48" s="82"/>
      <c r="Y48" s="79"/>
      <c r="Z48" s="82"/>
      <c r="AA48" s="103"/>
    </row>
    <row r="49" spans="1:28" ht="28.5" customHeight="1">
      <c r="A49" s="82"/>
      <c r="B49" s="82"/>
      <c r="C49" s="82"/>
      <c r="D49" s="82"/>
      <c r="E49" s="82"/>
      <c r="F49" s="79"/>
      <c r="G49" s="82"/>
      <c r="H49" s="90"/>
      <c r="I49" s="90"/>
      <c r="J49" s="82"/>
      <c r="K49" s="82"/>
      <c r="L49" s="104"/>
      <c r="M49" s="104"/>
      <c r="N49" s="104"/>
      <c r="O49" s="104"/>
      <c r="P49" s="82"/>
      <c r="Q49" s="82"/>
      <c r="R49" s="79"/>
      <c r="S49" s="82"/>
      <c r="T49" s="82"/>
      <c r="U49" s="79"/>
      <c r="V49" s="82"/>
      <c r="W49" s="82"/>
      <c r="X49" s="82"/>
      <c r="Y49" s="79"/>
      <c r="Z49" s="82"/>
      <c r="AA49" s="103"/>
    </row>
    <row r="50" spans="1:28" ht="16.5" thickBot="1">
      <c r="A50" s="82"/>
      <c r="B50" s="82"/>
      <c r="C50" s="82"/>
      <c r="D50" s="82"/>
      <c r="E50" s="82"/>
      <c r="F50" s="79"/>
      <c r="G50" s="167"/>
      <c r="H50" s="688"/>
      <c r="I50" s="688"/>
      <c r="J50" s="689"/>
      <c r="K50" s="80"/>
      <c r="L50" s="104"/>
      <c r="M50" s="104"/>
      <c r="N50" s="104"/>
      <c r="O50" s="104"/>
      <c r="P50" s="82"/>
      <c r="Q50" s="79"/>
      <c r="R50" s="79"/>
      <c r="S50" s="82"/>
      <c r="T50" s="82"/>
      <c r="U50" s="79"/>
      <c r="V50" s="82"/>
      <c r="W50" s="82"/>
      <c r="X50" s="82"/>
      <c r="Y50" s="79"/>
      <c r="Z50" s="82"/>
      <c r="AA50" s="103"/>
    </row>
    <row r="51" spans="1:28">
      <c r="A51" s="82"/>
      <c r="B51" s="82"/>
      <c r="C51" s="82"/>
      <c r="D51" s="82"/>
      <c r="E51" s="82"/>
      <c r="F51" s="82"/>
      <c r="G51" s="104"/>
      <c r="H51" s="104"/>
      <c r="I51" s="104"/>
      <c r="J51" s="104"/>
      <c r="K51" s="82"/>
      <c r="L51" s="82"/>
      <c r="M51" s="82"/>
      <c r="N51" s="82"/>
      <c r="O51" s="82"/>
      <c r="P51" s="82"/>
      <c r="Q51" s="79"/>
      <c r="R51" s="79"/>
      <c r="S51" s="82"/>
      <c r="T51" s="82"/>
      <c r="U51" s="79"/>
      <c r="V51" s="82"/>
      <c r="W51" s="82"/>
      <c r="X51" s="82"/>
      <c r="Y51" s="79"/>
      <c r="Z51" s="82"/>
    </row>
    <row r="52" spans="1:28" ht="36">
      <c r="A52" s="82"/>
      <c r="B52" s="82"/>
      <c r="C52" s="82"/>
      <c r="D52" s="82"/>
      <c r="E52" s="82"/>
      <c r="F52" s="82"/>
      <c r="G52" s="82"/>
      <c r="H52" s="705"/>
      <c r="I52" s="705"/>
      <c r="J52" s="705"/>
      <c r="K52" s="82"/>
      <c r="L52" s="82"/>
      <c r="M52" s="82"/>
      <c r="N52" s="82"/>
      <c r="O52" s="82"/>
      <c r="P52" s="82"/>
      <c r="Q52" s="79"/>
      <c r="R52" s="79"/>
      <c r="S52" s="82"/>
      <c r="T52" s="82"/>
      <c r="U52" s="79"/>
      <c r="V52" s="82"/>
      <c r="W52" s="82"/>
      <c r="X52" s="82"/>
      <c r="Y52" s="79"/>
      <c r="Z52" s="82"/>
      <c r="AA52" s="103"/>
    </row>
    <row r="53" spans="1:28">
      <c r="A53" s="82"/>
      <c r="B53" s="82"/>
      <c r="C53" s="82"/>
      <c r="D53" s="82"/>
      <c r="E53" s="82"/>
      <c r="F53" s="82"/>
      <c r="G53" s="82"/>
      <c r="H53" s="82"/>
      <c r="I53" s="82"/>
      <c r="J53" s="82"/>
      <c r="K53" s="82"/>
      <c r="L53" s="82"/>
      <c r="M53" s="82"/>
      <c r="N53" s="82"/>
      <c r="O53" s="82"/>
      <c r="P53" s="82"/>
      <c r="Q53" s="79"/>
      <c r="R53" s="79"/>
      <c r="S53" s="82"/>
      <c r="T53" s="82"/>
      <c r="U53" s="79"/>
      <c r="V53" s="82"/>
      <c r="W53" s="82"/>
      <c r="X53" s="82"/>
      <c r="Y53" s="79"/>
      <c r="Z53" s="82"/>
      <c r="AA53" s="103"/>
    </row>
    <row r="54" spans="1:28" ht="3" customHeight="1">
      <c r="A54" s="82"/>
      <c r="B54" s="82"/>
      <c r="C54" s="82"/>
      <c r="D54" s="82"/>
      <c r="E54" s="82"/>
      <c r="F54" s="82"/>
      <c r="G54" s="82"/>
      <c r="H54" s="82"/>
      <c r="I54" s="82"/>
      <c r="J54" s="82"/>
      <c r="K54" s="82"/>
      <c r="L54" s="82"/>
      <c r="M54" s="82"/>
      <c r="N54" s="82"/>
      <c r="O54" s="82"/>
      <c r="P54" s="82"/>
      <c r="Q54" s="79"/>
      <c r="R54" s="79"/>
      <c r="S54" s="82"/>
      <c r="T54" s="82"/>
      <c r="U54" s="79"/>
      <c r="V54" s="82"/>
      <c r="W54" s="82"/>
      <c r="X54" s="82"/>
      <c r="Y54" s="79"/>
      <c r="Z54" s="82"/>
      <c r="AA54" s="103"/>
    </row>
    <row r="55" spans="1:28" ht="5.25" customHeight="1">
      <c r="A55" s="82"/>
      <c r="B55" s="82"/>
      <c r="C55" s="82"/>
      <c r="D55" s="82"/>
      <c r="E55" s="82"/>
      <c r="F55" s="82"/>
      <c r="G55" s="82"/>
      <c r="H55" s="82"/>
      <c r="I55" s="82"/>
      <c r="J55" s="82"/>
      <c r="K55" s="82"/>
      <c r="L55" s="82"/>
      <c r="M55" s="82"/>
      <c r="N55" s="82"/>
      <c r="O55" s="82"/>
      <c r="P55" s="82"/>
      <c r="Q55" s="79"/>
      <c r="R55" s="79"/>
      <c r="S55" s="82"/>
      <c r="T55" s="82"/>
      <c r="U55" s="79"/>
      <c r="V55" s="82"/>
      <c r="W55" s="82"/>
      <c r="X55" s="678"/>
      <c r="Y55" s="679"/>
      <c r="Z55" s="679"/>
      <c r="AA55" s="679"/>
      <c r="AB55" s="680"/>
    </row>
    <row r="56" spans="1:28" ht="23.25" hidden="1">
      <c r="A56" s="82"/>
      <c r="B56" s="82"/>
      <c r="C56" s="82"/>
      <c r="D56" s="82"/>
      <c r="E56" s="104"/>
      <c r="F56" s="104"/>
      <c r="G56" s="104"/>
      <c r="H56" s="104"/>
      <c r="I56" s="104"/>
      <c r="J56" s="104"/>
      <c r="K56" s="104"/>
      <c r="L56" s="82"/>
      <c r="M56" s="82"/>
      <c r="N56" s="82"/>
      <c r="O56" s="82"/>
      <c r="P56" s="82"/>
      <c r="Q56" s="79"/>
      <c r="R56" s="79"/>
      <c r="S56" s="82"/>
      <c r="T56" s="82"/>
      <c r="U56" s="79"/>
      <c r="V56" s="82"/>
      <c r="W56" s="82"/>
      <c r="X56" s="268"/>
      <c r="Y56" s="269"/>
      <c r="Z56" s="82"/>
      <c r="AA56" s="82"/>
      <c r="AB56" s="79"/>
    </row>
    <row r="57" spans="1:28" ht="23.25">
      <c r="A57" s="82"/>
      <c r="B57" s="82"/>
      <c r="C57" s="82"/>
      <c r="D57" s="82"/>
      <c r="E57" s="82"/>
      <c r="F57" s="82"/>
      <c r="G57" s="82"/>
      <c r="H57" s="82"/>
      <c r="I57" s="82"/>
      <c r="J57" s="82"/>
      <c r="K57" s="82"/>
      <c r="L57" s="82"/>
      <c r="M57" s="82"/>
      <c r="N57" s="82"/>
      <c r="O57" s="82"/>
      <c r="P57" s="82"/>
      <c r="Q57" s="79"/>
      <c r="R57" s="79"/>
      <c r="S57" s="82"/>
      <c r="T57" s="82"/>
      <c r="U57" s="79"/>
      <c r="V57" s="82"/>
      <c r="W57" s="82"/>
      <c r="X57" s="270"/>
      <c r="Y57" s="269"/>
      <c r="Z57" s="82"/>
      <c r="AA57" s="82"/>
      <c r="AB57" s="79"/>
    </row>
    <row r="58" spans="1:28" ht="23.25">
      <c r="A58" s="82"/>
      <c r="B58" s="82"/>
      <c r="C58" s="82"/>
      <c r="D58" s="82"/>
      <c r="E58" s="82"/>
      <c r="F58" s="82"/>
      <c r="G58" s="82"/>
      <c r="H58" s="82"/>
      <c r="I58" s="82"/>
      <c r="J58" s="82"/>
      <c r="K58" s="82"/>
      <c r="L58" s="82"/>
      <c r="M58" s="82"/>
      <c r="N58" s="82"/>
      <c r="O58" s="82"/>
      <c r="P58" s="82"/>
      <c r="Q58" s="79"/>
      <c r="R58" s="79"/>
      <c r="S58" s="82"/>
      <c r="T58" s="82"/>
      <c r="U58" s="79"/>
      <c r="V58" s="82"/>
      <c r="W58" s="82"/>
      <c r="X58" s="268"/>
      <c r="Y58" s="269"/>
      <c r="Z58" s="82"/>
      <c r="AA58" s="82"/>
      <c r="AB58" s="79"/>
    </row>
    <row r="59" spans="1:28" ht="23.25">
      <c r="A59" s="82"/>
      <c r="B59" s="82"/>
      <c r="C59" s="82"/>
      <c r="D59" s="82"/>
      <c r="E59" s="82"/>
      <c r="F59" s="82"/>
      <c r="G59" s="82"/>
      <c r="H59" s="82"/>
      <c r="I59" s="82"/>
      <c r="J59" s="82"/>
      <c r="K59" s="82"/>
      <c r="L59" s="82"/>
      <c r="M59" s="82"/>
      <c r="N59" s="82"/>
      <c r="O59" s="82"/>
      <c r="P59" s="82"/>
      <c r="Q59" s="79"/>
      <c r="R59" s="79"/>
      <c r="S59" s="82"/>
      <c r="T59" s="82"/>
      <c r="U59" s="79"/>
      <c r="V59" s="82"/>
      <c r="W59" s="82"/>
      <c r="X59" s="270"/>
      <c r="Y59" s="269"/>
      <c r="Z59" s="82"/>
      <c r="AA59" s="82"/>
      <c r="AB59" s="79"/>
    </row>
    <row r="60" spans="1:28">
      <c r="A60" s="82"/>
      <c r="B60" s="82"/>
      <c r="C60" s="82"/>
      <c r="D60" s="82"/>
      <c r="E60" s="82"/>
      <c r="F60" s="82"/>
      <c r="G60" s="82"/>
      <c r="H60" s="82"/>
      <c r="I60" s="82"/>
      <c r="J60" s="82"/>
      <c r="K60" s="82"/>
      <c r="L60" s="82"/>
      <c r="M60" s="82"/>
      <c r="N60" s="82"/>
      <c r="O60" s="82"/>
      <c r="P60" s="82"/>
      <c r="Q60" s="79"/>
      <c r="R60" s="79"/>
      <c r="S60" s="82"/>
      <c r="T60" s="82"/>
      <c r="U60" s="79"/>
      <c r="V60" s="82"/>
      <c r="W60" s="82"/>
      <c r="X60" s="82"/>
      <c r="Y60" s="79"/>
      <c r="Z60" s="82"/>
      <c r="AA60" s="103"/>
    </row>
    <row r="61" spans="1:28">
      <c r="A61" s="82"/>
      <c r="B61" s="82"/>
      <c r="C61" s="82"/>
      <c r="D61" s="82"/>
      <c r="E61" s="82"/>
      <c r="F61" s="82"/>
      <c r="G61" s="82"/>
      <c r="H61" s="82"/>
      <c r="I61" s="82"/>
      <c r="J61" s="82"/>
      <c r="K61" s="82"/>
      <c r="L61" s="82"/>
      <c r="M61" s="82"/>
      <c r="N61" s="82"/>
      <c r="O61" s="82"/>
      <c r="P61" s="82"/>
      <c r="Q61" s="79"/>
      <c r="R61" s="79"/>
      <c r="X61" s="82"/>
      <c r="Y61" s="79"/>
      <c r="Z61" s="82"/>
    </row>
    <row r="62" spans="1:28">
      <c r="A62" s="82"/>
      <c r="B62" s="82"/>
      <c r="C62" s="82"/>
      <c r="D62" s="82"/>
      <c r="E62" s="82"/>
      <c r="F62" s="82"/>
      <c r="G62" s="82"/>
      <c r="H62" s="82"/>
      <c r="I62" s="82"/>
      <c r="J62" s="82"/>
      <c r="K62" s="82"/>
      <c r="L62" s="82"/>
      <c r="M62" s="82"/>
      <c r="N62" s="82"/>
      <c r="O62" s="82"/>
      <c r="P62" s="82"/>
      <c r="Q62" s="79"/>
      <c r="R62" s="79"/>
      <c r="X62" s="82"/>
      <c r="Y62" s="79"/>
      <c r="Z62" s="82"/>
    </row>
    <row r="63" spans="1:28" ht="23.25">
      <c r="A63" s="82"/>
      <c r="B63" s="82"/>
      <c r="C63" s="82"/>
      <c r="D63" s="82"/>
      <c r="E63" s="82"/>
      <c r="F63" s="82"/>
      <c r="G63" s="82"/>
      <c r="H63" s="82"/>
      <c r="I63" s="82"/>
      <c r="J63" s="82"/>
      <c r="K63" s="82"/>
      <c r="L63" s="82"/>
      <c r="M63" s="82"/>
      <c r="N63" s="82"/>
      <c r="O63" s="82"/>
      <c r="P63" s="82"/>
      <c r="Q63" s="79"/>
      <c r="R63" s="79"/>
      <c r="U63" s="678"/>
      <c r="V63" s="679"/>
      <c r="W63" s="679"/>
      <c r="X63" s="679"/>
      <c r="Y63" s="680"/>
      <c r="Z63" s="82"/>
    </row>
    <row r="64" spans="1:28" ht="23.25">
      <c r="A64" s="82"/>
      <c r="B64" s="82"/>
      <c r="C64" s="82"/>
      <c r="D64" s="82"/>
      <c r="E64" s="82"/>
      <c r="F64" s="82"/>
      <c r="G64" s="82"/>
      <c r="H64" s="82"/>
      <c r="I64" s="82"/>
      <c r="J64" s="82"/>
      <c r="K64" s="82"/>
      <c r="L64" s="82"/>
      <c r="M64" s="82"/>
      <c r="N64" s="82"/>
      <c r="O64" s="82"/>
      <c r="P64" s="82"/>
      <c r="Q64" s="79"/>
      <c r="R64" s="79"/>
      <c r="U64" s="268"/>
      <c r="V64" s="269"/>
      <c r="W64" s="82"/>
      <c r="X64" s="82"/>
      <c r="Y64" s="79"/>
      <c r="Z64" s="82"/>
    </row>
    <row r="65" spans="1:26" ht="23.25">
      <c r="A65" s="82"/>
      <c r="B65" s="82"/>
      <c r="C65" s="82"/>
      <c r="D65" s="82"/>
      <c r="E65" s="82"/>
      <c r="F65" s="82"/>
      <c r="G65" s="82"/>
      <c r="H65" s="82"/>
      <c r="I65" s="82"/>
      <c r="J65" s="82"/>
      <c r="K65" s="82"/>
      <c r="L65" s="82"/>
      <c r="M65" s="82"/>
      <c r="N65" s="82"/>
      <c r="O65" s="82"/>
      <c r="P65" s="82"/>
      <c r="Q65" s="79"/>
      <c r="R65" s="79"/>
      <c r="U65" s="270"/>
      <c r="V65" s="269"/>
      <c r="W65" s="82"/>
      <c r="X65" s="82"/>
      <c r="Y65" s="79"/>
      <c r="Z65" s="82"/>
    </row>
    <row r="66" spans="1:26" ht="23.25">
      <c r="A66" s="82"/>
      <c r="B66" s="82"/>
      <c r="C66" s="82"/>
      <c r="D66" s="82"/>
      <c r="E66" s="82"/>
      <c r="F66" s="82"/>
      <c r="G66" s="82"/>
      <c r="H66" s="82"/>
      <c r="I66" s="82"/>
      <c r="J66" s="82"/>
      <c r="K66" s="82"/>
      <c r="L66" s="82"/>
      <c r="M66" s="82"/>
      <c r="N66" s="82"/>
      <c r="O66" s="82"/>
      <c r="P66" s="82"/>
      <c r="Q66" s="79"/>
      <c r="R66" s="79"/>
      <c r="U66" s="268"/>
      <c r="V66" s="269"/>
      <c r="W66" s="82"/>
      <c r="X66" s="82"/>
      <c r="Y66" s="79"/>
      <c r="Z66" s="82"/>
    </row>
    <row r="67" spans="1:26" ht="23.25">
      <c r="A67" s="82"/>
      <c r="B67" s="82"/>
      <c r="C67" s="82"/>
      <c r="D67" s="82"/>
      <c r="E67" s="82"/>
      <c r="F67" s="82"/>
      <c r="G67" s="82"/>
      <c r="H67" s="82"/>
      <c r="I67" s="82"/>
      <c r="J67" s="82"/>
      <c r="K67" s="82"/>
      <c r="L67" s="82"/>
      <c r="M67" s="82"/>
      <c r="N67" s="82"/>
      <c r="O67" s="82"/>
      <c r="P67" s="82"/>
      <c r="Q67" s="79"/>
      <c r="R67" s="79"/>
      <c r="S67" s="82"/>
      <c r="T67" s="82"/>
      <c r="U67" s="270"/>
      <c r="V67" s="269"/>
      <c r="W67" s="82"/>
      <c r="X67" s="82"/>
      <c r="Y67" s="79"/>
      <c r="Z67" s="82"/>
    </row>
    <row r="68" spans="1:26">
      <c r="A68" s="82"/>
      <c r="B68" s="82"/>
      <c r="C68" s="82"/>
      <c r="D68" s="82"/>
      <c r="E68" s="82"/>
      <c r="F68" s="82"/>
      <c r="G68" s="82"/>
      <c r="H68" s="82"/>
      <c r="I68" s="82"/>
      <c r="J68" s="82"/>
      <c r="K68" s="82"/>
      <c r="L68" s="82"/>
      <c r="M68" s="82"/>
      <c r="N68" s="82"/>
      <c r="O68" s="82"/>
      <c r="P68" s="82"/>
      <c r="Q68" s="79"/>
      <c r="R68" s="79"/>
      <c r="S68" s="82"/>
      <c r="T68" s="82"/>
      <c r="U68" s="79"/>
      <c r="V68" s="82"/>
      <c r="W68" s="82"/>
      <c r="X68" s="82"/>
      <c r="Y68" s="79"/>
      <c r="Z68" s="82"/>
    </row>
    <row r="69" spans="1:26">
      <c r="A69" s="82"/>
      <c r="B69" s="82"/>
      <c r="C69" s="82"/>
      <c r="D69" s="82"/>
      <c r="E69" s="82"/>
      <c r="F69" s="82"/>
      <c r="G69" s="82"/>
      <c r="H69" s="82"/>
      <c r="I69" s="82"/>
      <c r="J69" s="82"/>
      <c r="K69" s="82"/>
      <c r="L69" s="82"/>
      <c r="M69" s="82"/>
      <c r="N69" s="82"/>
      <c r="O69" s="82"/>
      <c r="P69" s="82"/>
      <c r="Q69" s="79"/>
      <c r="R69" s="79"/>
      <c r="S69" s="82"/>
      <c r="T69" s="82"/>
      <c r="U69" s="79"/>
      <c r="V69" s="82"/>
      <c r="W69" s="82"/>
      <c r="X69" s="82"/>
      <c r="Y69" s="79"/>
      <c r="Z69" s="82"/>
    </row>
    <row r="70" spans="1:26">
      <c r="A70" s="82"/>
      <c r="B70" s="82"/>
      <c r="C70" s="82"/>
      <c r="D70" s="82"/>
      <c r="E70" s="82"/>
      <c r="F70" s="82"/>
      <c r="G70" s="82"/>
      <c r="H70" s="82"/>
      <c r="I70" s="82"/>
      <c r="J70" s="82"/>
      <c r="K70" s="82"/>
      <c r="L70" s="82"/>
      <c r="M70" s="82"/>
      <c r="N70" s="82"/>
      <c r="O70" s="82"/>
      <c r="P70" s="82"/>
      <c r="Q70" s="79"/>
      <c r="R70" s="79"/>
      <c r="S70" s="82"/>
      <c r="T70" s="82"/>
      <c r="U70" s="79"/>
      <c r="V70" s="82"/>
      <c r="W70" s="82"/>
      <c r="X70" s="82"/>
      <c r="Y70" s="79"/>
      <c r="Z70" s="82"/>
    </row>
    <row r="71" spans="1:26">
      <c r="A71" s="82"/>
      <c r="B71" s="82"/>
      <c r="C71" s="82"/>
      <c r="D71" s="82"/>
      <c r="E71" s="82"/>
      <c r="F71" s="82"/>
      <c r="G71" s="82"/>
      <c r="H71" s="82"/>
      <c r="I71" s="82"/>
      <c r="J71" s="82"/>
      <c r="K71" s="82"/>
      <c r="L71" s="82"/>
      <c r="M71" s="82"/>
      <c r="N71" s="82"/>
      <c r="O71" s="82"/>
      <c r="P71" s="82"/>
      <c r="Q71" s="79"/>
      <c r="R71" s="79"/>
      <c r="S71" s="82"/>
      <c r="T71" s="82"/>
      <c r="U71" s="79"/>
      <c r="V71" s="82"/>
      <c r="W71" s="82"/>
      <c r="X71" s="82"/>
      <c r="Y71" s="79"/>
      <c r="Z71" s="82"/>
    </row>
    <row r="72" spans="1:26">
      <c r="A72" s="82"/>
      <c r="B72" s="82"/>
      <c r="C72" s="82"/>
      <c r="D72" s="82"/>
      <c r="E72" s="82"/>
      <c r="F72" s="82"/>
      <c r="G72" s="82"/>
      <c r="H72" s="82"/>
      <c r="I72" s="82"/>
      <c r="J72" s="82"/>
      <c r="K72" s="82"/>
      <c r="L72" s="82"/>
      <c r="M72" s="82"/>
      <c r="N72" s="82"/>
      <c r="O72" s="82"/>
      <c r="P72" s="82"/>
      <c r="Q72" s="79"/>
      <c r="R72" s="79"/>
      <c r="S72" s="82"/>
      <c r="T72" s="82"/>
      <c r="U72" s="79"/>
      <c r="V72" s="82"/>
      <c r="W72" s="82"/>
      <c r="X72" s="82"/>
      <c r="Y72" s="79"/>
      <c r="Z72" s="82"/>
    </row>
    <row r="73" spans="1:26">
      <c r="A73" s="82"/>
      <c r="B73" s="82"/>
      <c r="C73" s="82"/>
      <c r="D73" s="82"/>
      <c r="E73" s="82"/>
      <c r="F73" s="82"/>
      <c r="G73" s="82"/>
      <c r="H73" s="82"/>
      <c r="I73" s="82"/>
      <c r="J73" s="82"/>
      <c r="K73" s="82"/>
      <c r="L73" s="82"/>
      <c r="M73" s="82"/>
      <c r="N73" s="82"/>
      <c r="O73" s="82"/>
      <c r="P73" s="82"/>
      <c r="Q73" s="79"/>
      <c r="R73" s="79"/>
      <c r="S73" s="82"/>
      <c r="T73" s="82"/>
      <c r="U73" s="79"/>
      <c r="V73" s="82"/>
      <c r="W73" s="82"/>
      <c r="X73" s="82"/>
      <c r="Y73" s="79"/>
      <c r="Z73" s="82"/>
    </row>
    <row r="74" spans="1:26">
      <c r="A74" s="82"/>
      <c r="B74" s="82"/>
      <c r="C74" s="82"/>
      <c r="D74" s="82"/>
      <c r="E74" s="82"/>
      <c r="F74" s="82"/>
      <c r="G74" s="82"/>
      <c r="H74" s="82"/>
      <c r="I74" s="82"/>
      <c r="J74" s="82"/>
      <c r="K74" s="82"/>
      <c r="L74" s="82"/>
      <c r="M74" s="82"/>
      <c r="N74" s="82"/>
      <c r="O74" s="82"/>
      <c r="P74" s="82"/>
      <c r="Q74" s="79"/>
      <c r="R74" s="79"/>
      <c r="S74" s="82"/>
      <c r="T74" s="82"/>
      <c r="U74" s="79"/>
      <c r="V74" s="82"/>
      <c r="W74" s="82"/>
      <c r="X74" s="82"/>
      <c r="Y74" s="79"/>
      <c r="Z74" s="82"/>
    </row>
    <row r="75" spans="1:26">
      <c r="A75" s="90"/>
      <c r="B75" s="90"/>
      <c r="C75" s="90"/>
      <c r="D75" s="90"/>
      <c r="E75" s="90"/>
      <c r="F75" s="90"/>
      <c r="G75" s="90"/>
      <c r="H75" s="90"/>
      <c r="I75" s="90"/>
      <c r="J75" s="90"/>
      <c r="K75" s="90"/>
      <c r="L75" s="90"/>
      <c r="M75" s="90"/>
      <c r="N75" s="90"/>
      <c r="O75" s="90"/>
      <c r="P75" s="90"/>
      <c r="R75" s="79"/>
      <c r="S75" s="82"/>
      <c r="T75" s="82"/>
      <c r="U75" s="79"/>
      <c r="V75" s="82"/>
      <c r="W75" s="82"/>
      <c r="X75" s="82"/>
      <c r="Y75" s="79"/>
      <c r="Z75" s="82"/>
    </row>
    <row r="76" spans="1:26">
      <c r="A76" s="82"/>
      <c r="B76" s="82"/>
      <c r="C76" s="82"/>
      <c r="D76" s="82"/>
      <c r="E76" s="82"/>
      <c r="F76" s="82"/>
      <c r="G76" s="82"/>
      <c r="H76" s="82"/>
      <c r="I76" s="82"/>
      <c r="J76" s="82"/>
      <c r="K76" s="82"/>
      <c r="L76" s="82"/>
      <c r="M76" s="82"/>
      <c r="N76" s="82"/>
      <c r="O76" s="82"/>
      <c r="P76" s="82"/>
      <c r="Q76" s="79"/>
      <c r="R76" s="79"/>
      <c r="S76" s="82"/>
      <c r="T76" s="82"/>
      <c r="U76" s="79"/>
      <c r="V76" s="82"/>
      <c r="W76" s="82"/>
      <c r="X76" s="82"/>
      <c r="Y76" s="79"/>
      <c r="Z76" s="82"/>
    </row>
    <row r="77" spans="1:26">
      <c r="A77" s="82"/>
      <c r="B77" s="82"/>
      <c r="C77" s="82"/>
      <c r="D77" s="82"/>
      <c r="E77" s="82"/>
      <c r="F77" s="82"/>
      <c r="G77" s="82"/>
      <c r="H77" s="82"/>
      <c r="I77" s="82"/>
      <c r="J77" s="82"/>
      <c r="K77" s="82"/>
      <c r="L77" s="82"/>
      <c r="M77" s="82"/>
      <c r="N77" s="82"/>
      <c r="O77" s="82"/>
      <c r="P77" s="82"/>
      <c r="Q77" s="79"/>
      <c r="R77" s="79"/>
      <c r="S77" s="82"/>
      <c r="T77" s="82"/>
      <c r="U77" s="79"/>
      <c r="V77" s="82"/>
      <c r="W77" s="82"/>
      <c r="X77" s="82"/>
      <c r="Y77" s="79"/>
      <c r="Z77" s="82"/>
    </row>
    <row r="78" spans="1:26">
      <c r="A78" s="82"/>
      <c r="B78" s="82"/>
      <c r="C78" s="82"/>
      <c r="D78" s="82"/>
      <c r="E78" s="82"/>
      <c r="F78" s="82"/>
      <c r="G78" s="82"/>
      <c r="H78" s="82"/>
      <c r="I78" s="82"/>
      <c r="J78" s="82"/>
      <c r="K78" s="82"/>
      <c r="L78" s="82"/>
      <c r="M78" s="82"/>
      <c r="N78" s="82"/>
      <c r="O78" s="82"/>
      <c r="P78" s="82"/>
      <c r="Q78" s="79"/>
      <c r="R78" s="79"/>
      <c r="S78" s="82"/>
      <c r="T78" s="82"/>
      <c r="U78" s="79"/>
      <c r="V78" s="82"/>
      <c r="W78" s="82"/>
      <c r="X78" s="82"/>
      <c r="Y78" s="79"/>
      <c r="Z78" s="82"/>
    </row>
    <row r="79" spans="1:26">
      <c r="R79" s="79"/>
      <c r="S79" s="82"/>
      <c r="T79" s="82"/>
      <c r="U79" s="79"/>
      <c r="V79" s="82"/>
      <c r="W79" s="82"/>
      <c r="X79" s="82"/>
      <c r="Y79" s="79"/>
      <c r="Z79" s="82"/>
    </row>
    <row r="80" spans="1:26">
      <c r="V80" s="82"/>
      <c r="W80" s="82"/>
      <c r="X80" s="82"/>
      <c r="Y80" s="79"/>
      <c r="Z80" s="82"/>
    </row>
  </sheetData>
  <mergeCells count="196">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 ref="G22:H22"/>
    <mergeCell ref="G15:H15"/>
    <mergeCell ref="G16:H16"/>
    <mergeCell ref="G17:H17"/>
    <mergeCell ref="G18:H18"/>
    <mergeCell ref="G19:H19"/>
    <mergeCell ref="G20:H20"/>
    <mergeCell ref="I21:K21"/>
    <mergeCell ref="I22:K22"/>
    <mergeCell ref="G21:H21"/>
    <mergeCell ref="I18:K18"/>
    <mergeCell ref="I19:K19"/>
    <mergeCell ref="I20:K20"/>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R21:S21"/>
    <mergeCell ref="R22:S22"/>
    <mergeCell ref="T14:U14"/>
    <mergeCell ref="V27:V28"/>
    <mergeCell ref="T22:U22"/>
    <mergeCell ref="T18:U18"/>
    <mergeCell ref="T19:U19"/>
    <mergeCell ref="T20:U20"/>
    <mergeCell ref="T21:U21"/>
    <mergeCell ref="R17:S17"/>
    <mergeCell ref="T17:U17"/>
    <mergeCell ref="V14:W14"/>
    <mergeCell ref="X14:Y14"/>
    <mergeCell ref="V15:W15"/>
    <mergeCell ref="V16:W16"/>
    <mergeCell ref="V17:W17"/>
    <mergeCell ref="V18:W18"/>
    <mergeCell ref="V19:W19"/>
    <mergeCell ref="V20:W20"/>
    <mergeCell ref="V21:W21"/>
    <mergeCell ref="Y27:Y28"/>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s>
  <conditionalFormatting sqref="E8:E15">
    <cfRule type="expression" dxfId="33" priority="10">
      <formula>SEARCH("No actualizado",$C8)&gt;0</formula>
    </cfRule>
    <cfRule type="expression" dxfId="32" priority="11">
      <formula>SEARCH("Actualizado",$C8)&gt;0</formula>
    </cfRule>
    <cfRule type="expression" dxfId="31" priority="12">
      <formula>SEARCH("Pendiente Actualizar",$C8)&gt;0</formula>
    </cfRule>
  </conditionalFormatting>
  <conditionalFormatting sqref="E19:E23">
    <cfRule type="expression" dxfId="30" priority="1">
      <formula>SEARCH("No monitoreado",$D19)&gt;0</formula>
    </cfRule>
    <cfRule type="expression" dxfId="29" priority="2">
      <formula>SEARCH("Monitoreo pendiente",$D19)&gt;0</formula>
    </cfRule>
    <cfRule type="expression" dxfId="28" priority="3">
      <formula>SEARCH("Monitoreado",$D19)&gt;0</formula>
    </cfRule>
  </conditionalFormatting>
  <pageMargins left="1.1811023622047245" right="0" top="0" bottom="0" header="0" footer="0"/>
  <pageSetup paperSize="5" scale="55"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794" t="s">
        <v>105</v>
      </c>
      <c r="C2" s="794"/>
      <c r="D2" s="794"/>
      <c r="E2" s="794"/>
      <c r="F2" s="794"/>
    </row>
    <row r="3" spans="1:6">
      <c r="B3" s="795" t="s">
        <v>106</v>
      </c>
      <c r="C3" s="795"/>
      <c r="D3" s="795"/>
      <c r="E3" s="795"/>
      <c r="F3" s="795"/>
    </row>
    <row r="4" spans="1:6">
      <c r="B4" s="73" t="s">
        <v>107</v>
      </c>
      <c r="C4" s="73" t="s">
        <v>108</v>
      </c>
      <c r="D4" s="73" t="s">
        <v>109</v>
      </c>
      <c r="E4" s="73" t="s">
        <v>110</v>
      </c>
      <c r="F4" s="73" t="s">
        <v>111</v>
      </c>
    </row>
    <row r="5" spans="1:6">
      <c r="A5" s="161"/>
      <c r="B5" s="73">
        <v>1</v>
      </c>
      <c r="C5" s="73">
        <v>2</v>
      </c>
      <c r="D5" s="73">
        <v>3</v>
      </c>
      <c r="E5" s="73">
        <v>4</v>
      </c>
      <c r="F5" s="73">
        <v>5</v>
      </c>
    </row>
    <row r="6" spans="1:6">
      <c r="A6" s="73">
        <v>5</v>
      </c>
      <c r="B6" s="168">
        <v>0</v>
      </c>
      <c r="C6" s="168">
        <v>0</v>
      </c>
      <c r="D6" s="169">
        <v>2</v>
      </c>
      <c r="E6" s="169">
        <v>0</v>
      </c>
      <c r="F6" s="169">
        <v>0</v>
      </c>
    </row>
    <row r="7" spans="1:6">
      <c r="A7" s="73">
        <v>4</v>
      </c>
      <c r="B7" s="170">
        <v>2</v>
      </c>
      <c r="C7" s="168">
        <v>12</v>
      </c>
      <c r="D7" s="168">
        <v>22</v>
      </c>
      <c r="E7" s="169">
        <v>19</v>
      </c>
      <c r="F7" s="169">
        <v>0</v>
      </c>
    </row>
    <row r="8" spans="1:6">
      <c r="A8" s="73">
        <v>3</v>
      </c>
      <c r="B8" s="171">
        <v>3</v>
      </c>
      <c r="C8" s="170">
        <v>32</v>
      </c>
      <c r="D8" s="168">
        <v>86</v>
      </c>
      <c r="E8" s="169">
        <v>48</v>
      </c>
      <c r="F8" s="169">
        <v>2</v>
      </c>
    </row>
    <row r="9" spans="1:6">
      <c r="A9" s="73">
        <v>2</v>
      </c>
      <c r="B9" s="171">
        <v>12</v>
      </c>
      <c r="C9" s="171">
        <v>58</v>
      </c>
      <c r="D9" s="170">
        <v>70</v>
      </c>
      <c r="E9" s="168">
        <v>31</v>
      </c>
      <c r="F9" s="169">
        <v>11</v>
      </c>
    </row>
    <row r="10" spans="1:6">
      <c r="A10" s="73">
        <v>1</v>
      </c>
      <c r="B10" s="171">
        <v>35</v>
      </c>
      <c r="C10" s="171">
        <v>19</v>
      </c>
      <c r="D10" s="170">
        <v>25</v>
      </c>
      <c r="E10" s="168">
        <v>21</v>
      </c>
      <c r="F10" s="168">
        <v>16</v>
      </c>
    </row>
    <row r="14" spans="1:6" ht="15.75">
      <c r="C14" s="213" t="s">
        <v>112</v>
      </c>
      <c r="D14" s="213" t="s">
        <v>106</v>
      </c>
      <c r="E14" s="214" t="s">
        <v>88</v>
      </c>
    </row>
    <row r="15" spans="1:6">
      <c r="C15" s="73">
        <v>1</v>
      </c>
      <c r="D15" s="73">
        <v>1</v>
      </c>
      <c r="E15" s="2">
        <v>29</v>
      </c>
    </row>
    <row r="16" spans="1:6">
      <c r="C16" s="73">
        <v>2</v>
      </c>
      <c r="D16" s="73">
        <v>1</v>
      </c>
      <c r="E16" s="2">
        <v>11</v>
      </c>
    </row>
    <row r="17" spans="3:8">
      <c r="C17" s="73">
        <v>3</v>
      </c>
      <c r="D17" s="73">
        <v>1</v>
      </c>
      <c r="E17" s="2">
        <v>3</v>
      </c>
    </row>
    <row r="18" spans="3:8">
      <c r="C18" s="73">
        <v>4</v>
      </c>
      <c r="D18" s="73">
        <v>1</v>
      </c>
      <c r="E18" s="2">
        <v>1</v>
      </c>
    </row>
    <row r="19" spans="3:8">
      <c r="C19" s="73">
        <v>5</v>
      </c>
      <c r="D19" s="73">
        <v>1</v>
      </c>
      <c r="E19" s="2">
        <v>0</v>
      </c>
    </row>
    <row r="20" spans="3:8">
      <c r="C20" s="73">
        <v>1</v>
      </c>
      <c r="D20" s="73">
        <v>2</v>
      </c>
      <c r="E20" s="2">
        <v>22</v>
      </c>
    </row>
    <row r="21" spans="3:8">
      <c r="C21" s="73">
        <v>2</v>
      </c>
      <c r="D21" s="73">
        <v>2</v>
      </c>
      <c r="E21" s="2">
        <v>55</v>
      </c>
    </row>
    <row r="22" spans="3:8">
      <c r="C22" s="73">
        <v>3</v>
      </c>
      <c r="D22" s="73">
        <v>2</v>
      </c>
      <c r="E22" s="2">
        <v>33</v>
      </c>
    </row>
    <row r="23" spans="3:8">
      <c r="C23" s="73">
        <v>4</v>
      </c>
      <c r="D23" s="73">
        <v>2</v>
      </c>
      <c r="E23" s="2">
        <v>14</v>
      </c>
    </row>
    <row r="24" spans="3:8">
      <c r="C24" s="73">
        <v>5</v>
      </c>
      <c r="D24" s="73">
        <v>2</v>
      </c>
      <c r="E24" s="2">
        <v>0</v>
      </c>
    </row>
    <row r="25" spans="3:8">
      <c r="C25" s="73">
        <v>1</v>
      </c>
      <c r="D25" s="73">
        <v>3</v>
      </c>
      <c r="E25" s="2">
        <v>25</v>
      </c>
    </row>
    <row r="26" spans="3:8">
      <c r="C26" s="73">
        <v>2</v>
      </c>
      <c r="D26" s="73">
        <v>3</v>
      </c>
      <c r="E26" s="2">
        <v>72</v>
      </c>
      <c r="G26" s="792" t="s">
        <v>112</v>
      </c>
      <c r="H26" s="793">
        <v>5</v>
      </c>
    </row>
    <row r="27" spans="3:8">
      <c r="C27" s="73">
        <v>3</v>
      </c>
      <c r="D27" s="73">
        <v>3</v>
      </c>
      <c r="E27" s="2">
        <v>96</v>
      </c>
      <c r="G27" s="792"/>
      <c r="H27" s="793"/>
    </row>
    <row r="28" spans="3:8">
      <c r="C28" s="73">
        <v>4</v>
      </c>
      <c r="D28" s="73">
        <v>3</v>
      </c>
      <c r="E28" s="2">
        <v>21</v>
      </c>
      <c r="G28" s="792"/>
      <c r="H28" s="793"/>
    </row>
    <row r="29" spans="3:8">
      <c r="C29" s="73">
        <v>5</v>
      </c>
      <c r="D29" s="73">
        <v>3</v>
      </c>
      <c r="E29" s="2">
        <v>2</v>
      </c>
      <c r="G29" s="792"/>
      <c r="H29" s="793"/>
    </row>
    <row r="30" spans="3:8">
      <c r="C30" s="73">
        <v>1</v>
      </c>
      <c r="D30" s="73">
        <v>4</v>
      </c>
      <c r="E30" s="2">
        <v>22</v>
      </c>
      <c r="G30" s="792"/>
      <c r="H30" s="793"/>
    </row>
    <row r="31" spans="3:8">
      <c r="C31" s="73">
        <v>2</v>
      </c>
      <c r="D31" s="73">
        <v>4</v>
      </c>
      <c r="E31" s="2">
        <v>31</v>
      </c>
      <c r="G31" s="792"/>
      <c r="H31" s="793">
        <v>4</v>
      </c>
    </row>
    <row r="32" spans="3:8">
      <c r="C32" s="73">
        <v>3</v>
      </c>
      <c r="D32" s="73">
        <v>4</v>
      </c>
      <c r="E32" s="2">
        <v>45</v>
      </c>
      <c r="G32" s="792"/>
      <c r="H32" s="793"/>
    </row>
    <row r="33" spans="3:8">
      <c r="C33" s="73">
        <v>4</v>
      </c>
      <c r="D33" s="73">
        <v>4</v>
      </c>
      <c r="E33" s="2">
        <v>18</v>
      </c>
      <c r="G33" s="792"/>
      <c r="H33" s="793"/>
    </row>
    <row r="34" spans="3:8">
      <c r="C34" s="73">
        <v>5</v>
      </c>
      <c r="D34" s="73">
        <v>4</v>
      </c>
      <c r="E34" s="2">
        <v>0</v>
      </c>
      <c r="G34" s="792"/>
      <c r="H34" s="793"/>
    </row>
    <row r="35" spans="3:8">
      <c r="C35" s="73">
        <v>1</v>
      </c>
      <c r="D35" s="73">
        <v>5</v>
      </c>
      <c r="E35" s="2">
        <v>14</v>
      </c>
      <c r="G35" s="792"/>
      <c r="H35" s="793"/>
    </row>
    <row r="36" spans="3:8">
      <c r="C36" s="73">
        <v>2</v>
      </c>
      <c r="D36" s="73">
        <v>5</v>
      </c>
      <c r="E36" s="2">
        <v>10</v>
      </c>
      <c r="G36" s="792"/>
      <c r="H36" s="793">
        <v>3</v>
      </c>
    </row>
    <row r="37" spans="3:8">
      <c r="C37" s="73">
        <v>3</v>
      </c>
      <c r="D37" s="73">
        <v>5</v>
      </c>
      <c r="E37" s="2">
        <v>2</v>
      </c>
      <c r="G37" s="792"/>
      <c r="H37" s="793"/>
    </row>
    <row r="38" spans="3:8">
      <c r="C38" s="73">
        <v>4</v>
      </c>
      <c r="D38" s="73">
        <v>5</v>
      </c>
      <c r="E38" s="2">
        <v>0</v>
      </c>
      <c r="G38" s="792"/>
      <c r="H38" s="793"/>
    </row>
    <row r="39" spans="3:8">
      <c r="C39" s="73">
        <v>5</v>
      </c>
      <c r="D39" s="73">
        <v>5</v>
      </c>
      <c r="E39" s="2">
        <v>0</v>
      </c>
      <c r="G39" s="792"/>
      <c r="H39" s="793"/>
    </row>
    <row r="40" spans="3:8">
      <c r="G40" s="792"/>
      <c r="H40" s="793"/>
    </row>
    <row r="41" spans="3:8">
      <c r="G41" s="792"/>
      <c r="H41" s="793">
        <v>2</v>
      </c>
    </row>
    <row r="42" spans="3:8">
      <c r="G42" s="792"/>
      <c r="H42" s="793"/>
    </row>
    <row r="43" spans="3:8">
      <c r="G43" s="792"/>
      <c r="H43" s="793"/>
    </row>
    <row r="44" spans="3:8">
      <c r="G44" s="792"/>
      <c r="H44" s="793"/>
    </row>
    <row r="45" spans="3:8">
      <c r="G45" s="792"/>
      <c r="H45" s="793"/>
    </row>
    <row r="46" spans="3:8">
      <c r="G46" s="792"/>
      <c r="H46" s="793">
        <v>1</v>
      </c>
    </row>
    <row r="47" spans="3:8">
      <c r="G47" s="792"/>
      <c r="H47" s="793"/>
    </row>
    <row r="48" spans="3:8">
      <c r="G48" s="792"/>
      <c r="H48" s="793"/>
    </row>
    <row r="49" spans="7:10">
      <c r="G49" s="792"/>
      <c r="H49" s="793"/>
    </row>
    <row r="50" spans="7:10">
      <c r="G50" s="792"/>
      <c r="H50" s="793"/>
    </row>
    <row r="55" spans="7:10">
      <c r="H55" s="172"/>
      <c r="I55" s="793"/>
      <c r="J55" s="792"/>
    </row>
    <row r="56" spans="7:10">
      <c r="H56" s="172"/>
      <c r="I56" s="793"/>
      <c r="J56" s="792"/>
    </row>
    <row r="57" spans="7:10">
      <c r="H57" s="172"/>
      <c r="I57" s="793"/>
      <c r="J57" s="792"/>
    </row>
    <row r="58" spans="7:10">
      <c r="H58" s="172"/>
      <c r="I58" s="793"/>
      <c r="J58" s="792"/>
    </row>
    <row r="59" spans="7:10">
      <c r="H59" s="172"/>
      <c r="I59" s="793"/>
      <c r="J59" s="792"/>
    </row>
    <row r="60" spans="7:10">
      <c r="H60" s="172"/>
      <c r="I60" s="793"/>
      <c r="J60" s="792"/>
    </row>
    <row r="61" spans="7:10">
      <c r="H61" s="172"/>
      <c r="I61" s="793"/>
      <c r="J61" s="792"/>
    </row>
    <row r="62" spans="7:10">
      <c r="H62" s="172"/>
      <c r="I62" s="793"/>
      <c r="J62" s="792"/>
    </row>
    <row r="63" spans="7:10">
      <c r="H63" s="172"/>
      <c r="I63" s="793"/>
      <c r="J63" s="792"/>
    </row>
    <row r="64" spans="7:10">
      <c r="H64" s="172"/>
      <c r="I64" s="793"/>
      <c r="J64" s="792"/>
    </row>
    <row r="65" spans="8:11">
      <c r="H65" s="172"/>
      <c r="I65" s="793"/>
      <c r="J65" s="792"/>
    </row>
    <row r="66" spans="8:11">
      <c r="H66" s="172"/>
      <c r="I66" s="793"/>
      <c r="J66" s="792"/>
    </row>
    <row r="67" spans="8:11">
      <c r="H67" s="172"/>
      <c r="I67" s="793"/>
      <c r="J67" s="792"/>
    </row>
    <row r="68" spans="8:11">
      <c r="H68" s="172"/>
      <c r="I68" s="793"/>
      <c r="J68" s="792"/>
    </row>
    <row r="69" spans="8:11">
      <c r="H69" s="172"/>
      <c r="I69" s="793"/>
      <c r="J69" s="792"/>
    </row>
    <row r="70" spans="8:11">
      <c r="H70" s="172"/>
      <c r="I70" s="793"/>
      <c r="J70" s="792"/>
      <c r="K70" s="792" t="s">
        <v>113</v>
      </c>
    </row>
    <row r="71" spans="8:11">
      <c r="H71" s="172"/>
      <c r="I71" s="793"/>
      <c r="J71" s="792"/>
      <c r="K71" s="792"/>
    </row>
    <row r="72" spans="8:11">
      <c r="H72" s="172"/>
      <c r="I72" s="793"/>
      <c r="J72" s="792"/>
      <c r="K72" s="792"/>
    </row>
    <row r="73" spans="8:11">
      <c r="H73" s="172"/>
      <c r="I73" s="793"/>
      <c r="J73" s="792"/>
      <c r="K73" s="792"/>
    </row>
    <row r="74" spans="8:11">
      <c r="H74" s="172"/>
      <c r="I74" s="793"/>
      <c r="J74" s="792"/>
      <c r="K74" s="792"/>
    </row>
    <row r="75" spans="8:11">
      <c r="H75" s="172"/>
      <c r="I75" s="793"/>
      <c r="J75" s="792"/>
      <c r="K75" s="792"/>
    </row>
    <row r="76" spans="8:11">
      <c r="H76" s="172"/>
      <c r="I76" s="793"/>
      <c r="J76" s="792"/>
      <c r="K76" s="792"/>
    </row>
    <row r="77" spans="8:11">
      <c r="H77" s="172"/>
      <c r="I77" s="793"/>
      <c r="J77" s="792"/>
      <c r="K77" s="792"/>
    </row>
    <row r="78" spans="8:11">
      <c r="H78" s="172"/>
      <c r="I78" s="793"/>
      <c r="J78" s="792"/>
      <c r="K78" s="792"/>
    </row>
    <row r="79" spans="8:11">
      <c r="H79" s="172"/>
      <c r="I79" s="793"/>
      <c r="J79" s="792"/>
      <c r="K79" s="792"/>
    </row>
    <row r="80" spans="8:11">
      <c r="K80" s="792"/>
    </row>
    <row r="81" spans="11:11">
      <c r="K81" s="792"/>
    </row>
    <row r="82" spans="11:11">
      <c r="K82" s="792"/>
    </row>
    <row r="83" spans="11:11">
      <c r="K83" s="792"/>
    </row>
    <row r="84" spans="11:11">
      <c r="K84" s="792"/>
    </row>
    <row r="85" spans="11:11">
      <c r="K85" s="792"/>
    </row>
    <row r="86" spans="11:11">
      <c r="K86" s="792"/>
    </row>
    <row r="87" spans="11:11">
      <c r="K87" s="792"/>
    </row>
    <row r="88" spans="11:11">
      <c r="K88" s="792"/>
    </row>
    <row r="89" spans="11:11">
      <c r="K89" s="792"/>
    </row>
    <row r="90" spans="11:11">
      <c r="K90" s="792"/>
    </row>
    <row r="91" spans="11:11">
      <c r="K91" s="792"/>
    </row>
    <row r="92" spans="11:11">
      <c r="K92" s="792"/>
    </row>
    <row r="93" spans="11:11">
      <c r="K93" s="792"/>
    </row>
    <row r="94" spans="11:11">
      <c r="K94" s="792"/>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B1684-23BC-4927-A94A-5227BE02D45C}">
  <dimension ref="A1:O37"/>
  <sheetViews>
    <sheetView tabSelected="1" topLeftCell="A3" zoomScale="55" zoomScaleNormal="55" workbookViewId="0">
      <selection activeCell="O21" sqref="O21"/>
    </sheetView>
  </sheetViews>
  <sheetFormatPr baseColWidth="10" defaultRowHeight="15"/>
  <cols>
    <col min="1" max="1" width="23.5703125" customWidth="1"/>
    <col min="2" max="2" width="21" customWidth="1"/>
    <col min="3" max="3" width="14.85546875" customWidth="1"/>
    <col min="4" max="4" width="25.42578125" customWidth="1"/>
    <col min="5" max="5" width="23.28515625" customWidth="1"/>
    <col min="6" max="6" width="11.42578125" customWidth="1"/>
    <col min="7" max="7" width="12.42578125" customWidth="1"/>
    <col min="8" max="8" width="37.140625" customWidth="1"/>
    <col min="9" max="9" width="17.28515625" customWidth="1"/>
    <col min="10" max="10" width="22.85546875" customWidth="1"/>
    <col min="11" max="11" width="28" customWidth="1"/>
    <col min="12" max="12" width="4.42578125" customWidth="1"/>
    <col min="13" max="13" width="18.28515625" customWidth="1"/>
    <col min="14" max="14" width="20" customWidth="1"/>
    <col min="15" max="15" width="14" customWidth="1"/>
  </cols>
  <sheetData>
    <row r="1" spans="1:15" ht="38.25" customHeight="1" thickBot="1">
      <c r="A1" s="802" t="s">
        <v>0</v>
      </c>
      <c r="B1" s="802"/>
      <c r="C1" s="802"/>
      <c r="D1" s="802"/>
      <c r="E1" s="802"/>
      <c r="F1" s="802"/>
      <c r="G1" s="802"/>
      <c r="H1" s="802"/>
      <c r="I1" s="802"/>
      <c r="J1" s="802"/>
      <c r="K1" s="802"/>
      <c r="L1" s="802"/>
      <c r="M1" s="802"/>
      <c r="N1" s="802"/>
      <c r="O1" s="803"/>
    </row>
    <row r="2" spans="1:15" ht="6.75" customHeight="1" thickBot="1">
      <c r="A2" s="804"/>
      <c r="B2" s="804"/>
      <c r="C2" s="804"/>
      <c r="D2" s="804"/>
      <c r="E2" s="804"/>
      <c r="F2" s="804"/>
      <c r="G2" s="804"/>
      <c r="H2" s="804"/>
      <c r="I2" s="804"/>
      <c r="J2" s="804"/>
      <c r="K2" s="804"/>
      <c r="L2" s="804"/>
      <c r="M2" s="804"/>
      <c r="N2" s="804"/>
      <c r="O2" s="805"/>
    </row>
    <row r="3" spans="1:15" ht="21" customHeight="1">
      <c r="A3" s="806" t="s">
        <v>148</v>
      </c>
      <c r="B3" s="806"/>
      <c r="C3" s="806"/>
      <c r="D3" s="806"/>
      <c r="E3" s="806"/>
      <c r="F3" s="806"/>
      <c r="G3" s="806"/>
      <c r="H3" s="806"/>
      <c r="I3" s="806"/>
      <c r="J3" s="806"/>
      <c r="K3" s="806"/>
      <c r="L3" s="806"/>
      <c r="M3" s="806"/>
      <c r="N3" s="806"/>
      <c r="O3" s="807"/>
    </row>
    <row r="4" spans="1:15" ht="24" customHeight="1" thickBot="1">
      <c r="A4" s="808" t="s">
        <v>414</v>
      </c>
      <c r="B4" s="808"/>
      <c r="C4" s="808"/>
      <c r="D4" s="808"/>
      <c r="E4" s="808"/>
      <c r="F4" s="808"/>
      <c r="G4" s="808"/>
      <c r="H4" s="808"/>
      <c r="I4" s="808"/>
      <c r="J4" s="808"/>
      <c r="K4" s="808"/>
      <c r="L4" s="808"/>
      <c r="M4" s="808"/>
      <c r="N4" s="808"/>
      <c r="O4" s="809"/>
    </row>
    <row r="5" spans="1:15" ht="14.25" customHeight="1" thickBot="1">
      <c r="A5" s="90"/>
      <c r="B5" s="509"/>
      <c r="C5" s="82"/>
      <c r="D5" s="510"/>
      <c r="E5" s="511"/>
      <c r="F5" s="80"/>
      <c r="G5" s="512"/>
      <c r="H5" s="510"/>
      <c r="I5" s="82"/>
      <c r="J5" s="810"/>
      <c r="K5" s="810"/>
      <c r="L5" s="515"/>
      <c r="M5" s="512"/>
      <c r="N5" s="516"/>
      <c r="O5" s="404"/>
    </row>
    <row r="6" spans="1:15" ht="51.75" customHeight="1">
      <c r="A6" s="135"/>
      <c r="B6" s="518" t="s">
        <v>155</v>
      </c>
      <c r="C6" s="89"/>
      <c r="D6" s="135"/>
      <c r="E6" s="546" t="s">
        <v>92</v>
      </c>
      <c r="F6" s="89"/>
      <c r="G6" s="135"/>
      <c r="H6" s="522" t="s">
        <v>93</v>
      </c>
      <c r="I6" s="89"/>
      <c r="J6" s="520"/>
      <c r="K6" s="546" t="s">
        <v>104</v>
      </c>
      <c r="L6" s="513"/>
      <c r="M6" s="135"/>
      <c r="N6" s="518" t="s">
        <v>177</v>
      </c>
      <c r="O6" s="232"/>
    </row>
    <row r="7" spans="1:15" ht="40.5" customHeight="1" thickBot="1">
      <c r="A7" s="137"/>
      <c r="B7" s="519">
        <f>SUM(E13:E15)</f>
        <v>64</v>
      </c>
      <c r="C7" s="89"/>
      <c r="D7" s="137"/>
      <c r="E7" s="519">
        <f>E13</f>
        <v>16</v>
      </c>
      <c r="F7" s="89"/>
      <c r="G7" s="137"/>
      <c r="H7" s="519">
        <f>E14</f>
        <v>13</v>
      </c>
      <c r="I7" s="89"/>
      <c r="J7" s="521"/>
      <c r="K7" s="519">
        <f>E15</f>
        <v>35</v>
      </c>
      <c r="L7" s="514"/>
      <c r="M7" s="137"/>
      <c r="N7" s="519">
        <f>F25</f>
        <v>14</v>
      </c>
      <c r="O7" s="404"/>
    </row>
    <row r="8" spans="1:15" ht="19.5" customHeight="1" thickBot="1">
      <c r="A8" s="106"/>
      <c r="B8" s="106"/>
      <c r="C8" s="90"/>
      <c r="D8" s="106"/>
      <c r="E8" s="106"/>
      <c r="F8" s="90"/>
      <c r="G8" s="104"/>
      <c r="H8" s="800"/>
      <c r="I8" s="801"/>
      <c r="J8" s="800"/>
      <c r="K8" s="800"/>
      <c r="L8" s="800"/>
      <c r="M8" s="800"/>
      <c r="N8" s="517"/>
      <c r="O8" s="404"/>
    </row>
    <row r="9" spans="1:15" ht="15" customHeight="1">
      <c r="A9" s="828" t="s">
        <v>151</v>
      </c>
      <c r="B9" s="829"/>
      <c r="C9" s="829"/>
      <c r="D9" s="829"/>
      <c r="E9" s="829"/>
      <c r="F9" s="830"/>
      <c r="G9" s="83"/>
      <c r="H9" s="494"/>
      <c r="I9" s="499"/>
      <c r="J9" s="499"/>
      <c r="K9" s="499"/>
      <c r="L9" s="499"/>
      <c r="M9" s="499"/>
      <c r="N9" s="499"/>
      <c r="O9" s="232"/>
    </row>
    <row r="10" spans="1:15" ht="16.5" customHeight="1" thickBot="1">
      <c r="A10" s="831"/>
      <c r="B10" s="832"/>
      <c r="C10" s="832"/>
      <c r="D10" s="832"/>
      <c r="E10" s="832"/>
      <c r="F10" s="833"/>
      <c r="G10" s="80"/>
      <c r="H10" s="82"/>
      <c r="I10" s="497"/>
      <c r="J10" s="497"/>
      <c r="K10" s="497"/>
      <c r="L10" s="497"/>
      <c r="M10" s="497"/>
      <c r="N10" s="497"/>
      <c r="O10" s="404"/>
    </row>
    <row r="11" spans="1:15" ht="15.75" customHeight="1">
      <c r="A11" s="844" t="s">
        <v>150</v>
      </c>
      <c r="B11" s="839" t="s">
        <v>152</v>
      </c>
      <c r="C11" s="841" t="s">
        <v>176</v>
      </c>
      <c r="D11" s="843" t="s">
        <v>154</v>
      </c>
      <c r="E11" s="824" t="s">
        <v>88</v>
      </c>
      <c r="F11" s="825"/>
      <c r="G11" s="80"/>
      <c r="H11" s="82"/>
      <c r="I11" s="497"/>
      <c r="J11" s="497"/>
      <c r="K11" s="497"/>
      <c r="L11" s="497"/>
      <c r="M11" s="497"/>
      <c r="N11" s="497"/>
      <c r="O11" s="404"/>
    </row>
    <row r="12" spans="1:15" ht="38.25" customHeight="1" thickBot="1">
      <c r="A12" s="845"/>
      <c r="B12" s="840"/>
      <c r="C12" s="842"/>
      <c r="D12" s="831"/>
      <c r="E12" s="826"/>
      <c r="F12" s="827"/>
      <c r="G12" s="80"/>
      <c r="H12" s="82"/>
      <c r="I12" s="497"/>
      <c r="J12" s="497"/>
      <c r="K12" s="497"/>
      <c r="L12" s="497"/>
      <c r="M12" s="497"/>
      <c r="N12" s="497"/>
      <c r="O12" s="232"/>
    </row>
    <row r="13" spans="1:15" ht="21">
      <c r="A13" s="551" t="s">
        <v>92</v>
      </c>
      <c r="B13" s="552">
        <v>6</v>
      </c>
      <c r="C13" s="552">
        <v>10</v>
      </c>
      <c r="D13" s="553">
        <v>0</v>
      </c>
      <c r="E13" s="834">
        <f>SUM(B13:D13)</f>
        <v>16</v>
      </c>
      <c r="F13" s="835"/>
      <c r="G13" s="80"/>
      <c r="H13" s="82"/>
      <c r="I13" s="82"/>
      <c r="J13" s="500"/>
      <c r="K13" s="82"/>
      <c r="L13" s="82"/>
      <c r="M13" s="82"/>
      <c r="N13" s="82"/>
      <c r="O13" s="404"/>
    </row>
    <row r="14" spans="1:15" ht="21">
      <c r="A14" s="503" t="s">
        <v>93</v>
      </c>
      <c r="B14" s="502">
        <v>4</v>
      </c>
      <c r="C14" s="502">
        <v>9</v>
      </c>
      <c r="D14" s="554">
        <v>0</v>
      </c>
      <c r="E14" s="836">
        <f>SUM(B14:D14)</f>
        <v>13</v>
      </c>
      <c r="F14" s="837"/>
      <c r="G14" s="80"/>
      <c r="H14" s="82"/>
      <c r="I14" s="497"/>
      <c r="J14" s="497"/>
      <c r="K14" s="497"/>
      <c r="L14" s="497"/>
      <c r="M14" s="497"/>
      <c r="N14" s="497"/>
      <c r="O14" s="232"/>
    </row>
    <row r="15" spans="1:15" ht="21.75" thickBot="1">
      <c r="A15" s="504" t="s">
        <v>104</v>
      </c>
      <c r="B15" s="505">
        <v>9</v>
      </c>
      <c r="C15" s="505">
        <v>26</v>
      </c>
      <c r="D15" s="506">
        <v>0</v>
      </c>
      <c r="E15" s="846">
        <f>SUM(B15:D15)</f>
        <v>35</v>
      </c>
      <c r="F15" s="847"/>
      <c r="G15" s="80"/>
      <c r="H15" s="82"/>
      <c r="I15" s="497"/>
      <c r="J15" s="497"/>
      <c r="K15" s="497"/>
      <c r="L15" s="497"/>
      <c r="M15" s="497"/>
      <c r="N15" s="497"/>
      <c r="O15" s="232"/>
    </row>
    <row r="16" spans="1:15" ht="194.25" customHeight="1" thickBot="1">
      <c r="A16" s="496"/>
      <c r="B16" s="497"/>
      <c r="C16" s="82"/>
      <c r="D16" s="82"/>
      <c r="E16" s="98"/>
      <c r="F16" s="104"/>
      <c r="G16" s="105"/>
      <c r="H16" s="395"/>
      <c r="I16" s="395"/>
      <c r="J16" s="411"/>
      <c r="K16" s="81"/>
      <c r="L16" s="81"/>
      <c r="M16" s="81"/>
      <c r="N16" s="104"/>
      <c r="O16" s="165"/>
    </row>
    <row r="17" spans="1:15" ht="32.25" customHeight="1" thickBot="1">
      <c r="A17" s="496"/>
      <c r="B17" s="497"/>
      <c r="C17" s="82"/>
      <c r="D17" s="82"/>
      <c r="E17" s="89"/>
      <c r="F17" s="82"/>
      <c r="H17" s="812" t="s">
        <v>157</v>
      </c>
      <c r="I17" s="813"/>
      <c r="J17" s="814"/>
      <c r="K17" s="227"/>
      <c r="L17" s="227"/>
      <c r="M17" s="227"/>
      <c r="N17" s="82"/>
      <c r="O17" s="165"/>
    </row>
    <row r="18" spans="1:15" ht="12.75" customHeight="1" thickBot="1">
      <c r="A18" s="496"/>
      <c r="B18" s="497"/>
      <c r="C18" s="82"/>
      <c r="D18" s="82"/>
      <c r="E18" s="89"/>
      <c r="F18" s="82"/>
      <c r="G18" s="80"/>
      <c r="H18" s="392"/>
      <c r="I18" s="392"/>
      <c r="J18" s="392"/>
      <c r="K18" s="227"/>
      <c r="L18" s="227"/>
      <c r="M18" s="227"/>
      <c r="N18" s="82"/>
      <c r="O18" s="165"/>
    </row>
    <row r="19" spans="1:15" ht="24" customHeight="1" thickBot="1">
      <c r="A19" s="525"/>
      <c r="B19" s="526"/>
      <c r="C19" s="494"/>
      <c r="D19" s="82"/>
      <c r="E19" s="80"/>
      <c r="F19" s="105"/>
      <c r="H19" s="193"/>
      <c r="I19" s="584" t="s">
        <v>174</v>
      </c>
      <c r="J19" s="523"/>
      <c r="K19" s="524"/>
      <c r="L19" s="387"/>
      <c r="M19" s="387"/>
      <c r="N19" s="104"/>
      <c r="O19" s="165"/>
    </row>
    <row r="20" spans="1:15" ht="29.25" customHeight="1" thickBot="1">
      <c r="A20" s="527"/>
      <c r="B20" s="526"/>
      <c r="C20" s="499"/>
      <c r="D20" s="82"/>
      <c r="E20" s="83"/>
      <c r="F20" s="83"/>
      <c r="H20" s="539" t="s">
        <v>50</v>
      </c>
      <c r="I20" s="585" t="s">
        <v>175</v>
      </c>
      <c r="J20" s="537" t="s">
        <v>51</v>
      </c>
      <c r="K20" s="538" t="s">
        <v>52</v>
      </c>
      <c r="L20" s="820" t="s">
        <v>53</v>
      </c>
      <c r="M20" s="821"/>
      <c r="N20" s="400"/>
      <c r="O20" s="165"/>
    </row>
    <row r="21" spans="1:15" ht="22.5" customHeight="1">
      <c r="A21" s="499"/>
      <c r="B21" s="528"/>
      <c r="C21" s="499"/>
      <c r="D21" s="82"/>
      <c r="E21" s="82"/>
      <c r="F21" s="82"/>
      <c r="G21" s="78"/>
      <c r="H21" s="579" t="s">
        <v>18</v>
      </c>
      <c r="I21" s="541">
        <v>1</v>
      </c>
      <c r="J21" s="541">
        <v>1</v>
      </c>
      <c r="K21" s="541">
        <v>1</v>
      </c>
      <c r="L21" s="822">
        <v>1</v>
      </c>
      <c r="M21" s="823"/>
      <c r="N21" s="80"/>
      <c r="O21" s="165"/>
    </row>
    <row r="22" spans="1:15" ht="25.5" customHeight="1" thickBot="1">
      <c r="A22" s="106"/>
      <c r="B22" s="106"/>
      <c r="C22" s="106"/>
      <c r="D22" s="106"/>
      <c r="E22" s="106"/>
      <c r="F22" s="106"/>
      <c r="G22" s="78"/>
      <c r="H22" s="580" t="s">
        <v>16</v>
      </c>
      <c r="I22" s="540">
        <v>1</v>
      </c>
      <c r="J22" s="540">
        <v>1</v>
      </c>
      <c r="K22" s="540">
        <v>1</v>
      </c>
      <c r="L22" s="796">
        <v>1</v>
      </c>
      <c r="M22" s="797"/>
      <c r="N22" s="80"/>
      <c r="O22" s="165"/>
    </row>
    <row r="23" spans="1:15" ht="27.75" customHeight="1" thickBot="1">
      <c r="A23" s="817" t="s">
        <v>159</v>
      </c>
      <c r="B23" s="818"/>
      <c r="C23" s="818"/>
      <c r="D23" s="818"/>
      <c r="E23" s="818"/>
      <c r="F23" s="819"/>
      <c r="G23" s="78"/>
      <c r="H23" s="580" t="s">
        <v>19</v>
      </c>
      <c r="I23" s="540">
        <v>1</v>
      </c>
      <c r="J23" s="540">
        <v>1</v>
      </c>
      <c r="K23" s="540">
        <v>1</v>
      </c>
      <c r="L23" s="796">
        <v>1</v>
      </c>
      <c r="M23" s="797"/>
      <c r="N23" s="80"/>
      <c r="O23" s="165"/>
    </row>
    <row r="24" spans="1:15" ht="36" customHeight="1" thickBot="1">
      <c r="A24" s="547" t="s">
        <v>158</v>
      </c>
      <c r="B24" s="815" t="s">
        <v>179</v>
      </c>
      <c r="C24" s="816"/>
      <c r="D24" s="548" t="s">
        <v>161</v>
      </c>
      <c r="E24" s="549" t="s">
        <v>178</v>
      </c>
      <c r="F24" s="550" t="s">
        <v>88</v>
      </c>
      <c r="G24" s="78"/>
      <c r="H24" s="580" t="s">
        <v>17</v>
      </c>
      <c r="I24" s="540">
        <v>1</v>
      </c>
      <c r="J24" s="540">
        <v>1</v>
      </c>
      <c r="K24" s="540">
        <v>1</v>
      </c>
      <c r="L24" s="796">
        <v>1</v>
      </c>
      <c r="M24" s="797"/>
      <c r="N24" s="80"/>
      <c r="O24" s="165"/>
    </row>
    <row r="25" spans="1:15" ht="24.75" customHeight="1">
      <c r="A25" s="501" t="s">
        <v>94</v>
      </c>
      <c r="B25" s="838">
        <v>4</v>
      </c>
      <c r="C25" s="838"/>
      <c r="D25" s="508">
        <v>10</v>
      </c>
      <c r="E25" s="508">
        <v>0</v>
      </c>
      <c r="F25" s="507">
        <f>SUM(B25:D25)</f>
        <v>14</v>
      </c>
      <c r="G25" s="78"/>
      <c r="H25" s="581" t="s">
        <v>366</v>
      </c>
      <c r="I25" s="540">
        <v>1</v>
      </c>
      <c r="J25" s="540">
        <v>1</v>
      </c>
      <c r="K25" s="540">
        <v>1</v>
      </c>
      <c r="L25" s="796">
        <v>1</v>
      </c>
      <c r="M25" s="797"/>
      <c r="N25" s="80"/>
      <c r="O25" s="165"/>
    </row>
    <row r="26" spans="1:15" ht="31.5" customHeight="1">
      <c r="B26" s="492"/>
      <c r="C26" s="492"/>
      <c r="F26" s="493"/>
      <c r="G26" s="103"/>
      <c r="H26" s="581" t="s">
        <v>415</v>
      </c>
      <c r="I26" s="540">
        <v>1</v>
      </c>
      <c r="J26" s="540">
        <v>1</v>
      </c>
      <c r="K26" s="540">
        <v>1</v>
      </c>
      <c r="L26" s="796">
        <v>1</v>
      </c>
      <c r="M26" s="797"/>
      <c r="N26" s="80"/>
      <c r="O26" s="165"/>
    </row>
    <row r="27" spans="1:15" ht="27" customHeight="1">
      <c r="A27" s="811"/>
      <c r="B27" s="811"/>
      <c r="C27" s="811"/>
      <c r="D27" s="811"/>
      <c r="E27" s="495"/>
      <c r="F27" s="498"/>
      <c r="G27" s="89"/>
      <c r="H27" s="581" t="s">
        <v>416</v>
      </c>
      <c r="I27" s="540">
        <v>1</v>
      </c>
      <c r="J27" s="540">
        <v>1</v>
      </c>
      <c r="K27" s="540">
        <v>1</v>
      </c>
      <c r="L27" s="796">
        <v>1</v>
      </c>
      <c r="M27" s="797"/>
      <c r="N27" s="80"/>
      <c r="O27" s="165"/>
    </row>
    <row r="28" spans="1:15" ht="23.25" customHeight="1">
      <c r="A28" s="82"/>
      <c r="B28" s="82"/>
      <c r="C28" s="82"/>
      <c r="D28" s="82"/>
      <c r="E28" s="82"/>
      <c r="F28" s="82"/>
      <c r="G28" s="89"/>
      <c r="H28" s="581" t="s">
        <v>367</v>
      </c>
      <c r="I28" s="540">
        <v>1</v>
      </c>
      <c r="J28" s="540">
        <v>1</v>
      </c>
      <c r="K28" s="540">
        <v>1</v>
      </c>
      <c r="L28" s="796">
        <v>1</v>
      </c>
      <c r="M28" s="797"/>
      <c r="N28" s="105"/>
      <c r="O28" s="165"/>
    </row>
    <row r="29" spans="1:15" ht="29.25" customHeight="1">
      <c r="A29" s="496"/>
      <c r="B29" s="497"/>
      <c r="C29" s="82"/>
      <c r="D29" s="82"/>
      <c r="E29" s="82"/>
      <c r="F29" s="82"/>
      <c r="H29" s="581" t="s">
        <v>368</v>
      </c>
      <c r="I29" s="540">
        <v>1</v>
      </c>
      <c r="J29" s="540">
        <v>1</v>
      </c>
      <c r="K29" s="540">
        <v>1</v>
      </c>
      <c r="L29" s="796">
        <v>1</v>
      </c>
      <c r="M29" s="797"/>
      <c r="N29" s="80"/>
      <c r="O29" s="165"/>
    </row>
    <row r="30" spans="1:15" ht="24.75" customHeight="1">
      <c r="A30" s="496"/>
      <c r="B30" s="497"/>
      <c r="C30" s="82"/>
      <c r="D30" s="82"/>
      <c r="E30" s="82"/>
      <c r="F30" s="82"/>
      <c r="G30" s="78"/>
      <c r="H30" s="581" t="s">
        <v>369</v>
      </c>
      <c r="I30" s="540">
        <v>1</v>
      </c>
      <c r="J30" s="540">
        <v>1</v>
      </c>
      <c r="K30" s="540">
        <v>1</v>
      </c>
      <c r="L30" s="796">
        <v>1</v>
      </c>
      <c r="M30" s="797"/>
      <c r="N30" s="80"/>
      <c r="O30" s="165"/>
    </row>
    <row r="31" spans="1:15" ht="24" customHeight="1">
      <c r="A31" s="496"/>
      <c r="B31" s="497"/>
      <c r="C31" s="82"/>
      <c r="D31" s="82"/>
      <c r="E31" s="82"/>
      <c r="F31" s="82"/>
      <c r="G31" s="78"/>
      <c r="H31" s="580" t="s">
        <v>370</v>
      </c>
      <c r="I31" s="540">
        <v>1</v>
      </c>
      <c r="J31" s="540">
        <v>1</v>
      </c>
      <c r="K31" s="540">
        <v>1</v>
      </c>
      <c r="L31" s="796">
        <v>1</v>
      </c>
      <c r="M31" s="797"/>
      <c r="N31" s="80"/>
      <c r="O31" s="165"/>
    </row>
    <row r="32" spans="1:15" ht="27.75" customHeight="1">
      <c r="A32" s="496"/>
      <c r="B32" s="497"/>
      <c r="C32" s="82"/>
      <c r="D32" s="82"/>
      <c r="E32" s="82"/>
      <c r="F32" s="82"/>
      <c r="G32" s="78"/>
      <c r="H32" s="580" t="s">
        <v>371</v>
      </c>
      <c r="I32" s="540">
        <v>1</v>
      </c>
      <c r="J32" s="540">
        <v>1</v>
      </c>
      <c r="K32" s="540">
        <v>1</v>
      </c>
      <c r="L32" s="796">
        <v>1</v>
      </c>
      <c r="M32" s="797"/>
      <c r="N32" s="80"/>
      <c r="O32" s="165"/>
    </row>
    <row r="33" spans="1:15" ht="25.5" customHeight="1">
      <c r="A33" s="496"/>
      <c r="B33" s="497"/>
      <c r="C33" s="82"/>
      <c r="D33" s="82"/>
      <c r="E33" s="82"/>
      <c r="F33" s="82"/>
      <c r="G33" s="78"/>
      <c r="H33" s="581" t="s">
        <v>373</v>
      </c>
      <c r="I33" s="540">
        <v>1</v>
      </c>
      <c r="J33" s="540">
        <v>1</v>
      </c>
      <c r="K33" s="540">
        <v>1</v>
      </c>
      <c r="L33" s="796">
        <v>1</v>
      </c>
      <c r="M33" s="797"/>
      <c r="N33" s="80"/>
      <c r="O33" s="165"/>
    </row>
    <row r="34" spans="1:15" ht="27" customHeight="1">
      <c r="A34" s="496"/>
      <c r="B34" s="497"/>
      <c r="C34" s="82"/>
      <c r="D34" s="82"/>
      <c r="E34" s="82"/>
      <c r="F34" s="82"/>
      <c r="G34" s="78"/>
      <c r="H34" s="581" t="s">
        <v>417</v>
      </c>
      <c r="I34" s="540">
        <v>1</v>
      </c>
      <c r="J34" s="540">
        <v>1</v>
      </c>
      <c r="K34" s="540">
        <v>1</v>
      </c>
      <c r="L34" s="796">
        <v>1</v>
      </c>
      <c r="M34" s="797"/>
      <c r="N34" s="80"/>
      <c r="O34" s="165"/>
    </row>
    <row r="35" spans="1:15" ht="24" customHeight="1">
      <c r="A35" s="496"/>
      <c r="B35" s="497"/>
      <c r="C35" s="82"/>
      <c r="D35" s="82"/>
      <c r="E35" s="82"/>
      <c r="F35" s="82"/>
      <c r="G35" s="89"/>
      <c r="H35" s="580" t="s">
        <v>190</v>
      </c>
      <c r="I35" s="540">
        <v>0.67</v>
      </c>
      <c r="J35" s="540">
        <v>1</v>
      </c>
      <c r="K35" s="540">
        <v>1</v>
      </c>
      <c r="L35" s="796">
        <v>0</v>
      </c>
      <c r="M35" s="797"/>
      <c r="N35" s="80"/>
      <c r="O35" s="165"/>
    </row>
    <row r="36" spans="1:15" ht="24" customHeight="1">
      <c r="A36" s="496"/>
      <c r="B36" s="497"/>
      <c r="C36" s="82"/>
      <c r="D36" s="82"/>
      <c r="E36" s="82"/>
      <c r="F36" s="82"/>
      <c r="H36" s="582" t="s">
        <v>374</v>
      </c>
      <c r="I36" s="540">
        <v>0.67</v>
      </c>
      <c r="J36" s="540">
        <v>1</v>
      </c>
      <c r="K36" s="540">
        <v>1</v>
      </c>
      <c r="L36" s="796">
        <v>0</v>
      </c>
      <c r="M36" s="797"/>
      <c r="N36" s="80"/>
      <c r="O36" s="165"/>
    </row>
    <row r="37" spans="1:15" ht="22.5" customHeight="1" thickBot="1">
      <c r="A37" s="496"/>
      <c r="B37" s="497"/>
      <c r="C37" s="82"/>
      <c r="D37" s="82"/>
      <c r="E37" s="82"/>
      <c r="F37" s="82"/>
      <c r="G37" s="78"/>
      <c r="H37" s="583" t="s">
        <v>20</v>
      </c>
      <c r="I37" s="542">
        <v>0.91</v>
      </c>
      <c r="J37" s="542">
        <v>1</v>
      </c>
      <c r="K37" s="542">
        <v>0.91</v>
      </c>
      <c r="L37" s="798">
        <v>0.82</v>
      </c>
      <c r="M37" s="799"/>
      <c r="N37" s="80"/>
      <c r="O37" s="165"/>
    </row>
  </sheetData>
  <mergeCells count="38">
    <mergeCell ref="E11:F12"/>
    <mergeCell ref="A9:F10"/>
    <mergeCell ref="E13:F13"/>
    <mergeCell ref="E14:F14"/>
    <mergeCell ref="B25:C25"/>
    <mergeCell ref="B11:B12"/>
    <mergeCell ref="C11:C12"/>
    <mergeCell ref="D11:D12"/>
    <mergeCell ref="A11:A12"/>
    <mergeCell ref="E15:F15"/>
    <mergeCell ref="A27:D27"/>
    <mergeCell ref="H17:J17"/>
    <mergeCell ref="B24:C24"/>
    <mergeCell ref="A23:F23"/>
    <mergeCell ref="L22:M22"/>
    <mergeCell ref="L23:M23"/>
    <mergeCell ref="L24:M24"/>
    <mergeCell ref="L20:M20"/>
    <mergeCell ref="L21:M21"/>
    <mergeCell ref="L25:M25"/>
    <mergeCell ref="L26:M26"/>
    <mergeCell ref="L27:M27"/>
    <mergeCell ref="H8:M8"/>
    <mergeCell ref="A1:O1"/>
    <mergeCell ref="A2:O2"/>
    <mergeCell ref="A3:O3"/>
    <mergeCell ref="A4:O4"/>
    <mergeCell ref="J5:K5"/>
    <mergeCell ref="L28:M28"/>
    <mergeCell ref="L29:M29"/>
    <mergeCell ref="L35:M35"/>
    <mergeCell ref="L36:M36"/>
    <mergeCell ref="L37:M37"/>
    <mergeCell ref="L30:M30"/>
    <mergeCell ref="L31:M31"/>
    <mergeCell ref="L32:M32"/>
    <mergeCell ref="L33:M33"/>
    <mergeCell ref="L34:M34"/>
  </mergeCells>
  <conditionalFormatting sqref="I21:L37">
    <cfRule type="expression" dxfId="27" priority="1">
      <formula>I21&lt;100%</formula>
    </cfRule>
  </conditionalFormatting>
  <printOptions horizontalCentered="1" verticalCentered="1"/>
  <pageMargins left="0" right="0" top="0" bottom="0" header="0" footer="0"/>
  <pageSetup paperSize="5"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T46"/>
  <sheetViews>
    <sheetView showGridLines="0" topLeftCell="B1" zoomScale="70" zoomScaleNormal="70" workbookViewId="0">
      <selection activeCell="U23" sqref="U23"/>
    </sheetView>
  </sheetViews>
  <sheetFormatPr baseColWidth="10" defaultRowHeight="15"/>
  <cols>
    <col min="1" max="1" width="3.140625" customWidth="1"/>
    <col min="2" max="2" width="50.140625" customWidth="1"/>
    <col min="3" max="3" width="47.140625" customWidth="1"/>
    <col min="4" max="4" width="27.28515625" customWidth="1"/>
    <col min="5" max="5" width="21.5703125" customWidth="1"/>
    <col min="6" max="6" width="20.42578125" customWidth="1"/>
    <col min="7" max="7" width="6.42578125" customWidth="1"/>
    <col min="8" max="8" width="39.85546875" customWidth="1"/>
    <col min="9" max="9" width="0.5703125" customWidth="1"/>
    <col min="10" max="10" width="3.28515625" customWidth="1"/>
    <col min="11" max="11" width="31" customWidth="1"/>
    <col min="12" max="12" width="4.140625" customWidth="1"/>
    <col min="13" max="13" width="8.28515625" customWidth="1"/>
    <col min="14" max="14" width="28.85546875" customWidth="1"/>
    <col min="15" max="15" width="35.28515625" customWidth="1"/>
    <col min="16" max="16" width="4.28515625" customWidth="1"/>
    <col min="17" max="17" width="4.42578125" customWidth="1"/>
    <col min="18" max="18" width="2.42578125" customWidth="1"/>
  </cols>
  <sheetData>
    <row r="1" spans="1:20" ht="21">
      <c r="A1" s="82"/>
      <c r="B1" s="881" t="s">
        <v>119</v>
      </c>
      <c r="C1" s="882"/>
      <c r="D1" s="882"/>
      <c r="E1" s="882"/>
      <c r="F1" s="882"/>
      <c r="G1" s="882"/>
      <c r="H1" s="882"/>
      <c r="I1" s="882"/>
      <c r="J1" s="882"/>
      <c r="K1" s="882"/>
      <c r="L1" s="882"/>
      <c r="M1" s="882"/>
      <c r="N1" s="882"/>
      <c r="O1" s="883"/>
      <c r="P1" s="82"/>
      <c r="Q1" s="82"/>
      <c r="R1" s="82"/>
      <c r="S1" s="82"/>
      <c r="T1" s="82"/>
    </row>
    <row r="2" spans="1:20" ht="18.75" customHeight="1">
      <c r="A2" s="82"/>
      <c r="B2" s="869" t="s">
        <v>120</v>
      </c>
      <c r="C2" s="870"/>
      <c r="D2" s="870"/>
      <c r="E2" s="870"/>
      <c r="F2" s="870"/>
      <c r="G2" s="871" t="s">
        <v>188</v>
      </c>
      <c r="H2" s="871"/>
      <c r="I2" s="871"/>
      <c r="J2" s="871"/>
      <c r="K2" s="871"/>
      <c r="L2" s="871"/>
      <c r="M2" s="871"/>
      <c r="N2" s="871"/>
      <c r="O2" s="872"/>
      <c r="P2" s="82"/>
      <c r="Q2" s="82"/>
      <c r="R2" s="82"/>
      <c r="S2" s="82"/>
      <c r="T2" s="82"/>
    </row>
    <row r="3" spans="1:20" ht="28.5" customHeight="1" thickBot="1">
      <c r="A3" s="82"/>
      <c r="B3" s="873" t="s">
        <v>170</v>
      </c>
      <c r="C3" s="874"/>
      <c r="D3" s="874"/>
      <c r="E3" s="874"/>
      <c r="F3" s="874"/>
      <c r="G3" s="874"/>
      <c r="H3" s="875"/>
      <c r="I3" s="208"/>
      <c r="J3" s="209"/>
      <c r="K3" s="477"/>
      <c r="L3" s="207"/>
      <c r="M3" s="207"/>
      <c r="N3" s="207"/>
      <c r="O3" s="209"/>
      <c r="P3" s="82"/>
      <c r="Q3" s="82"/>
      <c r="R3" s="82"/>
      <c r="S3" s="82"/>
      <c r="T3" s="82"/>
    </row>
    <row r="4" spans="1:20" ht="27.75" customHeight="1">
      <c r="A4" s="82"/>
      <c r="B4" s="103"/>
      <c r="C4" s="90"/>
      <c r="D4" s="90"/>
      <c r="E4" s="83"/>
      <c r="F4" s="83"/>
      <c r="G4" s="83"/>
      <c r="H4" s="80"/>
      <c r="I4" s="88"/>
      <c r="J4" s="103"/>
      <c r="K4" s="891" t="s">
        <v>183</v>
      </c>
      <c r="L4" s="892"/>
      <c r="M4" s="892"/>
      <c r="N4" s="892"/>
      <c r="O4" s="893"/>
      <c r="P4" s="80"/>
      <c r="Q4" s="82"/>
      <c r="R4" s="82"/>
      <c r="S4" s="82"/>
      <c r="T4" s="82"/>
    </row>
    <row r="5" spans="1:20" ht="36" customHeight="1" thickBot="1">
      <c r="A5" s="82"/>
      <c r="B5" s="103"/>
      <c r="H5" s="79"/>
      <c r="I5" s="82"/>
      <c r="J5" s="210"/>
      <c r="K5" s="888" t="s">
        <v>122</v>
      </c>
      <c r="L5" s="887"/>
      <c r="M5" s="887" t="s">
        <v>186</v>
      </c>
      <c r="N5" s="887"/>
      <c r="O5" s="529" t="s">
        <v>70</v>
      </c>
      <c r="P5" s="80"/>
      <c r="Q5" s="82"/>
      <c r="R5" s="82"/>
      <c r="S5" s="82"/>
      <c r="T5" s="82"/>
    </row>
    <row r="6" spans="1:20" ht="93.75" customHeight="1">
      <c r="A6" s="82"/>
      <c r="B6" s="79"/>
      <c r="H6" s="79"/>
      <c r="I6" s="82"/>
      <c r="J6" s="79"/>
      <c r="K6" s="894" t="s">
        <v>419</v>
      </c>
      <c r="L6" s="895"/>
      <c r="M6" s="885" t="s">
        <v>426</v>
      </c>
      <c r="N6" s="886"/>
      <c r="O6" s="560" t="s">
        <v>442</v>
      </c>
      <c r="P6" s="80"/>
      <c r="Q6" s="82"/>
      <c r="R6" s="82"/>
      <c r="S6" s="82"/>
      <c r="T6" s="82"/>
    </row>
    <row r="7" spans="1:20" ht="53.25" customHeight="1">
      <c r="A7" s="82"/>
      <c r="C7" s="82"/>
      <c r="D7" s="82"/>
      <c r="E7" s="889"/>
      <c r="F7" s="890"/>
      <c r="G7" s="890"/>
      <c r="H7" s="890"/>
      <c r="I7" s="82"/>
      <c r="J7" s="103"/>
      <c r="K7" s="850" t="s">
        <v>419</v>
      </c>
      <c r="L7" s="851"/>
      <c r="M7" s="848" t="s">
        <v>427</v>
      </c>
      <c r="N7" s="849"/>
      <c r="O7" s="561" t="s">
        <v>443</v>
      </c>
      <c r="P7" s="80"/>
      <c r="Q7" s="82"/>
      <c r="R7" s="82"/>
      <c r="S7" s="82"/>
      <c r="T7" s="82"/>
    </row>
    <row r="8" spans="1:20" ht="50.25" customHeight="1">
      <c r="A8" s="79"/>
      <c r="B8" s="82"/>
      <c r="C8" s="82"/>
      <c r="D8" s="82"/>
      <c r="I8" s="82"/>
      <c r="J8" s="79"/>
      <c r="K8" s="850" t="s">
        <v>419</v>
      </c>
      <c r="L8" s="851"/>
      <c r="M8" s="848" t="s">
        <v>428</v>
      </c>
      <c r="N8" s="849"/>
      <c r="O8" s="561" t="s">
        <v>442</v>
      </c>
      <c r="P8" s="80"/>
      <c r="Q8" s="82"/>
      <c r="R8" s="82"/>
      <c r="S8" s="82"/>
      <c r="T8" s="82"/>
    </row>
    <row r="9" spans="1:20" ht="55.5" customHeight="1" thickBot="1">
      <c r="A9" s="79"/>
      <c r="B9" s="90"/>
      <c r="C9" s="90"/>
      <c r="D9" s="82"/>
      <c r="I9" s="82"/>
      <c r="J9" s="103"/>
      <c r="K9" s="850" t="s">
        <v>131</v>
      </c>
      <c r="L9" s="851"/>
      <c r="M9" s="848" t="s">
        <v>429</v>
      </c>
      <c r="N9" s="849"/>
      <c r="O9" s="561" t="s">
        <v>444</v>
      </c>
      <c r="P9" s="80"/>
      <c r="Q9" s="82"/>
      <c r="R9" s="82"/>
      <c r="S9" s="82"/>
      <c r="T9" s="82"/>
    </row>
    <row r="10" spans="1:20" ht="51" customHeight="1" thickBot="1">
      <c r="A10" s="79"/>
      <c r="B10" s="556"/>
      <c r="C10" s="557" t="s">
        <v>180</v>
      </c>
      <c r="D10" s="80"/>
      <c r="I10" s="82"/>
      <c r="J10" s="79"/>
      <c r="K10" s="850" t="s">
        <v>131</v>
      </c>
      <c r="L10" s="851"/>
      <c r="M10" s="848" t="s">
        <v>430</v>
      </c>
      <c r="N10" s="849"/>
      <c r="O10" s="561" t="s">
        <v>444</v>
      </c>
      <c r="P10" s="80"/>
      <c r="Q10" s="82"/>
      <c r="R10" s="82"/>
      <c r="S10" s="82"/>
      <c r="T10" s="82"/>
    </row>
    <row r="11" spans="1:20" ht="57" customHeight="1" thickBot="1">
      <c r="A11" s="79"/>
      <c r="B11" s="558"/>
      <c r="C11" s="559" t="s">
        <v>181</v>
      </c>
      <c r="D11" s="89"/>
      <c r="F11" s="89"/>
      <c r="H11" s="87"/>
      <c r="I11" s="80"/>
      <c r="J11" s="103"/>
      <c r="K11" s="850" t="s">
        <v>131</v>
      </c>
      <c r="L11" s="851"/>
      <c r="M11" s="848" t="s">
        <v>431</v>
      </c>
      <c r="N11" s="849"/>
      <c r="O11" s="561" t="s">
        <v>445</v>
      </c>
      <c r="P11" s="80"/>
      <c r="Q11" s="82"/>
      <c r="R11" s="82"/>
      <c r="S11" s="82"/>
      <c r="T11" s="82"/>
    </row>
    <row r="12" spans="1:20" ht="49.5" customHeight="1">
      <c r="A12" s="79"/>
      <c r="B12" s="555"/>
      <c r="C12" s="555"/>
      <c r="D12" s="89"/>
      <c r="G12" s="89"/>
      <c r="I12" s="80"/>
      <c r="J12" s="103"/>
      <c r="K12" s="850" t="s">
        <v>424</v>
      </c>
      <c r="L12" s="851"/>
      <c r="M12" s="848" t="s">
        <v>432</v>
      </c>
      <c r="N12" s="849"/>
      <c r="O12" s="561" t="s">
        <v>444</v>
      </c>
      <c r="P12" s="80"/>
      <c r="Q12" s="82"/>
      <c r="R12" s="82"/>
      <c r="S12" s="82"/>
      <c r="T12" s="82"/>
    </row>
    <row r="13" spans="1:20" ht="55.5" customHeight="1">
      <c r="A13" s="79"/>
      <c r="D13" s="89"/>
      <c r="E13" s="884" t="s">
        <v>171</v>
      </c>
      <c r="F13" s="884"/>
      <c r="G13" s="884"/>
      <c r="H13" s="884"/>
      <c r="I13" s="80"/>
      <c r="J13" s="103"/>
      <c r="K13" s="850" t="s">
        <v>424</v>
      </c>
      <c r="L13" s="851"/>
      <c r="M13" s="848" t="s">
        <v>433</v>
      </c>
      <c r="N13" s="849"/>
      <c r="O13" s="561" t="s">
        <v>446</v>
      </c>
      <c r="P13" s="80"/>
      <c r="Q13" s="82"/>
      <c r="R13" s="82"/>
      <c r="S13" s="82"/>
      <c r="T13" s="82"/>
    </row>
    <row r="14" spans="1:20" ht="47.25" customHeight="1">
      <c r="A14" s="79"/>
      <c r="B14" s="860" t="s">
        <v>167</v>
      </c>
      <c r="C14" s="860"/>
      <c r="D14" s="89"/>
      <c r="E14" s="877" t="s">
        <v>122</v>
      </c>
      <c r="F14" s="877"/>
      <c r="G14" s="877"/>
      <c r="H14" s="465" t="s">
        <v>123</v>
      </c>
      <c r="I14" s="80"/>
      <c r="J14" s="103"/>
      <c r="K14" s="850" t="s">
        <v>425</v>
      </c>
      <c r="L14" s="851"/>
      <c r="M14" s="848" t="s">
        <v>434</v>
      </c>
      <c r="N14" s="849"/>
      <c r="O14" s="561" t="s">
        <v>447</v>
      </c>
      <c r="P14" s="80"/>
      <c r="Q14" s="82"/>
      <c r="R14" s="82"/>
      <c r="S14" s="82"/>
      <c r="T14" s="82"/>
    </row>
    <row r="15" spans="1:20" ht="44.25" customHeight="1">
      <c r="A15" s="79"/>
      <c r="B15" s="472" t="s">
        <v>121</v>
      </c>
      <c r="C15" s="472" t="s">
        <v>169</v>
      </c>
      <c r="D15" s="89"/>
      <c r="E15" s="864" t="s">
        <v>418</v>
      </c>
      <c r="F15" s="864"/>
      <c r="G15" s="864"/>
      <c r="H15" s="474">
        <v>2</v>
      </c>
      <c r="I15" s="80"/>
      <c r="J15" s="103"/>
      <c r="K15" s="850" t="s">
        <v>425</v>
      </c>
      <c r="L15" s="851"/>
      <c r="M15" s="848" t="s">
        <v>435</v>
      </c>
      <c r="N15" s="849"/>
      <c r="O15" s="561" t="s">
        <v>448</v>
      </c>
      <c r="P15" s="80"/>
      <c r="Q15" s="82"/>
      <c r="R15" s="82"/>
      <c r="S15" s="82"/>
      <c r="T15" s="82"/>
    </row>
    <row r="16" spans="1:20" ht="47.25" customHeight="1">
      <c r="A16" s="79"/>
      <c r="B16" s="473" t="s">
        <v>418</v>
      </c>
      <c r="C16" s="473">
        <v>4</v>
      </c>
      <c r="D16" s="89"/>
      <c r="E16" s="864" t="s">
        <v>419</v>
      </c>
      <c r="F16" s="864"/>
      <c r="G16" s="864"/>
      <c r="H16" s="474">
        <v>26</v>
      </c>
      <c r="I16" s="80"/>
      <c r="J16" s="103"/>
      <c r="K16" s="850" t="s">
        <v>420</v>
      </c>
      <c r="L16" s="851"/>
      <c r="M16" s="848" t="s">
        <v>436</v>
      </c>
      <c r="N16" s="849"/>
      <c r="O16" s="561" t="s">
        <v>446</v>
      </c>
      <c r="P16" s="80"/>
      <c r="Q16" s="82"/>
      <c r="R16" s="82"/>
      <c r="S16" s="82"/>
      <c r="T16" s="82"/>
    </row>
    <row r="17" spans="1:20" ht="46.5" customHeight="1">
      <c r="A17" s="79"/>
      <c r="B17" s="473" t="s">
        <v>419</v>
      </c>
      <c r="C17" s="473">
        <v>26</v>
      </c>
      <c r="D17" s="89"/>
      <c r="E17" s="864" t="s">
        <v>420</v>
      </c>
      <c r="F17" s="864"/>
      <c r="G17" s="864"/>
      <c r="H17" s="474">
        <v>5</v>
      </c>
      <c r="I17" s="80"/>
      <c r="J17" s="79"/>
      <c r="K17" s="850" t="s">
        <v>420</v>
      </c>
      <c r="L17" s="851"/>
      <c r="M17" s="848" t="s">
        <v>437</v>
      </c>
      <c r="N17" s="849"/>
      <c r="O17" s="561" t="s">
        <v>449</v>
      </c>
      <c r="P17" s="80"/>
      <c r="Q17" s="82"/>
      <c r="R17" s="82"/>
      <c r="S17" s="82"/>
      <c r="T17" s="82"/>
    </row>
    <row r="18" spans="1:20" ht="54.75" customHeight="1" thickBot="1">
      <c r="A18" s="79"/>
      <c r="B18" s="473" t="s">
        <v>420</v>
      </c>
      <c r="C18" s="473">
        <v>5</v>
      </c>
      <c r="D18" s="89"/>
      <c r="E18" s="864" t="s">
        <v>421</v>
      </c>
      <c r="F18" s="864"/>
      <c r="G18" s="864"/>
      <c r="H18" s="474">
        <v>31</v>
      </c>
      <c r="I18" s="80"/>
      <c r="J18" s="87"/>
      <c r="K18" s="867" t="s">
        <v>420</v>
      </c>
      <c r="L18" s="868"/>
      <c r="M18" s="855" t="s">
        <v>438</v>
      </c>
      <c r="N18" s="856"/>
      <c r="O18" s="561" t="s">
        <v>450</v>
      </c>
      <c r="P18" s="80"/>
      <c r="Q18" s="82"/>
      <c r="R18" s="82"/>
      <c r="S18" s="82"/>
      <c r="T18" s="82"/>
    </row>
    <row r="19" spans="1:20" ht="42" customHeight="1" thickBot="1">
      <c r="A19" s="79"/>
      <c r="B19" s="473" t="s">
        <v>421</v>
      </c>
      <c r="C19" s="473">
        <v>31</v>
      </c>
      <c r="D19" s="89"/>
      <c r="E19" s="864" t="s">
        <v>422</v>
      </c>
      <c r="F19" s="864"/>
      <c r="G19" s="864"/>
      <c r="H19" s="474">
        <v>6</v>
      </c>
      <c r="I19" s="80"/>
      <c r="J19" s="79"/>
      <c r="K19" s="230" t="s">
        <v>418</v>
      </c>
      <c r="M19" s="855" t="s">
        <v>439</v>
      </c>
      <c r="N19" s="856"/>
      <c r="O19" s="561" t="s">
        <v>442</v>
      </c>
      <c r="P19" s="80"/>
      <c r="Q19" s="82"/>
      <c r="R19" s="82"/>
      <c r="S19" s="82"/>
      <c r="T19" s="82"/>
    </row>
    <row r="20" spans="1:20" ht="33.75" customHeight="1" thickBot="1">
      <c r="A20" s="79"/>
      <c r="B20" s="473" t="s">
        <v>422</v>
      </c>
      <c r="C20" s="473">
        <v>6</v>
      </c>
      <c r="D20" s="89"/>
      <c r="E20" s="865" t="s">
        <v>423</v>
      </c>
      <c r="F20" s="865"/>
      <c r="G20" s="865"/>
      <c r="H20" s="475">
        <v>25</v>
      </c>
      <c r="I20" s="80"/>
      <c r="J20" s="103"/>
      <c r="K20" s="230" t="s">
        <v>418</v>
      </c>
      <c r="M20" s="855" t="s">
        <v>440</v>
      </c>
      <c r="N20" s="856"/>
      <c r="O20" s="561" t="s">
        <v>446</v>
      </c>
      <c r="P20" s="80"/>
      <c r="Q20" s="82"/>
      <c r="R20" s="82"/>
      <c r="S20" s="82"/>
      <c r="T20" s="82"/>
    </row>
    <row r="21" spans="1:20" ht="46.5" customHeight="1" thickBot="1">
      <c r="A21" s="79"/>
      <c r="B21" s="473" t="s">
        <v>423</v>
      </c>
      <c r="C21" s="473">
        <v>25</v>
      </c>
      <c r="D21" s="98"/>
      <c r="E21" s="876" t="s">
        <v>10</v>
      </c>
      <c r="F21" s="876"/>
      <c r="G21" s="876"/>
      <c r="H21" s="476">
        <f>SUM(H15:H20)</f>
        <v>95</v>
      </c>
      <c r="I21" s="80"/>
      <c r="J21" s="103"/>
      <c r="K21" s="230" t="s">
        <v>418</v>
      </c>
      <c r="M21" s="855" t="s">
        <v>441</v>
      </c>
      <c r="N21" s="856"/>
      <c r="O21" s="561" t="s">
        <v>446</v>
      </c>
      <c r="P21" s="80"/>
      <c r="Q21" s="82"/>
      <c r="R21" s="82"/>
      <c r="S21" s="82"/>
      <c r="T21" s="82"/>
    </row>
    <row r="22" spans="1:20" ht="37.5" customHeight="1" thickBot="1">
      <c r="A22" s="79"/>
      <c r="B22" s="476" t="s">
        <v>10</v>
      </c>
      <c r="C22" s="476">
        <f>SUM(C16:C21)</f>
        <v>97</v>
      </c>
      <c r="D22" s="89"/>
      <c r="E22" s="852" t="s">
        <v>168</v>
      </c>
      <c r="F22" s="853"/>
      <c r="G22" s="853"/>
      <c r="H22" s="854"/>
      <c r="I22" s="80"/>
      <c r="J22" s="79"/>
      <c r="K22" s="230"/>
      <c r="M22" s="855"/>
      <c r="N22" s="856"/>
      <c r="O22" s="561"/>
      <c r="P22" s="80"/>
      <c r="Q22" s="82"/>
      <c r="R22" s="79"/>
      <c r="S22" s="82"/>
      <c r="T22" s="82"/>
    </row>
    <row r="23" spans="1:20" ht="36.75" customHeight="1" thickBot="1">
      <c r="A23" s="79"/>
      <c r="D23" s="78"/>
      <c r="I23" s="83"/>
      <c r="J23" s="79"/>
      <c r="K23" s="230"/>
      <c r="L23" s="87"/>
      <c r="M23" s="855"/>
      <c r="N23" s="856"/>
      <c r="O23" s="561"/>
      <c r="P23" s="80"/>
      <c r="Q23" s="82"/>
      <c r="R23" s="79"/>
      <c r="S23" s="82"/>
      <c r="T23" s="82"/>
    </row>
    <row r="24" spans="1:20" ht="25.5" customHeight="1" thickBot="1">
      <c r="A24" s="79"/>
      <c r="B24" s="463"/>
      <c r="C24" s="463"/>
      <c r="D24" s="212"/>
      <c r="I24" s="90"/>
      <c r="J24" s="87"/>
      <c r="K24" s="235"/>
      <c r="L24" s="234"/>
      <c r="M24" s="855"/>
      <c r="N24" s="856"/>
      <c r="O24" s="561"/>
      <c r="P24" s="80"/>
      <c r="Q24" s="82"/>
      <c r="S24" s="82"/>
      <c r="T24" s="82"/>
    </row>
    <row r="25" spans="1:20" ht="25.5" customHeight="1" thickBot="1">
      <c r="A25" s="79"/>
      <c r="B25" s="464"/>
      <c r="C25" s="464"/>
      <c r="D25" s="231"/>
      <c r="J25" s="89"/>
      <c r="K25" s="531" t="s">
        <v>144</v>
      </c>
      <c r="L25" s="532"/>
      <c r="M25" s="855"/>
      <c r="N25" s="856"/>
      <c r="O25" s="561"/>
      <c r="P25" s="80"/>
      <c r="Q25" s="82"/>
      <c r="S25" s="82"/>
      <c r="T25" s="82"/>
    </row>
    <row r="26" spans="1:20" ht="21" customHeight="1">
      <c r="A26" s="79"/>
      <c r="B26" s="464"/>
      <c r="C26" s="464"/>
      <c r="D26" s="231"/>
      <c r="E26" s="467"/>
      <c r="F26" s="468"/>
      <c r="H26" s="866"/>
      <c r="I26" s="866"/>
      <c r="J26" s="466"/>
      <c r="K26" s="861" t="s">
        <v>187</v>
      </c>
      <c r="L26" s="862"/>
      <c r="M26" s="862"/>
      <c r="N26" s="863"/>
      <c r="O26" s="530"/>
      <c r="P26" s="80"/>
      <c r="Q26" s="82"/>
      <c r="S26" s="82"/>
      <c r="T26" s="82"/>
    </row>
    <row r="27" spans="1:20" ht="26.25" customHeight="1">
      <c r="A27" s="79"/>
      <c r="B27" s="464"/>
      <c r="C27" s="464"/>
      <c r="D27" s="231"/>
      <c r="E27" s="469"/>
      <c r="F27" s="469"/>
      <c r="H27" s="470"/>
      <c r="I27" s="471"/>
      <c r="J27" s="211"/>
      <c r="K27" s="857" t="s">
        <v>185</v>
      </c>
      <c r="L27" s="858"/>
      <c r="M27" s="858"/>
      <c r="N27" s="858"/>
      <c r="O27" s="859"/>
      <c r="P27" s="80"/>
      <c r="Q27" s="82"/>
      <c r="S27" s="82"/>
      <c r="T27" s="82"/>
    </row>
    <row r="28" spans="1:20" ht="32.25" customHeight="1" thickBot="1">
      <c r="A28" s="79"/>
      <c r="J28" s="78"/>
      <c r="K28" s="878" t="s">
        <v>184</v>
      </c>
      <c r="L28" s="879"/>
      <c r="M28" s="879"/>
      <c r="N28" s="879"/>
      <c r="O28" s="880"/>
      <c r="P28" s="82"/>
      <c r="Q28" s="82"/>
      <c r="R28" s="79"/>
      <c r="S28" s="82"/>
    </row>
    <row r="29" spans="1:20" ht="43.5" customHeight="1">
      <c r="A29" s="79"/>
      <c r="B29" s="104"/>
      <c r="C29" s="104"/>
      <c r="D29" s="82"/>
      <c r="E29" s="104"/>
      <c r="F29" s="104"/>
      <c r="G29" s="104"/>
      <c r="H29" s="104"/>
      <c r="I29" s="104"/>
      <c r="J29" s="82"/>
      <c r="K29" s="104"/>
      <c r="L29" s="104"/>
      <c r="M29" s="104"/>
      <c r="N29" s="104"/>
      <c r="O29" s="104"/>
      <c r="P29" s="80"/>
      <c r="Q29" s="82"/>
      <c r="R29" s="79"/>
      <c r="S29" s="82"/>
    </row>
    <row r="30" spans="1:20" ht="45" customHeight="1">
      <c r="A30" s="79"/>
      <c r="B30" s="82"/>
      <c r="C30" s="82"/>
      <c r="D30" s="82"/>
      <c r="E30" s="82"/>
      <c r="F30" s="82"/>
      <c r="G30" s="82"/>
      <c r="H30" s="82"/>
      <c r="I30" s="82"/>
      <c r="J30" s="82"/>
      <c r="K30" s="82"/>
      <c r="L30" s="82"/>
      <c r="M30" s="82"/>
      <c r="N30" s="82"/>
      <c r="O30" s="82"/>
      <c r="P30" s="80"/>
      <c r="Q30" s="82"/>
      <c r="R30" s="82"/>
      <c r="S30" s="82"/>
    </row>
    <row r="31" spans="1:20">
      <c r="A31" s="79"/>
      <c r="B31" s="82"/>
      <c r="C31" s="82"/>
      <c r="D31" s="82"/>
      <c r="E31" s="82"/>
      <c r="F31" s="82"/>
      <c r="G31" s="82"/>
      <c r="H31" s="82"/>
      <c r="I31" s="82"/>
      <c r="J31" s="82"/>
      <c r="K31" s="82"/>
      <c r="L31" s="82"/>
      <c r="M31" s="82"/>
      <c r="N31" s="82"/>
      <c r="O31" s="82"/>
      <c r="P31" s="80"/>
      <c r="Q31" s="82"/>
      <c r="R31" s="82"/>
      <c r="S31" s="82"/>
    </row>
    <row r="32" spans="1:20">
      <c r="A32" s="79"/>
      <c r="B32" s="82"/>
      <c r="C32" s="82"/>
      <c r="D32" s="82"/>
      <c r="E32" s="82"/>
      <c r="F32" s="82"/>
      <c r="G32" s="82"/>
      <c r="H32" s="82"/>
      <c r="I32" s="82"/>
      <c r="J32" s="82"/>
      <c r="K32" s="82"/>
      <c r="L32" s="82"/>
      <c r="M32" s="82"/>
      <c r="N32" s="82"/>
      <c r="O32" s="82"/>
      <c r="P32" s="80"/>
      <c r="Q32" s="82"/>
      <c r="R32" s="82"/>
      <c r="S32" s="82"/>
    </row>
    <row r="33" spans="1:20">
      <c r="A33" s="79"/>
      <c r="C33" s="82"/>
      <c r="D33" s="82"/>
      <c r="E33" s="82"/>
      <c r="F33" s="82"/>
      <c r="G33" s="82"/>
      <c r="H33" s="82"/>
      <c r="I33" s="82"/>
      <c r="J33" s="82"/>
      <c r="K33" s="82"/>
      <c r="L33" s="82"/>
      <c r="M33" s="82"/>
      <c r="N33" s="82"/>
      <c r="O33" s="82"/>
      <c r="P33" s="80"/>
      <c r="Q33" s="82"/>
      <c r="R33" s="82"/>
      <c r="S33" s="82"/>
    </row>
    <row r="34" spans="1:20">
      <c r="A34" s="79"/>
      <c r="B34" s="82"/>
      <c r="C34" s="82"/>
      <c r="D34" s="82"/>
      <c r="E34" s="82"/>
      <c r="F34" s="82"/>
      <c r="G34" s="82"/>
      <c r="H34" s="82"/>
      <c r="I34" s="82"/>
      <c r="J34" s="82"/>
      <c r="K34" s="82"/>
      <c r="L34" s="82"/>
      <c r="M34" s="82"/>
      <c r="N34" s="82"/>
      <c r="O34" s="82"/>
      <c r="P34" s="80"/>
      <c r="Q34" s="82"/>
      <c r="R34" s="82"/>
      <c r="S34" s="82"/>
    </row>
    <row r="35" spans="1:20">
      <c r="A35" s="79"/>
      <c r="B35" s="82"/>
      <c r="C35" s="82"/>
      <c r="D35" s="82"/>
      <c r="E35" s="82"/>
      <c r="F35" s="82"/>
      <c r="G35" s="82"/>
      <c r="H35" s="82"/>
      <c r="I35" s="82"/>
      <c r="J35" s="82"/>
      <c r="K35" s="82"/>
      <c r="L35" s="82"/>
      <c r="M35" s="82"/>
      <c r="N35" s="82"/>
      <c r="O35" s="82"/>
      <c r="P35" s="80"/>
      <c r="Q35" s="82"/>
      <c r="R35" s="82"/>
      <c r="S35" s="82"/>
    </row>
    <row r="36" spans="1:20">
      <c r="A36" s="79"/>
      <c r="B36" s="82"/>
      <c r="C36" s="82"/>
      <c r="D36" s="82"/>
      <c r="E36" s="82"/>
      <c r="F36" s="82"/>
      <c r="G36" s="82"/>
      <c r="H36" s="82"/>
      <c r="I36" s="82"/>
      <c r="J36" s="82"/>
      <c r="K36" s="82"/>
      <c r="L36" s="82"/>
      <c r="M36" s="82"/>
      <c r="N36" s="82"/>
      <c r="O36" s="82"/>
      <c r="P36" s="80"/>
      <c r="Q36" s="82"/>
      <c r="R36" s="82"/>
      <c r="S36" s="82"/>
    </row>
    <row r="37" spans="1:20">
      <c r="A37" s="79"/>
      <c r="B37" s="82"/>
      <c r="C37" s="82"/>
      <c r="D37" s="82"/>
      <c r="E37" s="82"/>
      <c r="F37" s="82"/>
      <c r="G37" s="82"/>
      <c r="H37" s="82"/>
      <c r="I37" s="82"/>
      <c r="J37" s="82"/>
      <c r="K37" s="82"/>
      <c r="L37" s="82"/>
      <c r="M37" s="82"/>
      <c r="N37" s="82"/>
      <c r="O37" s="82"/>
      <c r="P37" s="80"/>
      <c r="Q37" s="82"/>
      <c r="R37" s="82"/>
      <c r="S37" s="82"/>
    </row>
    <row r="38" spans="1:20">
      <c r="A38" s="79"/>
      <c r="B38" s="82"/>
      <c r="C38" s="82"/>
      <c r="D38" s="82"/>
      <c r="E38" s="82"/>
      <c r="F38" s="82"/>
      <c r="G38" s="82"/>
      <c r="H38" s="82"/>
      <c r="I38" s="82"/>
      <c r="J38" s="82"/>
      <c r="K38" s="82"/>
      <c r="L38" s="82"/>
      <c r="M38" s="82"/>
      <c r="N38" s="82"/>
      <c r="O38" s="82"/>
      <c r="P38" s="80"/>
      <c r="Q38" s="82"/>
      <c r="R38" s="82"/>
      <c r="S38" s="82"/>
      <c r="T38" s="82"/>
    </row>
    <row r="39" spans="1:20">
      <c r="A39" s="79"/>
      <c r="B39" s="82"/>
      <c r="C39" s="82"/>
      <c r="D39" s="82"/>
      <c r="E39" s="82"/>
      <c r="F39" s="82"/>
      <c r="G39" s="82"/>
      <c r="H39" s="82"/>
      <c r="I39" s="82"/>
      <c r="J39" s="82"/>
      <c r="K39" s="82"/>
      <c r="L39" s="82"/>
      <c r="M39" s="82"/>
      <c r="N39" s="82"/>
      <c r="O39" s="82"/>
      <c r="P39" s="80"/>
      <c r="Q39" s="82"/>
      <c r="R39" s="82"/>
      <c r="S39" s="82"/>
      <c r="T39" s="82"/>
    </row>
    <row r="40" spans="1:20">
      <c r="A40" s="79"/>
      <c r="B40" s="82"/>
      <c r="C40" s="82"/>
      <c r="D40" s="82"/>
      <c r="E40" s="82"/>
      <c r="F40" s="82"/>
      <c r="G40" s="82"/>
      <c r="H40" s="82"/>
      <c r="I40" s="82"/>
      <c r="J40" s="82"/>
      <c r="K40" s="82"/>
      <c r="L40" s="82"/>
      <c r="M40" s="82"/>
      <c r="N40" s="82"/>
      <c r="O40" s="82"/>
      <c r="P40" s="80"/>
      <c r="Q40" s="82"/>
      <c r="R40" s="82"/>
      <c r="S40" s="82"/>
      <c r="T40" s="82"/>
    </row>
    <row r="41" spans="1:20">
      <c r="A41" s="79"/>
      <c r="B41" s="82"/>
      <c r="C41" s="82"/>
      <c r="D41" s="82"/>
      <c r="E41" s="82"/>
      <c r="F41" s="82"/>
      <c r="G41" s="82"/>
      <c r="H41" s="82"/>
      <c r="I41" s="82"/>
      <c r="J41" s="82"/>
      <c r="K41" s="82"/>
      <c r="L41" s="82"/>
      <c r="M41" s="82"/>
      <c r="N41" s="82"/>
      <c r="O41" s="82"/>
      <c r="P41" s="80"/>
      <c r="Q41" s="82"/>
      <c r="R41" s="82"/>
      <c r="S41" s="82"/>
      <c r="T41" s="82"/>
    </row>
    <row r="42" spans="1:20">
      <c r="A42" s="79"/>
      <c r="B42" s="82"/>
      <c r="C42" s="82"/>
      <c r="D42" s="82"/>
      <c r="E42" s="82"/>
      <c r="F42" s="82"/>
      <c r="G42" s="82"/>
      <c r="H42" s="82"/>
      <c r="I42" s="82"/>
      <c r="J42" s="82"/>
      <c r="K42" s="82"/>
      <c r="L42" s="82"/>
      <c r="M42" s="82"/>
      <c r="N42" s="82"/>
      <c r="O42" s="82"/>
      <c r="P42" s="80"/>
      <c r="Q42" s="82"/>
      <c r="R42" s="82"/>
      <c r="S42" s="82"/>
      <c r="T42" s="82"/>
    </row>
    <row r="43" spans="1:20">
      <c r="A43" s="79"/>
      <c r="B43" s="82"/>
      <c r="C43" s="82"/>
      <c r="D43" s="82"/>
      <c r="E43" s="82"/>
      <c r="F43" s="82"/>
      <c r="G43" s="82"/>
      <c r="H43" s="82"/>
      <c r="I43" s="82"/>
      <c r="J43" s="82"/>
      <c r="K43" s="82"/>
      <c r="L43" s="82"/>
      <c r="M43" s="82"/>
      <c r="N43" s="82"/>
      <c r="O43" s="82"/>
      <c r="P43" s="80"/>
      <c r="Q43" s="82"/>
      <c r="R43" s="82"/>
      <c r="S43" s="82"/>
      <c r="T43" s="82"/>
    </row>
    <row r="44" spans="1:20">
      <c r="A44" s="79"/>
      <c r="B44" s="82"/>
      <c r="C44" s="82"/>
      <c r="D44" s="82"/>
      <c r="E44" s="82"/>
      <c r="F44" s="82"/>
      <c r="G44" s="82"/>
      <c r="H44" s="82"/>
      <c r="I44" s="82"/>
      <c r="J44" s="82"/>
      <c r="K44" s="82"/>
      <c r="L44" s="82"/>
      <c r="M44" s="82"/>
      <c r="N44" s="82"/>
      <c r="O44" s="82"/>
      <c r="P44" s="80"/>
      <c r="Q44" s="82"/>
      <c r="R44" s="82"/>
      <c r="S44" s="82"/>
      <c r="T44" s="82"/>
    </row>
    <row r="45" spans="1:20">
      <c r="A45" s="79"/>
      <c r="B45" s="82"/>
      <c r="C45" s="82"/>
      <c r="D45" s="82"/>
      <c r="E45" s="82"/>
      <c r="F45" s="82"/>
      <c r="G45" s="82"/>
      <c r="H45" s="82"/>
      <c r="I45" s="82"/>
      <c r="J45" s="82"/>
      <c r="K45" s="82"/>
      <c r="L45" s="82"/>
      <c r="M45" s="82"/>
      <c r="N45" s="82"/>
      <c r="O45" s="82"/>
      <c r="P45" s="80"/>
      <c r="Q45" s="82"/>
      <c r="R45" s="82"/>
      <c r="S45" s="82"/>
      <c r="T45" s="82"/>
    </row>
    <row r="46" spans="1:20">
      <c r="A46" s="79"/>
      <c r="B46" s="82"/>
      <c r="C46" s="82"/>
      <c r="D46" s="82"/>
      <c r="G46" s="82"/>
      <c r="H46" s="82"/>
      <c r="I46" s="82"/>
      <c r="J46" s="82"/>
      <c r="K46" s="82"/>
      <c r="L46" s="82"/>
      <c r="M46" s="82"/>
      <c r="N46" s="82"/>
      <c r="O46" s="82"/>
      <c r="P46" s="80"/>
      <c r="Q46" s="82"/>
      <c r="R46" s="82"/>
      <c r="S46" s="82"/>
      <c r="T46" s="82"/>
    </row>
  </sheetData>
  <mergeCells count="56">
    <mergeCell ref="K28:O28"/>
    <mergeCell ref="B1:O1"/>
    <mergeCell ref="E13:H13"/>
    <mergeCell ref="M6:N6"/>
    <mergeCell ref="M7:N7"/>
    <mergeCell ref="M5:N5"/>
    <mergeCell ref="K5:L5"/>
    <mergeCell ref="M10:N10"/>
    <mergeCell ref="M11:N11"/>
    <mergeCell ref="E7:H7"/>
    <mergeCell ref="K4:O4"/>
    <mergeCell ref="K6:L6"/>
    <mergeCell ref="K7:L7"/>
    <mergeCell ref="K8:L8"/>
    <mergeCell ref="K9:L9"/>
    <mergeCell ref="K10:L10"/>
    <mergeCell ref="B2:F2"/>
    <mergeCell ref="G2:O2"/>
    <mergeCell ref="M14:N14"/>
    <mergeCell ref="B3:H3"/>
    <mergeCell ref="E21:G21"/>
    <mergeCell ref="M15:N15"/>
    <mergeCell ref="K16:L16"/>
    <mergeCell ref="M8:N8"/>
    <mergeCell ref="M9:N9"/>
    <mergeCell ref="E14:G14"/>
    <mergeCell ref="E15:G15"/>
    <mergeCell ref="E16:G16"/>
    <mergeCell ref="E18:G18"/>
    <mergeCell ref="M16:N16"/>
    <mergeCell ref="K11:L11"/>
    <mergeCell ref="K12:L12"/>
    <mergeCell ref="K27:O27"/>
    <mergeCell ref="B14:C14"/>
    <mergeCell ref="K26:N26"/>
    <mergeCell ref="E19:G19"/>
    <mergeCell ref="E20:G20"/>
    <mergeCell ref="E17:G17"/>
    <mergeCell ref="H26:I26"/>
    <mergeCell ref="M17:N17"/>
    <mergeCell ref="M18:N18"/>
    <mergeCell ref="K17:L17"/>
    <mergeCell ref="K18:L18"/>
    <mergeCell ref="K15:L15"/>
    <mergeCell ref="M23:N23"/>
    <mergeCell ref="M24:N24"/>
    <mergeCell ref="M25:N25"/>
    <mergeCell ref="M12:N12"/>
    <mergeCell ref="M13:N13"/>
    <mergeCell ref="K13:L13"/>
    <mergeCell ref="K14:L14"/>
    <mergeCell ref="E22:H22"/>
    <mergeCell ref="M19:N19"/>
    <mergeCell ref="M20:N20"/>
    <mergeCell ref="M21:N21"/>
    <mergeCell ref="M22:N22"/>
  </mergeCells>
  <phoneticPr fontId="30" type="noConversion"/>
  <printOptions horizontalCentered="1" verticalCentered="1"/>
  <pageMargins left="0" right="0" top="0" bottom="0" header="0" footer="0"/>
  <pageSetup paperSize="5" scale="50" fitToWidth="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FAFA8-1D3A-4F6D-B16A-E3306DD85FFD}">
  <dimension ref="A1:AJ55"/>
  <sheetViews>
    <sheetView topLeftCell="A10" zoomScale="70" zoomScaleNormal="70" workbookViewId="0">
      <selection activeCell="Q31" sqref="Q31:AE47"/>
    </sheetView>
  </sheetViews>
  <sheetFormatPr baseColWidth="10" defaultRowHeight="15"/>
  <cols>
    <col min="1" max="1" width="3.140625" customWidth="1"/>
    <col min="2" max="2" width="4.5703125" customWidth="1"/>
    <col min="3" max="3" width="4.7109375" customWidth="1"/>
    <col min="4" max="4" width="5.140625" customWidth="1"/>
    <col min="5" max="5" width="4" customWidth="1"/>
    <col min="6" max="6" width="5.42578125" customWidth="1"/>
    <col min="7" max="7" width="7.5703125" customWidth="1"/>
    <col min="8" max="8" width="7.28515625" customWidth="1"/>
    <col min="9" max="9" width="8" customWidth="1"/>
    <col min="10" max="10" width="8.42578125" customWidth="1"/>
    <col min="11" max="11" width="3.85546875" customWidth="1"/>
    <col min="12" max="12" width="11" customWidth="1"/>
    <col min="13" max="13" width="5.140625" customWidth="1"/>
    <col min="14" max="14" width="4" customWidth="1"/>
    <col min="15" max="16" width="2.140625" customWidth="1"/>
    <col min="17" max="17" width="5.7109375" customWidth="1"/>
    <col min="18" max="18" width="14.5703125" customWidth="1"/>
    <col min="19" max="20" width="3.140625" customWidth="1"/>
    <col min="21" max="21" width="4.140625" customWidth="1"/>
    <col min="22" max="22" width="6.5703125" customWidth="1"/>
    <col min="23" max="23" width="3.5703125" customWidth="1"/>
    <col min="24" max="24" width="3.42578125" customWidth="1"/>
    <col min="25" max="25" width="7.5703125" customWidth="1"/>
    <col min="26" max="26" width="5.42578125" customWidth="1"/>
    <col min="27" max="27" width="3.42578125" customWidth="1"/>
    <col min="28" max="28" width="6.42578125" customWidth="1"/>
    <col min="29" max="29" width="3.7109375" customWidth="1"/>
    <col min="30" max="30" width="3.5703125" customWidth="1"/>
    <col min="31" max="31" width="7.28515625" customWidth="1"/>
    <col min="32" max="32" width="10.42578125" customWidth="1"/>
    <col min="33" max="33" width="4" customWidth="1"/>
    <col min="34" max="34" width="6.85546875" customWidth="1"/>
  </cols>
  <sheetData>
    <row r="1" spans="1:36" ht="21.75" thickBot="1">
      <c r="A1" s="929" t="s">
        <v>0</v>
      </c>
      <c r="B1" s="930"/>
      <c r="C1" s="930"/>
      <c r="D1" s="930"/>
      <c r="E1" s="930"/>
      <c r="F1" s="930"/>
      <c r="G1" s="930"/>
      <c r="H1" s="930"/>
      <c r="I1" s="930"/>
      <c r="J1" s="930"/>
      <c r="K1" s="930"/>
      <c r="L1" s="930"/>
      <c r="M1" s="930"/>
      <c r="N1" s="930"/>
      <c r="O1" s="930"/>
      <c r="P1" s="930"/>
      <c r="Q1" s="930"/>
      <c r="R1" s="930"/>
      <c r="S1" s="930"/>
      <c r="T1" s="930"/>
      <c r="U1" s="930"/>
      <c r="V1" s="930"/>
      <c r="W1" s="930"/>
      <c r="X1" s="930"/>
      <c r="Y1" s="930"/>
      <c r="Z1" s="930"/>
      <c r="AA1" s="930"/>
      <c r="AB1" s="930"/>
      <c r="AC1" s="930"/>
      <c r="AD1" s="930"/>
      <c r="AE1" s="930"/>
      <c r="AF1" s="930"/>
      <c r="AG1" s="930"/>
      <c r="AH1" s="930"/>
      <c r="AI1" s="931"/>
    </row>
    <row r="2" spans="1:36" ht="4.5" customHeight="1" thickBot="1">
      <c r="A2" s="949"/>
      <c r="B2" s="804"/>
      <c r="C2" s="804"/>
      <c r="D2" s="804"/>
      <c r="E2" s="804"/>
      <c r="F2" s="804"/>
      <c r="G2" s="804"/>
      <c r="H2" s="804"/>
      <c r="I2" s="804"/>
      <c r="J2" s="804"/>
      <c r="K2" s="804"/>
      <c r="L2" s="804"/>
      <c r="M2" s="804"/>
      <c r="N2" s="804"/>
      <c r="O2" s="804"/>
      <c r="P2" s="804"/>
      <c r="Q2" s="804"/>
      <c r="R2" s="804"/>
      <c r="S2" s="804"/>
      <c r="T2" s="804"/>
      <c r="U2" s="804"/>
      <c r="V2" s="804"/>
      <c r="W2" s="804"/>
      <c r="X2" s="804"/>
      <c r="Y2" s="804"/>
      <c r="Z2" s="804"/>
      <c r="AA2" s="804"/>
      <c r="AB2" s="804"/>
      <c r="AC2" s="804"/>
      <c r="AD2" s="804"/>
      <c r="AE2" s="804"/>
      <c r="AF2" s="804"/>
      <c r="AG2" s="804"/>
      <c r="AH2" s="804"/>
      <c r="AI2" s="805"/>
    </row>
    <row r="3" spans="1:36" ht="15.75">
      <c r="A3" s="965" t="s">
        <v>148</v>
      </c>
      <c r="B3" s="966"/>
      <c r="C3" s="966"/>
      <c r="D3" s="966"/>
      <c r="E3" s="966"/>
      <c r="F3" s="966"/>
      <c r="G3" s="966"/>
      <c r="H3" s="966"/>
      <c r="I3" s="966"/>
      <c r="J3" s="966"/>
      <c r="K3" s="966"/>
      <c r="L3" s="966"/>
      <c r="M3" s="966"/>
      <c r="N3" s="966"/>
      <c r="O3" s="966"/>
      <c r="P3" s="966"/>
      <c r="Q3" s="966"/>
      <c r="R3" s="966"/>
      <c r="S3" s="966"/>
      <c r="T3" s="966"/>
      <c r="U3" s="966"/>
      <c r="V3" s="966"/>
      <c r="W3" s="966"/>
      <c r="X3" s="966"/>
      <c r="Y3" s="966"/>
      <c r="Z3" s="966"/>
      <c r="AA3" s="966"/>
      <c r="AB3" s="966"/>
      <c r="AC3" s="966"/>
      <c r="AD3" s="966"/>
      <c r="AE3" s="966"/>
      <c r="AF3" s="966"/>
      <c r="AG3" s="966"/>
      <c r="AH3" s="966"/>
      <c r="AI3" s="967"/>
      <c r="AJ3" s="98"/>
    </row>
    <row r="4" spans="1:36" ht="19.5" customHeight="1" thickBot="1">
      <c r="A4" s="962" t="s">
        <v>149</v>
      </c>
      <c r="B4" s="963"/>
      <c r="C4" s="963"/>
      <c r="D4" s="963"/>
      <c r="E4" s="963"/>
      <c r="F4" s="963"/>
      <c r="G4" s="963"/>
      <c r="H4" s="963"/>
      <c r="I4" s="963"/>
      <c r="J4" s="963"/>
      <c r="K4" s="963"/>
      <c r="L4" s="963"/>
      <c r="M4" s="963"/>
      <c r="N4" s="963"/>
      <c r="O4" s="963"/>
      <c r="P4" s="963"/>
      <c r="Q4" s="963"/>
      <c r="R4" s="963"/>
      <c r="S4" s="963"/>
      <c r="T4" s="963"/>
      <c r="U4" s="963"/>
      <c r="V4" s="963"/>
      <c r="W4" s="963"/>
      <c r="X4" s="963"/>
      <c r="Y4" s="963"/>
      <c r="Z4" s="963"/>
      <c r="AA4" s="963"/>
      <c r="AB4" s="963"/>
      <c r="AC4" s="963"/>
      <c r="AD4" s="963"/>
      <c r="AE4" s="963"/>
      <c r="AF4" s="963"/>
      <c r="AG4" s="963"/>
      <c r="AH4" s="963"/>
      <c r="AI4" s="964"/>
    </row>
    <row r="5" spans="1:36" ht="11.25" customHeight="1" thickBot="1">
      <c r="A5" s="230"/>
      <c r="B5" s="104"/>
      <c r="D5" s="353"/>
      <c r="E5" s="353"/>
      <c r="F5" s="353"/>
      <c r="G5" s="353"/>
      <c r="H5" s="87"/>
      <c r="I5" s="355"/>
      <c r="J5" s="356"/>
      <c r="L5" s="355"/>
      <c r="M5" s="104"/>
      <c r="N5" s="356"/>
      <c r="P5" s="355"/>
      <c r="Q5" s="355"/>
      <c r="R5" s="355"/>
      <c r="S5" s="104"/>
      <c r="U5" s="355"/>
      <c r="V5" s="355"/>
      <c r="W5" s="356"/>
      <c r="X5" s="356"/>
      <c r="Y5" s="356"/>
      <c r="Z5" s="356"/>
      <c r="AA5" s="106"/>
      <c r="AB5" s="106"/>
      <c r="AC5" s="106"/>
      <c r="AD5" s="106"/>
      <c r="AE5" s="104"/>
      <c r="AF5" s="356"/>
      <c r="AH5" s="87"/>
      <c r="AI5" s="403"/>
    </row>
    <row r="6" spans="1:36" ht="9.75" customHeight="1">
      <c r="A6" s="136"/>
      <c r="C6" s="151"/>
      <c r="D6" s="124"/>
      <c r="E6" s="977" t="s">
        <v>155</v>
      </c>
      <c r="F6" s="978"/>
      <c r="G6" s="979"/>
      <c r="H6" s="354"/>
      <c r="I6" s="229"/>
      <c r="J6" s="950" t="s">
        <v>92</v>
      </c>
      <c r="K6" s="951"/>
      <c r="L6" s="952"/>
      <c r="M6" s="357"/>
      <c r="N6" s="229"/>
      <c r="O6" s="360"/>
      <c r="P6" s="360"/>
      <c r="Q6" s="971" t="s">
        <v>93</v>
      </c>
      <c r="R6" s="972"/>
      <c r="S6" s="358"/>
      <c r="T6" s="229"/>
      <c r="U6" s="360"/>
      <c r="V6" s="360"/>
      <c r="W6" s="950" t="s">
        <v>104</v>
      </c>
      <c r="X6" s="951"/>
      <c r="Y6" s="951"/>
      <c r="Z6" s="952"/>
      <c r="AA6" s="396"/>
      <c r="AB6" s="229"/>
      <c r="AC6" s="360"/>
      <c r="AD6" s="943" t="s">
        <v>94</v>
      </c>
      <c r="AE6" s="944"/>
      <c r="AF6" s="945"/>
      <c r="AG6" s="136"/>
      <c r="AH6" s="384"/>
      <c r="AI6" s="404"/>
    </row>
    <row r="7" spans="1:36" ht="15.75" customHeight="1">
      <c r="A7" s="136"/>
      <c r="B7" s="100"/>
      <c r="C7" s="23"/>
      <c r="E7" s="980"/>
      <c r="F7" s="981"/>
      <c r="G7" s="982"/>
      <c r="H7" s="354"/>
      <c r="I7" s="233"/>
      <c r="J7" s="968"/>
      <c r="K7" s="969"/>
      <c r="L7" s="970"/>
      <c r="M7" s="357"/>
      <c r="N7" s="233"/>
      <c r="O7" s="352"/>
      <c r="P7" s="359"/>
      <c r="Q7" s="873"/>
      <c r="R7" s="973"/>
      <c r="S7" s="358"/>
      <c r="T7" s="233"/>
      <c r="U7" s="352"/>
      <c r="V7" s="359"/>
      <c r="W7" s="953"/>
      <c r="X7" s="954"/>
      <c r="Y7" s="954"/>
      <c r="Z7" s="955"/>
      <c r="AA7" s="396"/>
      <c r="AB7" s="233"/>
      <c r="AC7" s="352"/>
      <c r="AD7" s="946"/>
      <c r="AE7" s="947"/>
      <c r="AF7" s="948"/>
      <c r="AG7" s="136"/>
      <c r="AH7" s="384"/>
      <c r="AI7" s="404"/>
    </row>
    <row r="8" spans="1:36" ht="12.75" customHeight="1">
      <c r="A8" s="136"/>
      <c r="B8" s="361"/>
      <c r="C8" s="206"/>
      <c r="E8" s="956">
        <v>64</v>
      </c>
      <c r="F8" s="957"/>
      <c r="G8" s="983"/>
      <c r="H8" s="152"/>
      <c r="I8" s="136"/>
      <c r="J8" s="79"/>
      <c r="K8" s="987">
        <v>16</v>
      </c>
      <c r="L8" s="988"/>
      <c r="M8" s="357"/>
      <c r="N8" s="136"/>
      <c r="O8" s="79"/>
      <c r="P8" s="956">
        <v>10</v>
      </c>
      <c r="Q8" s="957"/>
      <c r="R8" s="958"/>
      <c r="S8" s="358"/>
      <c r="T8" s="136"/>
      <c r="U8" s="79"/>
      <c r="V8" s="956">
        <v>38</v>
      </c>
      <c r="W8" s="957"/>
      <c r="X8" s="957"/>
      <c r="Y8" s="957"/>
      <c r="Z8" s="958"/>
      <c r="AA8" s="397"/>
      <c r="AB8" s="136"/>
      <c r="AC8" s="79"/>
      <c r="AD8" s="956">
        <v>20</v>
      </c>
      <c r="AE8" s="957"/>
      <c r="AF8" s="958"/>
      <c r="AG8" s="136"/>
      <c r="AH8" s="385"/>
      <c r="AI8" s="232"/>
    </row>
    <row r="9" spans="1:36" ht="13.5" customHeight="1" thickBot="1">
      <c r="A9" s="230"/>
      <c r="B9" s="100"/>
      <c r="C9" s="144"/>
      <c r="D9" s="350"/>
      <c r="E9" s="984"/>
      <c r="F9" s="985"/>
      <c r="G9" s="986"/>
      <c r="I9" s="137"/>
      <c r="J9" s="351"/>
      <c r="K9" s="989"/>
      <c r="L9" s="990"/>
      <c r="M9" s="358"/>
      <c r="N9" s="137"/>
      <c r="O9" s="351"/>
      <c r="P9" s="959"/>
      <c r="Q9" s="960"/>
      <c r="R9" s="961"/>
      <c r="S9" s="358"/>
      <c r="T9" s="137"/>
      <c r="U9" s="351"/>
      <c r="V9" s="959"/>
      <c r="W9" s="960"/>
      <c r="X9" s="960"/>
      <c r="Y9" s="960"/>
      <c r="Z9" s="961"/>
      <c r="AA9" s="397"/>
      <c r="AB9" s="137"/>
      <c r="AC9" s="351"/>
      <c r="AD9" s="959"/>
      <c r="AE9" s="960"/>
      <c r="AF9" s="961"/>
      <c r="AG9" s="398"/>
      <c r="AH9" s="385"/>
      <c r="AI9" s="165"/>
    </row>
    <row r="10" spans="1:36" ht="13.5" customHeight="1" thickBot="1">
      <c r="A10" s="136"/>
      <c r="B10" s="103"/>
      <c r="C10" s="107"/>
      <c r="D10" s="106"/>
      <c r="E10" s="433"/>
      <c r="F10" s="433"/>
      <c r="G10" s="433"/>
      <c r="H10" s="82"/>
      <c r="I10" s="164"/>
      <c r="K10" s="432"/>
      <c r="L10" s="432"/>
      <c r="M10" s="80"/>
      <c r="N10" s="431"/>
      <c r="O10" s="164"/>
      <c r="P10" s="429"/>
      <c r="Q10" s="427"/>
      <c r="R10" s="437"/>
      <c r="S10" s="103"/>
      <c r="T10" s="410"/>
      <c r="U10" s="363"/>
      <c r="V10" s="438"/>
      <c r="W10" s="427"/>
      <c r="X10" s="437"/>
      <c r="Y10" s="438"/>
      <c r="Z10" s="438"/>
      <c r="AA10" s="428"/>
      <c r="AB10" s="363"/>
      <c r="AD10" s="438"/>
      <c r="AE10" s="438"/>
      <c r="AF10" s="427"/>
      <c r="AG10" s="90"/>
      <c r="AH10" s="439"/>
      <c r="AI10" s="165"/>
    </row>
    <row r="11" spans="1:36" ht="26.25" customHeight="1" thickBot="1">
      <c r="A11" s="301"/>
      <c r="B11" s="148"/>
      <c r="C11" s="148"/>
      <c r="D11" s="148"/>
      <c r="E11" s="350"/>
      <c r="F11" s="148"/>
      <c r="G11" s="350"/>
      <c r="H11" s="148"/>
      <c r="I11" s="350"/>
      <c r="J11" s="148"/>
      <c r="K11" s="148"/>
      <c r="L11" s="148"/>
      <c r="M11" s="148"/>
      <c r="N11" s="148"/>
      <c r="O11" s="82"/>
      <c r="Q11" s="896" t="s">
        <v>163</v>
      </c>
      <c r="R11" s="897"/>
      <c r="S11" s="897"/>
      <c r="T11" s="897"/>
      <c r="U11" s="897"/>
      <c r="V11" s="897"/>
      <c r="W11" s="897"/>
      <c r="X11" s="897"/>
      <c r="Y11" s="897"/>
      <c r="Z11" s="897"/>
      <c r="AA11" s="897"/>
      <c r="AB11" s="897"/>
      <c r="AC11" s="897"/>
      <c r="AD11" s="897"/>
      <c r="AE11" s="897"/>
      <c r="AF11" s="436">
        <v>2025</v>
      </c>
      <c r="AG11" s="447"/>
      <c r="AH11" s="430"/>
      <c r="AI11" s="404"/>
    </row>
    <row r="12" spans="1:36" ht="15" customHeight="1">
      <c r="A12" s="405"/>
      <c r="B12" s="910" t="s">
        <v>150</v>
      </c>
      <c r="C12" s="911"/>
      <c r="D12" s="911"/>
      <c r="E12" s="912"/>
      <c r="F12" s="900" t="s">
        <v>151</v>
      </c>
      <c r="G12" s="901"/>
      <c r="H12" s="901"/>
      <c r="I12" s="901"/>
      <c r="J12" s="901"/>
      <c r="K12" s="901"/>
      <c r="L12" s="901"/>
      <c r="M12" s="900" t="s">
        <v>88</v>
      </c>
      <c r="N12" s="904"/>
      <c r="O12" s="364"/>
      <c r="P12" s="79"/>
      <c r="Q12" s="434"/>
      <c r="R12" s="435"/>
      <c r="S12" s="425">
        <v>0</v>
      </c>
      <c r="T12" s="426">
        <v>1</v>
      </c>
      <c r="U12" s="426">
        <v>2</v>
      </c>
      <c r="V12" s="425">
        <v>3</v>
      </c>
      <c r="W12" s="426">
        <v>4</v>
      </c>
      <c r="X12" s="426">
        <v>5</v>
      </c>
      <c r="Y12" s="425">
        <v>6</v>
      </c>
      <c r="Z12" s="426">
        <v>7</v>
      </c>
      <c r="AA12" s="426">
        <v>8</v>
      </c>
      <c r="AB12" s="425">
        <v>9</v>
      </c>
      <c r="AC12" s="426">
        <v>10</v>
      </c>
      <c r="AD12" s="426">
        <v>11</v>
      </c>
      <c r="AE12" s="425">
        <v>12</v>
      </c>
      <c r="AF12" s="443">
        <v>13</v>
      </c>
      <c r="AG12" s="412"/>
      <c r="AH12" s="448"/>
      <c r="AI12" s="232"/>
    </row>
    <row r="13" spans="1:36" ht="15.75" customHeight="1" thickBot="1">
      <c r="A13" s="230"/>
      <c r="B13" s="913"/>
      <c r="C13" s="914"/>
      <c r="D13" s="914"/>
      <c r="E13" s="915"/>
      <c r="F13" s="902"/>
      <c r="G13" s="903"/>
      <c r="H13" s="903"/>
      <c r="I13" s="903"/>
      <c r="J13" s="903"/>
      <c r="K13" s="903"/>
      <c r="L13" s="903"/>
      <c r="M13" s="905"/>
      <c r="N13" s="906"/>
      <c r="O13" s="364"/>
      <c r="P13" s="79"/>
      <c r="Q13" s="419"/>
      <c r="R13" s="409"/>
      <c r="S13" s="424">
        <f>IF(INT($J$18*14/64 - S$12) = 0,$J$18, INT($J$18*14/64 - S$12))</f>
        <v>5</v>
      </c>
      <c r="T13" s="424">
        <f t="shared" ref="T13:AF13" si="0">IF(INT($J$18*14/64 - T$12) = 0,$J$18, INT($J$18*14/64 - T$12))</f>
        <v>4</v>
      </c>
      <c r="U13" s="424">
        <f t="shared" si="0"/>
        <v>3</v>
      </c>
      <c r="V13" s="424">
        <f t="shared" si="0"/>
        <v>2</v>
      </c>
      <c r="W13" s="424">
        <f t="shared" si="0"/>
        <v>1</v>
      </c>
      <c r="X13" s="424">
        <f t="shared" si="0"/>
        <v>25</v>
      </c>
      <c r="Y13" s="424">
        <f t="shared" si="0"/>
        <v>-1</v>
      </c>
      <c r="Z13" s="424">
        <f t="shared" si="0"/>
        <v>-2</v>
      </c>
      <c r="AA13" s="424">
        <f t="shared" si="0"/>
        <v>-3</v>
      </c>
      <c r="AB13" s="424">
        <f t="shared" si="0"/>
        <v>-4</v>
      </c>
      <c r="AC13" s="424">
        <f t="shared" si="0"/>
        <v>-5</v>
      </c>
      <c r="AD13" s="424">
        <f t="shared" si="0"/>
        <v>-6</v>
      </c>
      <c r="AE13" s="424">
        <f t="shared" si="0"/>
        <v>-7</v>
      </c>
      <c r="AF13" s="442">
        <f t="shared" si="0"/>
        <v>-8</v>
      </c>
      <c r="AG13" s="409"/>
      <c r="AH13" s="448"/>
      <c r="AI13" s="404"/>
    </row>
    <row r="14" spans="1:36" ht="13.5" customHeight="1">
      <c r="A14" s="405"/>
      <c r="B14" s="913"/>
      <c r="C14" s="914"/>
      <c r="D14" s="914"/>
      <c r="E14" s="915"/>
      <c r="F14" s="919" t="s">
        <v>152</v>
      </c>
      <c r="G14" s="920"/>
      <c r="H14" s="923" t="s">
        <v>153</v>
      </c>
      <c r="I14" s="924"/>
      <c r="J14" s="927" t="s">
        <v>154</v>
      </c>
      <c r="K14" s="928"/>
      <c r="L14" s="928"/>
      <c r="M14" s="905"/>
      <c r="N14" s="906"/>
      <c r="O14" s="364"/>
      <c r="P14" s="79"/>
      <c r="Q14" s="419"/>
      <c r="R14" s="413" t="s">
        <v>104</v>
      </c>
      <c r="S14" s="422">
        <f>IF(INT($H$18*14/64 - S$12) = 0,$H$18, INT($H$18*14/64 - S$12))</f>
        <v>8</v>
      </c>
      <c r="T14" s="422">
        <f t="shared" ref="T14:AF14" si="1">IF(INT($H$18*14/64 - T$12) = 0,$H$18, INT($H$18*14/64 - T$12))</f>
        <v>7</v>
      </c>
      <c r="U14" s="422">
        <f t="shared" si="1"/>
        <v>6</v>
      </c>
      <c r="V14" s="422">
        <f t="shared" si="1"/>
        <v>5</v>
      </c>
      <c r="W14" s="422">
        <f t="shared" si="1"/>
        <v>4</v>
      </c>
      <c r="X14" s="422">
        <f t="shared" si="1"/>
        <v>3</v>
      </c>
      <c r="Y14" s="422">
        <f t="shared" si="1"/>
        <v>2</v>
      </c>
      <c r="Z14" s="422">
        <f t="shared" si="1"/>
        <v>1</v>
      </c>
      <c r="AA14" s="422">
        <f t="shared" si="1"/>
        <v>38</v>
      </c>
      <c r="AB14" s="422">
        <f t="shared" si="1"/>
        <v>-1</v>
      </c>
      <c r="AC14" s="422">
        <f t="shared" si="1"/>
        <v>-2</v>
      </c>
      <c r="AD14" s="422">
        <f t="shared" si="1"/>
        <v>-3</v>
      </c>
      <c r="AE14" s="422">
        <f t="shared" si="1"/>
        <v>-4</v>
      </c>
      <c r="AF14" s="422">
        <f t="shared" si="1"/>
        <v>-5</v>
      </c>
      <c r="AG14" s="409"/>
      <c r="AH14" s="448"/>
      <c r="AI14" s="404"/>
    </row>
    <row r="15" spans="1:36" ht="15" customHeight="1">
      <c r="A15" s="405"/>
      <c r="B15" s="916"/>
      <c r="C15" s="917"/>
      <c r="D15" s="917"/>
      <c r="E15" s="918"/>
      <c r="F15" s="921"/>
      <c r="G15" s="922"/>
      <c r="H15" s="925"/>
      <c r="I15" s="926"/>
      <c r="J15" s="927"/>
      <c r="K15" s="928"/>
      <c r="L15" s="928"/>
      <c r="M15" s="905"/>
      <c r="N15" s="906"/>
      <c r="P15" s="79"/>
      <c r="Q15" s="419"/>
      <c r="R15" s="409"/>
      <c r="S15" s="424">
        <f>IF(INT($F$18*14/64 - S$12) = 0,$F$18, INT($F$18*14/64 - S$12))</f>
        <v>2</v>
      </c>
      <c r="T15" s="424">
        <f t="shared" ref="T15:AF15" si="2">IF(INT($F$18*14/64 - T$12) = 0,$F$18, INT($F$18*14/64 - T$12))</f>
        <v>1</v>
      </c>
      <c r="U15" s="424">
        <f t="shared" si="2"/>
        <v>10</v>
      </c>
      <c r="V15" s="424">
        <f t="shared" si="2"/>
        <v>-1</v>
      </c>
      <c r="W15" s="424">
        <f t="shared" si="2"/>
        <v>-2</v>
      </c>
      <c r="X15" s="424">
        <f t="shared" si="2"/>
        <v>-3</v>
      </c>
      <c r="Y15" s="424">
        <f t="shared" si="2"/>
        <v>-4</v>
      </c>
      <c r="Z15" s="424">
        <f t="shared" si="2"/>
        <v>-5</v>
      </c>
      <c r="AA15" s="424">
        <f t="shared" si="2"/>
        <v>-6</v>
      </c>
      <c r="AB15" s="424">
        <f t="shared" si="2"/>
        <v>-7</v>
      </c>
      <c r="AC15" s="424">
        <f t="shared" si="2"/>
        <v>-8</v>
      </c>
      <c r="AD15" s="424">
        <f t="shared" si="2"/>
        <v>-9</v>
      </c>
      <c r="AE15" s="424">
        <f t="shared" si="2"/>
        <v>-10</v>
      </c>
      <c r="AF15" s="442">
        <f t="shared" si="2"/>
        <v>-11</v>
      </c>
      <c r="AG15" s="409"/>
      <c r="AH15" s="448"/>
      <c r="AI15" s="232"/>
    </row>
    <row r="16" spans="1:36" ht="15.75">
      <c r="A16" s="230"/>
      <c r="B16" s="907" t="s">
        <v>92</v>
      </c>
      <c r="C16" s="908"/>
      <c r="D16" s="908"/>
      <c r="E16" s="908"/>
      <c r="F16" s="795">
        <v>2</v>
      </c>
      <c r="G16" s="795"/>
      <c r="H16" s="795">
        <v>14</v>
      </c>
      <c r="I16" s="795"/>
      <c r="J16" s="795">
        <v>0</v>
      </c>
      <c r="K16" s="795"/>
      <c r="L16" s="795"/>
      <c r="M16" s="795">
        <v>16</v>
      </c>
      <c r="N16" s="909"/>
      <c r="O16" s="364"/>
      <c r="P16" s="79"/>
      <c r="Q16" s="419"/>
      <c r="R16" s="409"/>
      <c r="S16" s="414"/>
      <c r="T16" s="409"/>
      <c r="U16" s="409"/>
      <c r="V16" s="409"/>
      <c r="W16" s="415"/>
      <c r="X16" s="409"/>
      <c r="Y16" s="409"/>
      <c r="Z16" s="409"/>
      <c r="AA16" s="409"/>
      <c r="AB16" s="409"/>
      <c r="AC16" s="409"/>
      <c r="AD16" s="409"/>
      <c r="AE16" s="409"/>
      <c r="AF16" s="441"/>
      <c r="AG16" s="409"/>
      <c r="AH16" s="448"/>
      <c r="AI16" s="404"/>
    </row>
    <row r="17" spans="1:36" ht="15.75">
      <c r="A17" s="405"/>
      <c r="B17" s="907" t="s">
        <v>93</v>
      </c>
      <c r="C17" s="908"/>
      <c r="D17" s="908"/>
      <c r="E17" s="908"/>
      <c r="F17" s="795">
        <v>0</v>
      </c>
      <c r="G17" s="795"/>
      <c r="H17" s="795">
        <v>10</v>
      </c>
      <c r="I17" s="795"/>
      <c r="J17" s="795">
        <v>0</v>
      </c>
      <c r="K17" s="795"/>
      <c r="L17" s="795"/>
      <c r="M17" s="795">
        <v>10</v>
      </c>
      <c r="N17" s="909"/>
      <c r="O17" s="116"/>
      <c r="P17" s="79"/>
      <c r="Q17" s="416"/>
      <c r="R17" s="421"/>
      <c r="S17" s="424">
        <f>IF(INT($J$17*14/64 - S$12) = 0,$J$17, INT($J$17*14/64 - S$12))</f>
        <v>0</v>
      </c>
      <c r="T17" s="424">
        <f t="shared" ref="T17:AF17" si="3">IF(INT($J$17*14/64 - T$12) = 0,$J$17, INT($J$17*14/64 - T$12))</f>
        <v>-1</v>
      </c>
      <c r="U17" s="424">
        <f t="shared" si="3"/>
        <v>-2</v>
      </c>
      <c r="V17" s="424">
        <f t="shared" si="3"/>
        <v>-3</v>
      </c>
      <c r="W17" s="424">
        <f t="shared" si="3"/>
        <v>-4</v>
      </c>
      <c r="X17" s="424">
        <f t="shared" si="3"/>
        <v>-5</v>
      </c>
      <c r="Y17" s="424">
        <f t="shared" si="3"/>
        <v>-6</v>
      </c>
      <c r="Z17" s="424">
        <f t="shared" si="3"/>
        <v>-7</v>
      </c>
      <c r="AA17" s="424">
        <f t="shared" si="3"/>
        <v>-8</v>
      </c>
      <c r="AB17" s="424">
        <f t="shared" si="3"/>
        <v>-9</v>
      </c>
      <c r="AC17" s="424">
        <f t="shared" si="3"/>
        <v>-10</v>
      </c>
      <c r="AD17" s="424">
        <f t="shared" si="3"/>
        <v>-11</v>
      </c>
      <c r="AE17" s="424">
        <f t="shared" si="3"/>
        <v>-12</v>
      </c>
      <c r="AF17" s="442">
        <f t="shared" si="3"/>
        <v>-13</v>
      </c>
      <c r="AG17" s="409"/>
      <c r="AH17" s="448"/>
      <c r="AI17" s="232"/>
    </row>
    <row r="18" spans="1:36" ht="16.5" thickBot="1">
      <c r="A18" s="230"/>
      <c r="B18" s="991" t="s">
        <v>104</v>
      </c>
      <c r="C18" s="992"/>
      <c r="D18" s="992"/>
      <c r="E18" s="992"/>
      <c r="F18" s="898">
        <v>10</v>
      </c>
      <c r="G18" s="898"/>
      <c r="H18" s="898">
        <v>38</v>
      </c>
      <c r="I18" s="898"/>
      <c r="J18" s="974">
        <v>25</v>
      </c>
      <c r="K18" s="975"/>
      <c r="L18" s="976"/>
      <c r="M18" s="898">
        <v>38</v>
      </c>
      <c r="N18" s="899"/>
      <c r="O18" s="155"/>
      <c r="P18" s="81"/>
      <c r="Q18" s="419"/>
      <c r="R18" s="420" t="s">
        <v>93</v>
      </c>
      <c r="S18" s="422">
        <f>IF(INT($H$17*14/64 - S$12) = 0,$H$17, INT($H$17*14/64 - S$12))</f>
        <v>2</v>
      </c>
      <c r="T18" s="422">
        <f t="shared" ref="T18:AF18" si="4">IF(INT($H$17*14/64 - T$12) = 0,$H$17, INT($H$17*14/64 - T$12))</f>
        <v>1</v>
      </c>
      <c r="U18" s="422">
        <f t="shared" si="4"/>
        <v>10</v>
      </c>
      <c r="V18" s="422">
        <f t="shared" si="4"/>
        <v>-1</v>
      </c>
      <c r="W18" s="422">
        <f t="shared" si="4"/>
        <v>-2</v>
      </c>
      <c r="X18" s="422">
        <f t="shared" si="4"/>
        <v>-3</v>
      </c>
      <c r="Y18" s="422">
        <f t="shared" si="4"/>
        <v>-4</v>
      </c>
      <c r="Z18" s="422">
        <f t="shared" si="4"/>
        <v>-5</v>
      </c>
      <c r="AA18" s="422">
        <f t="shared" si="4"/>
        <v>-6</v>
      </c>
      <c r="AB18" s="422">
        <f t="shared" si="4"/>
        <v>-7</v>
      </c>
      <c r="AC18" s="422">
        <f t="shared" si="4"/>
        <v>-8</v>
      </c>
      <c r="AD18" s="422">
        <f t="shared" si="4"/>
        <v>-9</v>
      </c>
      <c r="AE18" s="422">
        <f t="shared" si="4"/>
        <v>-10</v>
      </c>
      <c r="AF18" s="422">
        <f t="shared" si="4"/>
        <v>-11</v>
      </c>
      <c r="AG18" s="409"/>
      <c r="AH18" s="448"/>
      <c r="AI18" s="232"/>
    </row>
    <row r="19" spans="1:36" ht="14.25" customHeight="1">
      <c r="A19" s="233"/>
      <c r="B19" s="125"/>
      <c r="C19" s="362"/>
      <c r="D19" s="362"/>
      <c r="E19" s="362"/>
      <c r="F19" s="107"/>
      <c r="G19" s="107"/>
      <c r="I19" s="362"/>
      <c r="J19" s="107"/>
      <c r="K19" s="362"/>
      <c r="L19" s="362"/>
      <c r="M19" s="107"/>
      <c r="N19" s="124"/>
      <c r="O19" s="82"/>
      <c r="P19" s="79"/>
      <c r="Q19" s="419"/>
      <c r="R19" s="10"/>
      <c r="S19" s="424">
        <f>IF(INT($F$17*14/64 - S$12) = 0,$F$17, INT($F$17*14/64 - S$12))</f>
        <v>0</v>
      </c>
      <c r="T19" s="424">
        <f t="shared" ref="T19:AF19" si="5">IF(INT($F$17*14/64 - T$12) = 0,$F$17, INT($F$17*14/64 - T$12))</f>
        <v>-1</v>
      </c>
      <c r="U19" s="424">
        <f t="shared" si="5"/>
        <v>-2</v>
      </c>
      <c r="V19" s="424">
        <f t="shared" si="5"/>
        <v>-3</v>
      </c>
      <c r="W19" s="424">
        <f t="shared" si="5"/>
        <v>-4</v>
      </c>
      <c r="X19" s="424">
        <f t="shared" si="5"/>
        <v>-5</v>
      </c>
      <c r="Y19" s="424">
        <f t="shared" si="5"/>
        <v>-6</v>
      </c>
      <c r="Z19" s="424">
        <f t="shared" si="5"/>
        <v>-7</v>
      </c>
      <c r="AA19" s="424">
        <f t="shared" si="5"/>
        <v>-8</v>
      </c>
      <c r="AB19" s="424">
        <f t="shared" si="5"/>
        <v>-9</v>
      </c>
      <c r="AC19" s="424">
        <f t="shared" si="5"/>
        <v>-10</v>
      </c>
      <c r="AD19" s="424">
        <f t="shared" si="5"/>
        <v>-11</v>
      </c>
      <c r="AE19" s="424">
        <f t="shared" si="5"/>
        <v>-12</v>
      </c>
      <c r="AF19" s="442">
        <f t="shared" si="5"/>
        <v>-13</v>
      </c>
      <c r="AG19" s="409"/>
      <c r="AH19" s="448"/>
      <c r="AI19" s="404"/>
    </row>
    <row r="20" spans="1:36">
      <c r="A20" s="230"/>
      <c r="B20" s="82"/>
      <c r="C20" s="82"/>
      <c r="D20" s="82"/>
      <c r="E20" s="82"/>
      <c r="F20" s="82"/>
      <c r="G20" s="82"/>
      <c r="H20" s="82"/>
      <c r="I20" s="82"/>
      <c r="J20" s="82"/>
      <c r="K20" s="82"/>
      <c r="L20" s="82"/>
      <c r="M20" s="82"/>
      <c r="N20" s="82"/>
      <c r="O20" s="80"/>
      <c r="P20" s="79"/>
      <c r="Q20" s="416"/>
      <c r="R20" s="10"/>
      <c r="S20" s="409"/>
      <c r="T20" s="409"/>
      <c r="U20" s="409"/>
      <c r="V20" s="409"/>
      <c r="W20" s="409"/>
      <c r="X20" s="409"/>
      <c r="Y20" s="409"/>
      <c r="Z20" s="409"/>
      <c r="AA20" s="409"/>
      <c r="AB20" s="409"/>
      <c r="AC20" s="409"/>
      <c r="AD20" s="409"/>
      <c r="AE20" s="409"/>
      <c r="AF20" s="441"/>
      <c r="AG20" s="409"/>
      <c r="AH20" s="448"/>
      <c r="AI20" s="406"/>
    </row>
    <row r="21" spans="1:36">
      <c r="A21" s="136"/>
      <c r="B21" s="82"/>
      <c r="C21" s="82"/>
      <c r="D21" s="82"/>
      <c r="E21" s="82"/>
      <c r="F21" s="82"/>
      <c r="G21" s="82"/>
      <c r="H21" s="82"/>
      <c r="I21" s="82"/>
      <c r="J21" s="82"/>
      <c r="K21" s="82"/>
      <c r="L21" s="82"/>
      <c r="M21" s="82"/>
      <c r="N21" s="82"/>
      <c r="O21" s="83"/>
      <c r="P21" s="103"/>
      <c r="Q21" s="418"/>
      <c r="R21" s="408"/>
      <c r="S21" s="423">
        <f>IF(INT($J$16*14/64 - S$12) = 0,$J$16, INT($J$16*14/64 - S$12))</f>
        <v>0</v>
      </c>
      <c r="T21" s="423">
        <f t="shared" ref="T21:AF21" si="6">IF(INT($J$16*14/64 - T$12) = 0,$J$16, INT($J$16*14/64 - T$12))</f>
        <v>-1</v>
      </c>
      <c r="U21" s="423">
        <f t="shared" si="6"/>
        <v>-2</v>
      </c>
      <c r="V21" s="423">
        <f t="shared" si="6"/>
        <v>-3</v>
      </c>
      <c r="W21" s="423">
        <f t="shared" si="6"/>
        <v>-4</v>
      </c>
      <c r="X21" s="423">
        <f t="shared" si="6"/>
        <v>-5</v>
      </c>
      <c r="Y21" s="423">
        <f t="shared" si="6"/>
        <v>-6</v>
      </c>
      <c r="Z21" s="423">
        <f t="shared" si="6"/>
        <v>-7</v>
      </c>
      <c r="AA21" s="423">
        <f t="shared" si="6"/>
        <v>-8</v>
      </c>
      <c r="AB21" s="423">
        <f t="shared" si="6"/>
        <v>-9</v>
      </c>
      <c r="AC21" s="423">
        <f t="shared" si="6"/>
        <v>-10</v>
      </c>
      <c r="AD21" s="423">
        <f t="shared" si="6"/>
        <v>-11</v>
      </c>
      <c r="AE21" s="423">
        <f t="shared" si="6"/>
        <v>-12</v>
      </c>
      <c r="AF21" s="444">
        <f t="shared" si="6"/>
        <v>-13</v>
      </c>
      <c r="AG21" s="409"/>
      <c r="AH21" s="448"/>
      <c r="AI21" s="349"/>
    </row>
    <row r="22" spans="1:36" ht="15.75">
      <c r="A22" s="302"/>
      <c r="B22" s="82"/>
      <c r="C22" s="82"/>
      <c r="D22" s="82"/>
      <c r="E22" s="82"/>
      <c r="F22" s="82"/>
      <c r="G22" s="82"/>
      <c r="H22" s="82"/>
      <c r="I22" s="82"/>
      <c r="J22" s="82"/>
      <c r="K22" s="82"/>
      <c r="L22" s="82"/>
      <c r="M22" s="82"/>
      <c r="N22" s="82"/>
      <c r="O22" s="80"/>
      <c r="P22" s="79"/>
      <c r="Q22" s="419"/>
      <c r="R22" s="420" t="s">
        <v>92</v>
      </c>
      <c r="S22" s="422">
        <f>IF(INT($H$16*14/64 - S$12) = 0,$H$16, INT($H$16*14/64 - S$12))</f>
        <v>3</v>
      </c>
      <c r="T22" s="422">
        <f t="shared" ref="T22:AF22" si="7">IF(INT($H$16*14/64 - T$12) = 0,$H$16, INT($H$16*14/64 - T$12))</f>
        <v>2</v>
      </c>
      <c r="U22" s="422">
        <f t="shared" si="7"/>
        <v>1</v>
      </c>
      <c r="V22" s="422">
        <f t="shared" si="7"/>
        <v>14</v>
      </c>
      <c r="W22" s="422">
        <f t="shared" si="7"/>
        <v>-1</v>
      </c>
      <c r="X22" s="422">
        <f t="shared" si="7"/>
        <v>-2</v>
      </c>
      <c r="Y22" s="422">
        <f t="shared" si="7"/>
        <v>-3</v>
      </c>
      <c r="Z22" s="422">
        <f t="shared" si="7"/>
        <v>-4</v>
      </c>
      <c r="AA22" s="422">
        <f t="shared" si="7"/>
        <v>-5</v>
      </c>
      <c r="AB22" s="422">
        <f t="shared" si="7"/>
        <v>-6</v>
      </c>
      <c r="AC22" s="422">
        <f t="shared" si="7"/>
        <v>-7</v>
      </c>
      <c r="AD22" s="422">
        <f t="shared" si="7"/>
        <v>-8</v>
      </c>
      <c r="AE22" s="422">
        <f t="shared" si="7"/>
        <v>-9</v>
      </c>
      <c r="AF22" s="422">
        <f t="shared" si="7"/>
        <v>-10</v>
      </c>
      <c r="AG22" s="409"/>
      <c r="AH22" s="448"/>
      <c r="AI22" s="232"/>
    </row>
    <row r="23" spans="1:36" ht="15.75">
      <c r="A23" s="136"/>
      <c r="B23" s="82"/>
      <c r="C23" s="82"/>
      <c r="D23" s="82"/>
      <c r="E23" s="82"/>
      <c r="F23" s="82"/>
      <c r="G23" s="82"/>
      <c r="H23" s="82"/>
      <c r="I23" s="82"/>
      <c r="J23" s="82"/>
      <c r="K23" s="82"/>
      <c r="L23" s="82"/>
      <c r="M23" s="82"/>
      <c r="N23" s="82"/>
      <c r="O23" s="80"/>
      <c r="P23" s="79"/>
      <c r="Q23" s="419"/>
      <c r="R23" s="409"/>
      <c r="S23" s="424">
        <f>IF(INT($F$16*14/64 - S$12) = 0,$F$16, INT($F$16*14/64 - S$12))</f>
        <v>2</v>
      </c>
      <c r="T23" s="424">
        <f t="shared" ref="T23:AF23" si="8">IF(INT($F$16*14/64 - T$12) = 0,$F$16, INT($F$16*14/64 - T$12))</f>
        <v>-1</v>
      </c>
      <c r="U23" s="424">
        <f t="shared" si="8"/>
        <v>-2</v>
      </c>
      <c r="V23" s="424">
        <f t="shared" si="8"/>
        <v>-3</v>
      </c>
      <c r="W23" s="424">
        <f t="shared" si="8"/>
        <v>-4</v>
      </c>
      <c r="X23" s="424">
        <f t="shared" si="8"/>
        <v>-5</v>
      </c>
      <c r="Y23" s="424">
        <f t="shared" si="8"/>
        <v>-6</v>
      </c>
      <c r="Z23" s="424">
        <f t="shared" si="8"/>
        <v>-7</v>
      </c>
      <c r="AA23" s="424">
        <f t="shared" si="8"/>
        <v>-8</v>
      </c>
      <c r="AB23" s="424">
        <f t="shared" si="8"/>
        <v>-9</v>
      </c>
      <c r="AC23" s="424">
        <f t="shared" si="8"/>
        <v>-10</v>
      </c>
      <c r="AD23" s="424">
        <f t="shared" si="8"/>
        <v>-11</v>
      </c>
      <c r="AE23" s="424">
        <f t="shared" si="8"/>
        <v>-12</v>
      </c>
      <c r="AF23" s="424">
        <f t="shared" si="8"/>
        <v>-13</v>
      </c>
      <c r="AG23" s="409"/>
      <c r="AH23" s="448"/>
      <c r="AI23" s="232"/>
    </row>
    <row r="24" spans="1:36">
      <c r="A24" s="136"/>
      <c r="B24" s="82"/>
      <c r="C24" s="82"/>
      <c r="D24" s="82"/>
      <c r="E24" s="82"/>
      <c r="F24" s="82"/>
      <c r="G24" s="82"/>
      <c r="H24" s="82"/>
      <c r="I24" s="82"/>
      <c r="J24" s="82"/>
      <c r="K24" s="82"/>
      <c r="L24" s="82"/>
      <c r="M24" s="82"/>
      <c r="N24" s="82"/>
      <c r="O24" s="80"/>
      <c r="P24" s="103"/>
      <c r="Q24" s="419"/>
      <c r="R24" s="409"/>
      <c r="S24" s="446"/>
      <c r="T24" s="446"/>
      <c r="U24" s="446"/>
      <c r="V24" s="446"/>
      <c r="W24" s="446"/>
      <c r="X24" s="446"/>
      <c r="Y24" s="446"/>
      <c r="Z24" s="446"/>
      <c r="AA24" s="446"/>
      <c r="AB24" s="446"/>
      <c r="AC24" s="446"/>
      <c r="AD24" s="446"/>
      <c r="AE24" s="446"/>
      <c r="AF24" s="414"/>
      <c r="AG24" s="409"/>
      <c r="AH24" s="448"/>
      <c r="AI24" s="404"/>
    </row>
    <row r="25" spans="1:36" ht="15.75" thickBot="1">
      <c r="A25" s="136"/>
      <c r="B25" s="82"/>
      <c r="C25" s="82"/>
      <c r="D25" s="82"/>
      <c r="E25" s="82"/>
      <c r="F25" s="82"/>
      <c r="G25" s="82"/>
      <c r="H25" s="82"/>
      <c r="I25" s="82"/>
      <c r="J25" s="82"/>
      <c r="K25" s="82"/>
      <c r="L25" s="82"/>
      <c r="M25" s="82"/>
      <c r="N25" s="82"/>
      <c r="O25" s="105"/>
      <c r="P25" s="103"/>
      <c r="Q25" s="440"/>
      <c r="R25" s="417"/>
      <c r="S25" s="417"/>
      <c r="T25" s="417"/>
      <c r="U25" s="417"/>
      <c r="V25" s="417"/>
      <c r="W25" s="417"/>
      <c r="X25" s="417"/>
      <c r="Y25" s="417"/>
      <c r="Z25" s="417"/>
      <c r="AA25" s="417"/>
      <c r="AB25" s="417"/>
      <c r="AC25" s="417"/>
      <c r="AD25" s="417"/>
      <c r="AE25" s="417"/>
      <c r="AF25" s="445"/>
      <c r="AG25" s="449"/>
      <c r="AH25" s="450"/>
      <c r="AI25" s="404"/>
    </row>
    <row r="26" spans="1:36" ht="11.25" customHeight="1" thickBot="1">
      <c r="A26" s="136"/>
      <c r="B26" s="82"/>
      <c r="C26" s="82"/>
      <c r="D26" s="82"/>
      <c r="E26" s="82"/>
      <c r="F26" s="82"/>
      <c r="G26" s="82"/>
      <c r="H26" s="82"/>
      <c r="I26" s="82"/>
      <c r="J26" s="82"/>
      <c r="K26" s="82"/>
      <c r="L26" s="82"/>
      <c r="M26" s="82"/>
      <c r="N26" s="82"/>
      <c r="O26" s="105"/>
      <c r="P26" s="82"/>
      <c r="Q26" s="395"/>
      <c r="S26" s="395"/>
      <c r="T26" s="395"/>
      <c r="U26" s="395"/>
      <c r="V26" s="395"/>
      <c r="W26" s="411"/>
      <c r="X26" s="104"/>
      <c r="Z26" s="81"/>
      <c r="AA26" s="81"/>
      <c r="AB26" s="81"/>
      <c r="AC26" s="81"/>
      <c r="AD26" s="81"/>
      <c r="AE26" s="81"/>
      <c r="AF26" s="104"/>
      <c r="AG26" s="104"/>
      <c r="AH26" s="104"/>
      <c r="AI26" s="165"/>
    </row>
    <row r="27" spans="1:36" ht="24" customHeight="1" thickBot="1">
      <c r="A27" s="230"/>
      <c r="B27" s="82"/>
      <c r="C27" s="82"/>
      <c r="D27" s="82"/>
      <c r="E27" s="82"/>
      <c r="F27" s="82"/>
      <c r="G27" s="82"/>
      <c r="H27" s="82"/>
      <c r="I27" s="82"/>
      <c r="J27" s="82"/>
      <c r="K27" s="82"/>
      <c r="L27" s="82"/>
      <c r="M27" s="82"/>
      <c r="N27" s="82"/>
      <c r="P27" s="390"/>
      <c r="Q27" s="932" t="s">
        <v>157</v>
      </c>
      <c r="R27" s="933"/>
      <c r="S27" s="933"/>
      <c r="T27" s="933"/>
      <c r="U27" s="933"/>
      <c r="V27" s="933"/>
      <c r="W27" s="934"/>
      <c r="X27" s="394"/>
      <c r="Y27" s="386"/>
      <c r="Z27" s="227"/>
      <c r="AA27" s="227"/>
      <c r="AB27" s="227"/>
      <c r="AC27" s="227"/>
      <c r="AD27" s="227"/>
      <c r="AE27" s="82"/>
      <c r="AF27" s="82"/>
      <c r="AG27" s="82"/>
      <c r="AH27" s="82"/>
      <c r="AI27" s="165"/>
    </row>
    <row r="28" spans="1:36" ht="10.5" customHeight="1" thickBot="1">
      <c r="A28" s="136"/>
      <c r="B28" s="82"/>
      <c r="C28" s="82"/>
      <c r="D28" s="82"/>
      <c r="E28" s="82"/>
      <c r="F28" s="82"/>
      <c r="G28" s="82"/>
      <c r="H28" s="82"/>
      <c r="I28" s="82"/>
      <c r="J28" s="82"/>
      <c r="K28" s="82"/>
      <c r="L28" s="82"/>
      <c r="M28" s="82"/>
      <c r="N28" s="82"/>
      <c r="O28" s="80"/>
      <c r="P28" s="103"/>
      <c r="Q28" s="392"/>
      <c r="R28" s="393"/>
      <c r="S28" s="391"/>
      <c r="T28" s="392"/>
      <c r="U28" s="226"/>
      <c r="V28" s="392"/>
      <c r="W28" s="392"/>
      <c r="X28" s="227"/>
      <c r="Y28" s="227"/>
      <c r="Z28" s="227"/>
      <c r="AA28" s="227"/>
      <c r="AB28" s="227"/>
      <c r="AC28" s="227"/>
      <c r="AD28" s="227"/>
      <c r="AE28" s="82"/>
      <c r="AF28" s="82"/>
      <c r="AG28" s="82"/>
      <c r="AH28" s="82"/>
      <c r="AI28" s="165"/>
      <c r="AJ28" s="399"/>
    </row>
    <row r="29" spans="1:36" ht="15.75" thickBot="1">
      <c r="A29" s="284"/>
      <c r="B29" s="82"/>
      <c r="C29" s="82"/>
      <c r="D29" s="82"/>
      <c r="E29" s="82"/>
      <c r="F29" s="82"/>
      <c r="G29" s="82"/>
      <c r="H29" s="82"/>
      <c r="I29" s="82"/>
      <c r="J29" s="82"/>
      <c r="K29" s="82"/>
      <c r="L29" s="82"/>
      <c r="M29" s="82"/>
      <c r="N29" s="82"/>
      <c r="O29" s="80"/>
      <c r="P29" s="82"/>
      <c r="Q29" s="387"/>
      <c r="R29" s="193"/>
      <c r="S29" s="193"/>
      <c r="T29" s="937" t="s">
        <v>156</v>
      </c>
      <c r="U29" s="938"/>
      <c r="V29" s="939"/>
      <c r="W29" s="400"/>
      <c r="X29" s="387"/>
      <c r="Y29" s="193"/>
      <c r="Z29" s="387"/>
      <c r="AA29" s="226"/>
      <c r="AB29" s="193"/>
      <c r="AC29" s="387"/>
      <c r="AD29" s="226"/>
      <c r="AE29" s="387"/>
      <c r="AF29" s="104"/>
      <c r="AG29" s="104"/>
      <c r="AH29" s="82"/>
      <c r="AI29" s="165"/>
    </row>
    <row r="30" spans="1:36" ht="33" customHeight="1" thickBot="1">
      <c r="A30" s="233"/>
      <c r="B30" s="82"/>
      <c r="C30" s="82"/>
      <c r="D30" s="82"/>
      <c r="E30" s="82"/>
      <c r="F30" s="82"/>
      <c r="G30" s="82"/>
      <c r="H30" s="82"/>
      <c r="I30" s="82"/>
      <c r="J30" s="82"/>
      <c r="K30" s="82"/>
      <c r="L30" s="82"/>
      <c r="M30" s="82"/>
      <c r="N30" s="82"/>
      <c r="O30" s="88"/>
      <c r="Q30" s="935" t="s">
        <v>50</v>
      </c>
      <c r="R30" s="936"/>
      <c r="S30" s="936"/>
      <c r="T30" s="940"/>
      <c r="U30" s="941"/>
      <c r="V30" s="942"/>
      <c r="W30" s="935" t="s">
        <v>51</v>
      </c>
      <c r="X30" s="936"/>
      <c r="Y30" s="936"/>
      <c r="Z30" s="1015" t="s">
        <v>52</v>
      </c>
      <c r="AA30" s="936"/>
      <c r="AB30" s="1024"/>
      <c r="AC30" s="1015" t="s">
        <v>53</v>
      </c>
      <c r="AD30" s="936"/>
      <c r="AE30" s="1016"/>
      <c r="AF30" s="388"/>
      <c r="AG30" s="227"/>
      <c r="AH30" s="82"/>
      <c r="AI30" s="165"/>
    </row>
    <row r="31" spans="1:36" ht="15" customHeight="1">
      <c r="A31" s="230"/>
      <c r="B31" s="82"/>
      <c r="C31" s="82"/>
      <c r="D31" s="82"/>
      <c r="E31" s="82"/>
      <c r="F31" s="82"/>
      <c r="G31" s="82"/>
      <c r="H31" s="82"/>
      <c r="I31" s="82"/>
      <c r="J31" s="82"/>
      <c r="K31" s="82"/>
      <c r="L31" s="82"/>
      <c r="M31" s="82"/>
      <c r="N31" s="82"/>
      <c r="O31" s="83"/>
      <c r="P31" s="103"/>
      <c r="Q31" s="1062"/>
      <c r="R31" s="1063"/>
      <c r="S31" s="1064"/>
      <c r="T31" s="1065"/>
      <c r="U31" s="1066"/>
      <c r="V31" s="1067"/>
      <c r="W31" s="1051"/>
      <c r="X31" s="1052"/>
      <c r="Y31" s="1052"/>
      <c r="Z31" s="1017"/>
      <c r="AA31" s="1018"/>
      <c r="AB31" s="1025"/>
      <c r="AC31" s="1017"/>
      <c r="AD31" s="1018"/>
      <c r="AE31" s="1019"/>
      <c r="AF31" s="389"/>
      <c r="AG31" s="82"/>
      <c r="AH31" s="82"/>
      <c r="AI31" s="165"/>
    </row>
    <row r="32" spans="1:36" ht="14.25" customHeight="1" thickBot="1">
      <c r="A32" s="136"/>
      <c r="B32" s="90"/>
      <c r="C32" s="90"/>
      <c r="D32" s="90"/>
      <c r="E32" s="90"/>
      <c r="F32" s="90"/>
      <c r="G32" s="90"/>
      <c r="H32" s="90"/>
      <c r="I32" s="90"/>
      <c r="J32" s="90"/>
      <c r="K32" s="90"/>
      <c r="L32" s="90"/>
      <c r="M32" s="90"/>
      <c r="N32" s="90"/>
      <c r="O32" s="83"/>
      <c r="P32" s="79"/>
      <c r="Q32" s="1002"/>
      <c r="R32" s="1003"/>
      <c r="S32" s="1004"/>
      <c r="T32" s="1012"/>
      <c r="U32" s="1013"/>
      <c r="V32" s="1014"/>
      <c r="W32" s="1010"/>
      <c r="X32" s="1011"/>
      <c r="Y32" s="1011"/>
      <c r="Z32" s="1020"/>
      <c r="AA32" s="1021"/>
      <c r="AB32" s="1026"/>
      <c r="AC32" s="1020"/>
      <c r="AD32" s="1021"/>
      <c r="AE32" s="1022"/>
      <c r="AF32" s="80"/>
      <c r="AG32" s="82"/>
      <c r="AH32" s="82"/>
      <c r="AI32" s="165"/>
    </row>
    <row r="33" spans="1:35" ht="19.5" thickBot="1">
      <c r="A33" s="230"/>
      <c r="B33" s="1031" t="s">
        <v>158</v>
      </c>
      <c r="C33" s="1032"/>
      <c r="D33" s="1032"/>
      <c r="E33" s="1033"/>
      <c r="F33" s="1078" t="s">
        <v>159</v>
      </c>
      <c r="G33" s="1079"/>
      <c r="H33" s="1079"/>
      <c r="I33" s="1079"/>
      <c r="J33" s="1079"/>
      <c r="K33" s="1079"/>
      <c r="L33" s="1080"/>
      <c r="M33" s="1031" t="s">
        <v>88</v>
      </c>
      <c r="N33" s="1033"/>
      <c r="O33" s="78"/>
      <c r="P33" s="103"/>
      <c r="Q33" s="1002"/>
      <c r="R33" s="1003"/>
      <c r="S33" s="1004"/>
      <c r="T33" s="1012"/>
      <c r="U33" s="1013"/>
      <c r="V33" s="1014"/>
      <c r="W33" s="1010"/>
      <c r="X33" s="1011"/>
      <c r="Y33" s="1011"/>
      <c r="Z33" s="1020"/>
      <c r="AA33" s="1021"/>
      <c r="AB33" s="1026"/>
      <c r="AC33" s="1020"/>
      <c r="AD33" s="1021"/>
      <c r="AE33" s="1022"/>
      <c r="AF33" s="80"/>
      <c r="AG33" s="82"/>
      <c r="AH33" s="82"/>
      <c r="AI33" s="165"/>
    </row>
    <row r="34" spans="1:35" ht="30.75" customHeight="1" thickBot="1">
      <c r="A34" s="233"/>
      <c r="B34" s="1034"/>
      <c r="C34" s="1035"/>
      <c r="D34" s="1035"/>
      <c r="E34" s="1036"/>
      <c r="F34" s="1037" t="s">
        <v>160</v>
      </c>
      <c r="G34" s="1038"/>
      <c r="H34" s="1039"/>
      <c r="I34" s="1040" t="s">
        <v>161</v>
      </c>
      <c r="J34" s="1041"/>
      <c r="K34" s="1076" t="s">
        <v>162</v>
      </c>
      <c r="L34" s="1077"/>
      <c r="M34" s="1034"/>
      <c r="N34" s="1036"/>
      <c r="O34" s="78"/>
      <c r="P34" s="103"/>
      <c r="Q34" s="1002"/>
      <c r="R34" s="1003"/>
      <c r="S34" s="1004"/>
      <c r="T34" s="1012"/>
      <c r="U34" s="1013"/>
      <c r="V34" s="1014"/>
      <c r="W34" s="1010"/>
      <c r="X34" s="1011"/>
      <c r="Y34" s="1011"/>
      <c r="Z34" s="1020"/>
      <c r="AA34" s="1021"/>
      <c r="AB34" s="1026"/>
      <c r="AC34" s="1020"/>
      <c r="AD34" s="1021"/>
      <c r="AE34" s="1022"/>
      <c r="AF34" s="80"/>
      <c r="AG34" s="82"/>
      <c r="AH34" s="82"/>
      <c r="AI34" s="165"/>
    </row>
    <row r="35" spans="1:35" ht="22.5" customHeight="1">
      <c r="A35" s="407"/>
      <c r="B35" s="1050" t="s">
        <v>94</v>
      </c>
      <c r="C35" s="1050"/>
      <c r="D35" s="1050"/>
      <c r="E35" s="1050"/>
      <c r="F35" s="1050">
        <v>4</v>
      </c>
      <c r="G35" s="1050"/>
      <c r="H35" s="1050"/>
      <c r="I35" s="1050">
        <v>10</v>
      </c>
      <c r="J35" s="1050"/>
      <c r="K35" s="1050">
        <v>0</v>
      </c>
      <c r="L35" s="1050"/>
      <c r="M35" s="1050">
        <v>20</v>
      </c>
      <c r="N35" s="1050"/>
      <c r="O35" s="83"/>
      <c r="P35" s="79"/>
      <c r="Q35" s="999"/>
      <c r="R35" s="1000"/>
      <c r="S35" s="1001"/>
      <c r="T35" s="1005"/>
      <c r="U35" s="1006"/>
      <c r="V35" s="1007"/>
      <c r="W35" s="1008"/>
      <c r="X35" s="1009"/>
      <c r="Y35" s="1009"/>
      <c r="Z35" s="993"/>
      <c r="AA35" s="994"/>
      <c r="AB35" s="1023"/>
      <c r="AC35" s="993"/>
      <c r="AD35" s="994"/>
      <c r="AE35" s="995"/>
      <c r="AF35" s="80"/>
      <c r="AG35" s="82"/>
      <c r="AH35" s="82"/>
      <c r="AI35" s="165"/>
    </row>
    <row r="36" spans="1:35">
      <c r="A36" s="398"/>
      <c r="C36" s="401"/>
      <c r="E36" s="401"/>
      <c r="F36" s="401"/>
      <c r="H36" s="401"/>
      <c r="I36" s="401"/>
      <c r="K36" s="401"/>
      <c r="L36" s="402"/>
      <c r="M36" s="402"/>
      <c r="N36" s="401"/>
      <c r="O36" s="90"/>
      <c r="Q36" s="999"/>
      <c r="R36" s="1000"/>
      <c r="S36" s="1001"/>
      <c r="T36" s="1005"/>
      <c r="U36" s="1006"/>
      <c r="V36" s="1007"/>
      <c r="W36" s="1008"/>
      <c r="X36" s="1009"/>
      <c r="Y36" s="1009"/>
      <c r="Z36" s="993"/>
      <c r="AA36" s="994"/>
      <c r="AB36" s="1023"/>
      <c r="AC36" s="993"/>
      <c r="AD36" s="994"/>
      <c r="AE36" s="995"/>
      <c r="AF36" s="80"/>
      <c r="AG36" s="82"/>
      <c r="AH36" s="82"/>
      <c r="AI36" s="165"/>
    </row>
    <row r="37" spans="1:35">
      <c r="A37" s="136"/>
      <c r="B37" s="82"/>
      <c r="C37" s="82"/>
      <c r="D37" s="82"/>
      <c r="E37" s="82"/>
      <c r="F37" s="82"/>
      <c r="G37" s="82"/>
      <c r="H37" s="82"/>
      <c r="I37" s="82"/>
      <c r="J37" s="82"/>
      <c r="K37" s="82"/>
      <c r="L37" s="82"/>
      <c r="M37" s="82"/>
      <c r="N37" s="82"/>
      <c r="O37" s="80"/>
      <c r="P37" s="79"/>
      <c r="Q37" s="999"/>
      <c r="R37" s="1000"/>
      <c r="S37" s="1001"/>
      <c r="T37" s="1005"/>
      <c r="U37" s="1006"/>
      <c r="V37" s="1007"/>
      <c r="W37" s="1008"/>
      <c r="X37" s="1009"/>
      <c r="Y37" s="1009"/>
      <c r="Z37" s="993"/>
      <c r="AA37" s="994"/>
      <c r="AB37" s="1023"/>
      <c r="AC37" s="993"/>
      <c r="AD37" s="994"/>
      <c r="AE37" s="995"/>
      <c r="AF37" s="80"/>
      <c r="AG37" s="82"/>
      <c r="AH37" s="82"/>
      <c r="AI37" s="165"/>
    </row>
    <row r="38" spans="1:35">
      <c r="A38" s="136"/>
      <c r="B38" s="82"/>
      <c r="C38" s="82"/>
      <c r="D38" s="82"/>
      <c r="E38" s="82"/>
      <c r="F38" s="82"/>
      <c r="G38" s="82"/>
      <c r="H38" s="82"/>
      <c r="I38" s="82"/>
      <c r="J38" s="82"/>
      <c r="K38" s="82"/>
      <c r="L38" s="82"/>
      <c r="M38" s="82"/>
      <c r="N38" s="82"/>
      <c r="O38" s="80"/>
      <c r="P38" s="79"/>
      <c r="Q38" s="999"/>
      <c r="R38" s="1000"/>
      <c r="S38" s="1001"/>
      <c r="T38" s="1005"/>
      <c r="U38" s="1006"/>
      <c r="V38" s="1007"/>
      <c r="W38" s="1008"/>
      <c r="X38" s="1009"/>
      <c r="Y38" s="1009"/>
      <c r="Z38" s="993"/>
      <c r="AA38" s="994"/>
      <c r="AB38" s="1023"/>
      <c r="AC38" s="993"/>
      <c r="AD38" s="994"/>
      <c r="AE38" s="995"/>
      <c r="AF38" s="105"/>
      <c r="AG38" s="104"/>
      <c r="AH38" s="82"/>
      <c r="AI38" s="165"/>
    </row>
    <row r="39" spans="1:35">
      <c r="A39" s="136"/>
      <c r="B39" s="82"/>
      <c r="C39" s="82"/>
      <c r="D39" s="82"/>
      <c r="E39" s="82"/>
      <c r="F39" s="82"/>
      <c r="G39" s="82"/>
      <c r="H39" s="82"/>
      <c r="I39" s="82"/>
      <c r="J39" s="82"/>
      <c r="K39" s="82"/>
      <c r="L39" s="82"/>
      <c r="M39" s="82"/>
      <c r="N39" s="82"/>
      <c r="P39" s="79"/>
      <c r="Q39" s="999"/>
      <c r="R39" s="1000"/>
      <c r="S39" s="1001"/>
      <c r="T39" s="1005"/>
      <c r="U39" s="1006"/>
      <c r="V39" s="1007"/>
      <c r="W39" s="1008"/>
      <c r="X39" s="1009"/>
      <c r="Y39" s="1009"/>
      <c r="Z39" s="993"/>
      <c r="AA39" s="994"/>
      <c r="AB39" s="1023"/>
      <c r="AC39" s="993"/>
      <c r="AD39" s="994"/>
      <c r="AE39" s="995"/>
      <c r="AF39" s="80"/>
      <c r="AG39" s="82"/>
      <c r="AH39" s="82"/>
      <c r="AI39" s="165"/>
    </row>
    <row r="40" spans="1:35">
      <c r="A40" s="136"/>
      <c r="B40" s="82"/>
      <c r="C40" s="82"/>
      <c r="D40" s="82"/>
      <c r="E40" s="82"/>
      <c r="F40" s="82"/>
      <c r="G40" s="82"/>
      <c r="H40" s="82"/>
      <c r="I40" s="82"/>
      <c r="J40" s="82"/>
      <c r="K40" s="82"/>
      <c r="L40" s="82"/>
      <c r="M40" s="82"/>
      <c r="N40" s="82"/>
      <c r="O40" s="83"/>
      <c r="P40" s="87"/>
      <c r="Q40" s="999"/>
      <c r="R40" s="1000"/>
      <c r="S40" s="1001"/>
      <c r="T40" s="1005"/>
      <c r="U40" s="1006"/>
      <c r="V40" s="1007"/>
      <c r="W40" s="1008"/>
      <c r="X40" s="1009"/>
      <c r="Y40" s="1009"/>
      <c r="Z40" s="993"/>
      <c r="AA40" s="994"/>
      <c r="AB40" s="1023"/>
      <c r="AC40" s="993"/>
      <c r="AD40" s="994"/>
      <c r="AE40" s="995"/>
      <c r="AF40" s="80"/>
      <c r="AG40" s="82"/>
      <c r="AH40" s="82"/>
      <c r="AI40" s="165"/>
    </row>
    <row r="41" spans="1:35">
      <c r="A41" s="136"/>
      <c r="B41" s="82"/>
      <c r="C41" s="82"/>
      <c r="D41" s="82"/>
      <c r="E41" s="82"/>
      <c r="F41" s="82"/>
      <c r="G41" s="82"/>
      <c r="H41" s="82"/>
      <c r="I41" s="82"/>
      <c r="J41" s="82"/>
      <c r="K41" s="82"/>
      <c r="L41" s="82"/>
      <c r="M41" s="82"/>
      <c r="N41" s="82"/>
      <c r="O41" s="78"/>
      <c r="P41" s="79"/>
      <c r="Q41" s="1002"/>
      <c r="R41" s="1003"/>
      <c r="S41" s="1004"/>
      <c r="T41" s="1012"/>
      <c r="U41" s="1013"/>
      <c r="V41" s="1014"/>
      <c r="W41" s="1010"/>
      <c r="X41" s="1011"/>
      <c r="Y41" s="1011"/>
      <c r="Z41" s="1020"/>
      <c r="AA41" s="1021"/>
      <c r="AB41" s="1026"/>
      <c r="AC41" s="1020"/>
      <c r="AD41" s="1021"/>
      <c r="AE41" s="1022"/>
      <c r="AF41" s="80"/>
      <c r="AG41" s="82"/>
      <c r="AH41" s="82"/>
      <c r="AI41" s="165"/>
    </row>
    <row r="42" spans="1:35">
      <c r="A42" s="136"/>
      <c r="B42" s="82"/>
      <c r="C42" s="82"/>
      <c r="D42" s="82"/>
      <c r="E42" s="82"/>
      <c r="F42" s="82"/>
      <c r="G42" s="82"/>
      <c r="H42" s="82"/>
      <c r="I42" s="82"/>
      <c r="J42" s="82"/>
      <c r="K42" s="82"/>
      <c r="L42" s="82"/>
      <c r="M42" s="82"/>
      <c r="N42" s="82"/>
      <c r="O42" s="80"/>
      <c r="P42" s="79"/>
      <c r="Q42" s="1002"/>
      <c r="R42" s="1003"/>
      <c r="S42" s="1004"/>
      <c r="T42" s="1012"/>
      <c r="U42" s="1013"/>
      <c r="V42" s="1014"/>
      <c r="W42" s="1010"/>
      <c r="X42" s="1011"/>
      <c r="Y42" s="1011"/>
      <c r="Z42" s="1020"/>
      <c r="AA42" s="1021"/>
      <c r="AB42" s="1026"/>
      <c r="AC42" s="1020"/>
      <c r="AD42" s="1021"/>
      <c r="AE42" s="1022"/>
      <c r="AF42" s="80"/>
      <c r="AG42" s="82"/>
      <c r="AH42" s="82"/>
      <c r="AI42" s="165"/>
    </row>
    <row r="43" spans="1:35">
      <c r="A43" s="136"/>
      <c r="B43" s="82"/>
      <c r="C43" s="82"/>
      <c r="D43" s="82"/>
      <c r="E43" s="82"/>
      <c r="F43" s="82"/>
      <c r="G43" s="82"/>
      <c r="H43" s="82"/>
      <c r="I43" s="82"/>
      <c r="J43" s="82"/>
      <c r="K43" s="82"/>
      <c r="L43" s="82"/>
      <c r="M43" s="82"/>
      <c r="N43" s="82"/>
      <c r="P43" s="79"/>
      <c r="Q43" s="996"/>
      <c r="R43" s="997"/>
      <c r="S43" s="998"/>
      <c r="T43" s="1005"/>
      <c r="U43" s="1006"/>
      <c r="V43" s="1007"/>
      <c r="W43" s="1008"/>
      <c r="X43" s="1009"/>
      <c r="Y43" s="1009"/>
      <c r="Z43" s="993"/>
      <c r="AA43" s="994"/>
      <c r="AB43" s="1023"/>
      <c r="AC43" s="993"/>
      <c r="AD43" s="994"/>
      <c r="AE43" s="995"/>
      <c r="AF43" s="80"/>
      <c r="AG43" s="82"/>
      <c r="AH43" s="82"/>
      <c r="AI43" s="165"/>
    </row>
    <row r="44" spans="1:35">
      <c r="A44" s="136"/>
      <c r="B44" s="82"/>
      <c r="C44" s="82"/>
      <c r="D44" s="82"/>
      <c r="E44" s="82"/>
      <c r="F44" s="82"/>
      <c r="G44" s="82"/>
      <c r="H44" s="82"/>
      <c r="I44" s="82"/>
      <c r="J44" s="82"/>
      <c r="K44" s="82"/>
      <c r="L44" s="82"/>
      <c r="M44" s="82"/>
      <c r="N44" s="82"/>
      <c r="O44" s="78"/>
      <c r="P44" s="103"/>
      <c r="Q44" s="996"/>
      <c r="R44" s="997"/>
      <c r="S44" s="998"/>
      <c r="T44" s="1005"/>
      <c r="U44" s="1006"/>
      <c r="V44" s="1007"/>
      <c r="W44" s="1008"/>
      <c r="X44" s="1009"/>
      <c r="Y44" s="1009"/>
      <c r="Z44" s="993"/>
      <c r="AA44" s="994"/>
      <c r="AB44" s="1023"/>
      <c r="AC44" s="993"/>
      <c r="AD44" s="994"/>
      <c r="AE44" s="995"/>
      <c r="AF44" s="80"/>
      <c r="AG44" s="82"/>
      <c r="AH44" s="82"/>
      <c r="AI44" s="165"/>
    </row>
    <row r="45" spans="1:35">
      <c r="A45" s="136"/>
      <c r="B45" s="82"/>
      <c r="C45" s="82"/>
      <c r="D45" s="82"/>
      <c r="E45" s="82"/>
      <c r="F45" s="82"/>
      <c r="G45" s="82"/>
      <c r="H45" s="82"/>
      <c r="I45" s="82"/>
      <c r="J45" s="82"/>
      <c r="K45" s="82"/>
      <c r="L45" s="82"/>
      <c r="M45" s="82"/>
      <c r="N45" s="82"/>
      <c r="O45" s="83"/>
      <c r="P45" s="103"/>
      <c r="Q45" s="1071"/>
      <c r="R45" s="1072"/>
      <c r="S45" s="1073"/>
      <c r="T45" s="1059"/>
      <c r="U45" s="1060"/>
      <c r="V45" s="1061"/>
      <c r="W45" s="1048"/>
      <c r="X45" s="1049"/>
      <c r="Y45" s="1049"/>
      <c r="Z45" s="1042"/>
      <c r="AA45" s="1043"/>
      <c r="AB45" s="1047"/>
      <c r="AC45" s="1042"/>
      <c r="AD45" s="1043"/>
      <c r="AE45" s="1044"/>
      <c r="AF45" s="80"/>
      <c r="AG45" s="82"/>
      <c r="AH45" s="82"/>
      <c r="AI45" s="165"/>
    </row>
    <row r="46" spans="1:35">
      <c r="A46" s="136"/>
      <c r="B46" s="82"/>
      <c r="C46" s="82"/>
      <c r="D46" s="82"/>
      <c r="E46" s="82"/>
      <c r="F46" s="82"/>
      <c r="G46" s="82"/>
      <c r="H46" s="82"/>
      <c r="I46" s="82"/>
      <c r="J46" s="82"/>
      <c r="K46" s="82"/>
      <c r="L46" s="82"/>
      <c r="M46" s="82"/>
      <c r="N46" s="82"/>
      <c r="O46" s="83"/>
      <c r="P46" s="103"/>
      <c r="Q46" s="1074"/>
      <c r="R46" s="1075"/>
      <c r="S46" s="1075"/>
      <c r="T46" s="1058"/>
      <c r="U46" s="1058"/>
      <c r="V46" s="1058"/>
      <c r="W46" s="1045"/>
      <c r="X46" s="1045"/>
      <c r="Y46" s="1045"/>
      <c r="Z46" s="1045"/>
      <c r="AA46" s="1045"/>
      <c r="AB46" s="1045"/>
      <c r="AC46" s="1045"/>
      <c r="AD46" s="1045"/>
      <c r="AE46" s="1046"/>
      <c r="AF46" s="80"/>
      <c r="AG46" s="82"/>
      <c r="AH46" s="82"/>
      <c r="AI46" s="165"/>
    </row>
    <row r="47" spans="1:35" ht="15.75" thickBot="1">
      <c r="A47" s="136"/>
      <c r="B47" s="82"/>
      <c r="C47" s="82"/>
      <c r="D47" s="82"/>
      <c r="E47" s="82"/>
      <c r="F47" s="82"/>
      <c r="G47" s="82"/>
      <c r="H47" s="82"/>
      <c r="I47" s="82"/>
      <c r="J47" s="82"/>
      <c r="K47" s="82"/>
      <c r="L47" s="82"/>
      <c r="M47" s="82"/>
      <c r="N47" s="82"/>
      <c r="O47" s="83"/>
      <c r="P47" s="103"/>
      <c r="Q47" s="1068"/>
      <c r="R47" s="1069"/>
      <c r="S47" s="1070"/>
      <c r="T47" s="1053"/>
      <c r="U47" s="1054"/>
      <c r="V47" s="1055"/>
      <c r="W47" s="1056"/>
      <c r="X47" s="1057"/>
      <c r="Y47" s="1057"/>
      <c r="Z47" s="1027"/>
      <c r="AA47" s="1028"/>
      <c r="AB47" s="1029"/>
      <c r="AC47" s="1027"/>
      <c r="AD47" s="1028"/>
      <c r="AE47" s="1030"/>
      <c r="AF47" s="83"/>
      <c r="AG47" s="90"/>
      <c r="AH47" s="82"/>
      <c r="AI47" s="165"/>
    </row>
    <row r="48" spans="1:35">
      <c r="A48" s="136"/>
      <c r="B48" s="82"/>
      <c r="C48" s="82"/>
      <c r="D48" s="82"/>
      <c r="E48" s="82"/>
      <c r="F48" s="82"/>
      <c r="G48" s="82"/>
      <c r="H48" s="82"/>
      <c r="I48" s="82"/>
      <c r="J48" s="82"/>
      <c r="K48" s="82"/>
      <c r="L48" s="82"/>
      <c r="M48" s="82"/>
      <c r="N48" s="82"/>
      <c r="O48" s="82"/>
      <c r="P48" s="82"/>
      <c r="Q48" s="104"/>
      <c r="R48" s="104"/>
      <c r="S48" s="104"/>
      <c r="T48" s="104"/>
      <c r="U48" s="104"/>
      <c r="V48" s="104"/>
      <c r="W48" s="104"/>
      <c r="X48" s="104"/>
      <c r="Y48" s="104"/>
      <c r="Z48" s="104"/>
      <c r="AA48" s="104"/>
      <c r="AB48" s="104"/>
      <c r="AC48" s="104"/>
      <c r="AD48" s="104"/>
      <c r="AE48" s="104"/>
      <c r="AF48" s="82"/>
      <c r="AG48" s="82"/>
      <c r="AH48" s="82"/>
      <c r="AI48" s="165"/>
    </row>
    <row r="49" spans="1:35">
      <c r="A49" s="136"/>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82"/>
      <c r="AF49" s="82"/>
      <c r="AG49" s="82"/>
      <c r="AH49" s="82"/>
      <c r="AI49" s="165"/>
    </row>
    <row r="50" spans="1:35" ht="15.75" thickBot="1">
      <c r="A50" s="137"/>
      <c r="B50" s="166"/>
      <c r="C50" s="166"/>
      <c r="D50" s="166"/>
      <c r="E50" s="166"/>
      <c r="F50" s="166"/>
      <c r="G50" s="166"/>
      <c r="H50" s="166"/>
      <c r="I50" s="166"/>
      <c r="J50" s="166"/>
      <c r="K50" s="166"/>
      <c r="L50" s="166"/>
      <c r="M50" s="166"/>
      <c r="N50" s="166"/>
      <c r="O50" s="166"/>
      <c r="P50" s="166"/>
      <c r="Q50" s="166"/>
      <c r="R50" s="166"/>
      <c r="S50" s="166"/>
      <c r="T50" s="166"/>
      <c r="U50" s="166"/>
      <c r="V50" s="166"/>
      <c r="W50" s="166"/>
      <c r="X50" s="166"/>
      <c r="Y50" s="166"/>
      <c r="Z50" s="166"/>
      <c r="AA50" s="166"/>
      <c r="AB50" s="166"/>
      <c r="AC50" s="166"/>
      <c r="AD50" s="166"/>
      <c r="AE50" s="166"/>
      <c r="AF50" s="166"/>
      <c r="AG50" s="166"/>
      <c r="AH50" s="166"/>
      <c r="AI50" s="138"/>
    </row>
    <row r="51" spans="1:35">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104"/>
      <c r="AF51" s="104"/>
      <c r="AG51" s="104"/>
      <c r="AH51" s="104"/>
      <c r="AI51" s="104"/>
    </row>
    <row r="52" spans="1:35">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row>
    <row r="53" spans="1:35">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c r="AF53" s="82"/>
      <c r="AG53" s="82"/>
      <c r="AH53" s="82"/>
      <c r="AI53" s="82"/>
    </row>
    <row r="54" spans="1:35">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c r="AA54" s="82"/>
      <c r="AB54" s="82"/>
      <c r="AC54" s="82"/>
      <c r="AD54" s="82"/>
      <c r="AE54" s="82"/>
      <c r="AF54" s="82"/>
      <c r="AG54" s="82"/>
      <c r="AH54" s="82"/>
      <c r="AI54" s="82"/>
    </row>
    <row r="55" spans="1:3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row>
  </sheetData>
  <mergeCells count="138">
    <mergeCell ref="Q47:S47"/>
    <mergeCell ref="Q45:S45"/>
    <mergeCell ref="Q46:S46"/>
    <mergeCell ref="W46:Y46"/>
    <mergeCell ref="W38:Y38"/>
    <mergeCell ref="W39:Y39"/>
    <mergeCell ref="K34:L34"/>
    <mergeCell ref="F33:L33"/>
    <mergeCell ref="M33:N34"/>
    <mergeCell ref="T36:V36"/>
    <mergeCell ref="B35:E35"/>
    <mergeCell ref="F35:H35"/>
    <mergeCell ref="I35:J35"/>
    <mergeCell ref="K35:L35"/>
    <mergeCell ref="M35:N35"/>
    <mergeCell ref="W30:Y30"/>
    <mergeCell ref="W31:Y31"/>
    <mergeCell ref="W32:Y32"/>
    <mergeCell ref="T47:V47"/>
    <mergeCell ref="W47:Y47"/>
    <mergeCell ref="T41:V41"/>
    <mergeCell ref="T46:V46"/>
    <mergeCell ref="T45:V45"/>
    <mergeCell ref="Q31:S31"/>
    <mergeCell ref="Q32:S32"/>
    <mergeCell ref="Q33:S33"/>
    <mergeCell ref="Q34:S34"/>
    <mergeCell ref="Q35:S35"/>
    <mergeCell ref="Q36:S36"/>
    <mergeCell ref="T31:V31"/>
    <mergeCell ref="T32:V32"/>
    <mergeCell ref="T33:V33"/>
    <mergeCell ref="T34:V34"/>
    <mergeCell ref="T35:V35"/>
    <mergeCell ref="Z47:AB47"/>
    <mergeCell ref="AC47:AE47"/>
    <mergeCell ref="B33:E34"/>
    <mergeCell ref="F34:H34"/>
    <mergeCell ref="I34:J34"/>
    <mergeCell ref="AC41:AE41"/>
    <mergeCell ref="AC42:AE42"/>
    <mergeCell ref="AC43:AE43"/>
    <mergeCell ref="AC44:AE44"/>
    <mergeCell ref="AC45:AE45"/>
    <mergeCell ref="AC46:AE46"/>
    <mergeCell ref="Z44:AB44"/>
    <mergeCell ref="Z45:AB45"/>
    <mergeCell ref="Z46:AB46"/>
    <mergeCell ref="Z40:AB40"/>
    <mergeCell ref="Z41:AB41"/>
    <mergeCell ref="Z42:AB42"/>
    <mergeCell ref="Z43:AB43"/>
    <mergeCell ref="W45:Y45"/>
    <mergeCell ref="W33:Y33"/>
    <mergeCell ref="W34:Y34"/>
    <mergeCell ref="W35:Y35"/>
    <mergeCell ref="W36:Y36"/>
    <mergeCell ref="W37:Y37"/>
    <mergeCell ref="AC30:AE30"/>
    <mergeCell ref="AC31:AE31"/>
    <mergeCell ref="AC32:AE32"/>
    <mergeCell ref="AC33:AE33"/>
    <mergeCell ref="AC34:AE34"/>
    <mergeCell ref="AC35:AE35"/>
    <mergeCell ref="AC36:AE36"/>
    <mergeCell ref="Z38:AB38"/>
    <mergeCell ref="Z39:AB39"/>
    <mergeCell ref="Z30:AB30"/>
    <mergeCell ref="Z31:AB31"/>
    <mergeCell ref="Z32:AB32"/>
    <mergeCell ref="Z33:AB33"/>
    <mergeCell ref="Z34:AB34"/>
    <mergeCell ref="Z35:AB35"/>
    <mergeCell ref="Z36:AB36"/>
    <mergeCell ref="Z37:AB37"/>
    <mergeCell ref="AC37:AE37"/>
    <mergeCell ref="AC38:AE38"/>
    <mergeCell ref="AC39:AE39"/>
    <mergeCell ref="AC40:AE40"/>
    <mergeCell ref="Q43:S43"/>
    <mergeCell ref="Q44:S44"/>
    <mergeCell ref="Q37:S37"/>
    <mergeCell ref="Q38:S38"/>
    <mergeCell ref="Q39:S39"/>
    <mergeCell ref="Q40:S40"/>
    <mergeCell ref="Q41:S41"/>
    <mergeCell ref="Q42:S42"/>
    <mergeCell ref="T37:V37"/>
    <mergeCell ref="T38:V38"/>
    <mergeCell ref="T39:V39"/>
    <mergeCell ref="T40:V40"/>
    <mergeCell ref="W40:Y40"/>
    <mergeCell ref="W41:Y41"/>
    <mergeCell ref="W42:Y42"/>
    <mergeCell ref="W43:Y43"/>
    <mergeCell ref="W44:Y44"/>
    <mergeCell ref="T42:V42"/>
    <mergeCell ref="T43:V43"/>
    <mergeCell ref="T44:V44"/>
    <mergeCell ref="A1:AI1"/>
    <mergeCell ref="Q27:W27"/>
    <mergeCell ref="Q30:S30"/>
    <mergeCell ref="T29:V30"/>
    <mergeCell ref="AD6:AF7"/>
    <mergeCell ref="A2:AI2"/>
    <mergeCell ref="W6:Z7"/>
    <mergeCell ref="V8:Z9"/>
    <mergeCell ref="AD8:AF9"/>
    <mergeCell ref="A4:AI4"/>
    <mergeCell ref="A3:AI3"/>
    <mergeCell ref="J6:L7"/>
    <mergeCell ref="P8:R9"/>
    <mergeCell ref="Q6:R7"/>
    <mergeCell ref="J18:L18"/>
    <mergeCell ref="E6:G7"/>
    <mergeCell ref="E8:G9"/>
    <mergeCell ref="K8:L9"/>
    <mergeCell ref="B17:E17"/>
    <mergeCell ref="B18:E18"/>
    <mergeCell ref="H18:I18"/>
    <mergeCell ref="H17:I17"/>
    <mergeCell ref="J17:L17"/>
    <mergeCell ref="M17:N17"/>
    <mergeCell ref="Q11:AE11"/>
    <mergeCell ref="M18:N18"/>
    <mergeCell ref="F17:G17"/>
    <mergeCell ref="F18:G18"/>
    <mergeCell ref="F12:L13"/>
    <mergeCell ref="M12:N15"/>
    <mergeCell ref="B16:E16"/>
    <mergeCell ref="F16:G16"/>
    <mergeCell ref="H16:I16"/>
    <mergeCell ref="J16:L16"/>
    <mergeCell ref="M16:N16"/>
    <mergeCell ref="B12:E15"/>
    <mergeCell ref="F14:G15"/>
    <mergeCell ref="H14:I15"/>
    <mergeCell ref="J14:L15"/>
  </mergeCells>
  <conditionalFormatting sqref="S13:AF13">
    <cfRule type="cellIs" dxfId="26" priority="29" operator="greaterThanOrEqual">
      <formula>$J$18</formula>
    </cfRule>
    <cfRule type="cellIs" dxfId="25" priority="45" operator="lessThan">
      <formula>0</formula>
    </cfRule>
    <cfRule type="cellIs" dxfId="24" priority="46" operator="greaterThanOrEqual">
      <formula>1</formula>
    </cfRule>
  </conditionalFormatting>
  <conditionalFormatting sqref="S14:AF14">
    <cfRule type="cellIs" dxfId="23" priority="30" operator="equal">
      <formula>$H$18</formula>
    </cfRule>
    <cfRule type="cellIs" dxfId="22" priority="47" operator="lessThan">
      <formula>0</formula>
    </cfRule>
    <cfRule type="cellIs" dxfId="21" priority="48" operator="greaterThanOrEqual">
      <formula>1</formula>
    </cfRule>
  </conditionalFormatting>
  <conditionalFormatting sqref="S15:AF15">
    <cfRule type="cellIs" dxfId="20" priority="13" operator="equal">
      <formula>$F$18</formula>
    </cfRule>
    <cfRule type="cellIs" dxfId="19" priority="43" operator="lessThan">
      <formula>0</formula>
    </cfRule>
    <cfRule type="cellIs" dxfId="18" priority="44" operator="greaterThanOrEqual">
      <formula>1</formula>
    </cfRule>
  </conditionalFormatting>
  <conditionalFormatting sqref="S17:AF17">
    <cfRule type="cellIs" dxfId="17" priority="17" operator="greaterThanOrEqual">
      <formula>$J$17</formula>
    </cfRule>
    <cfRule type="cellIs" dxfId="16" priority="18" operator="lessThan">
      <formula>0</formula>
    </cfRule>
    <cfRule type="cellIs" dxfId="15" priority="19" operator="greaterThanOrEqual">
      <formula>1</formula>
    </cfRule>
  </conditionalFormatting>
  <conditionalFormatting sqref="S18:AF18">
    <cfRule type="cellIs" dxfId="14" priority="23" operator="equal">
      <formula>$H$17</formula>
    </cfRule>
    <cfRule type="cellIs" dxfId="13" priority="24" operator="lessThan">
      <formula>0</formula>
    </cfRule>
    <cfRule type="cellIs" dxfId="12" priority="25" operator="greaterThanOrEqual">
      <formula>1</formula>
    </cfRule>
  </conditionalFormatting>
  <conditionalFormatting sqref="S19:AF19">
    <cfRule type="cellIs" dxfId="11" priority="1" operator="equal">
      <formula>$F$17</formula>
    </cfRule>
    <cfRule type="cellIs" dxfId="10" priority="2" operator="lessThan">
      <formula>0</formula>
    </cfRule>
    <cfRule type="cellIs" dxfId="9" priority="3" operator="greaterThanOrEqual">
      <formula>1</formula>
    </cfRule>
  </conditionalFormatting>
  <conditionalFormatting sqref="S21:AF21">
    <cfRule type="cellIs" dxfId="8" priority="14" operator="greaterThanOrEqual">
      <formula>$J$16</formula>
    </cfRule>
    <cfRule type="cellIs" dxfId="7" priority="15" operator="lessThan">
      <formula>0</formula>
    </cfRule>
    <cfRule type="cellIs" dxfId="6" priority="16" operator="greaterThanOrEqual">
      <formula>1</formula>
    </cfRule>
  </conditionalFormatting>
  <conditionalFormatting sqref="S22:AF22">
    <cfRule type="cellIs" dxfId="5" priority="20" operator="equal">
      <formula>$H$16</formula>
    </cfRule>
    <cfRule type="cellIs" dxfId="4" priority="21" operator="lessThan">
      <formula>0</formula>
    </cfRule>
    <cfRule type="cellIs" dxfId="3" priority="22" operator="greaterThanOrEqual">
      <formula>1</formula>
    </cfRule>
  </conditionalFormatting>
  <conditionalFormatting sqref="S23:AF23">
    <cfRule type="cellIs" dxfId="2" priority="4" operator="equal">
      <formula>$F$16</formula>
    </cfRule>
    <cfRule type="cellIs" dxfId="1" priority="5" operator="lessThan">
      <formula>0</formula>
    </cfRule>
    <cfRule type="cellIs" dxfId="0" priority="6" operator="greaterThanOrEqual">
      <formula>1</formula>
    </cfRule>
  </conditionalFormatting>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5"/>
  <sheetViews>
    <sheetView workbookViewId="0">
      <selection activeCell="E9" sqref="E9"/>
    </sheetView>
  </sheetViews>
  <sheetFormatPr baseColWidth="10" defaultRowHeight="15"/>
  <cols>
    <col min="2" max="2" width="45.85546875" customWidth="1"/>
    <col min="3" max="3" width="14.5703125" customWidth="1"/>
  </cols>
  <sheetData>
    <row r="2" spans="1:4" ht="18.75">
      <c r="A2" s="236" t="s">
        <v>124</v>
      </c>
      <c r="B2" s="236" t="s">
        <v>125</v>
      </c>
      <c r="C2" s="236" t="s">
        <v>126</v>
      </c>
      <c r="D2" s="236" t="s">
        <v>127</v>
      </c>
    </row>
    <row r="3" spans="1:4" ht="24" customHeight="1">
      <c r="A3" s="341">
        <v>45646</v>
      </c>
      <c r="B3" s="453" t="s">
        <v>451</v>
      </c>
      <c r="C3" s="342">
        <v>2</v>
      </c>
      <c r="D3" s="342">
        <v>0</v>
      </c>
    </row>
    <row r="4" spans="1:4" ht="27.75" customHeight="1">
      <c r="A4" s="341">
        <v>45660</v>
      </c>
      <c r="B4" s="453" t="s">
        <v>452</v>
      </c>
      <c r="C4" s="342">
        <v>-1</v>
      </c>
      <c r="D4" s="342">
        <v>0</v>
      </c>
    </row>
    <row r="5" spans="1:4" ht="26.25" customHeight="1">
      <c r="A5" s="341">
        <v>45677</v>
      </c>
      <c r="B5" s="453" t="s">
        <v>453</v>
      </c>
      <c r="C5" s="342">
        <v>1</v>
      </c>
      <c r="D5" s="342">
        <v>0</v>
      </c>
    </row>
    <row r="6" spans="1:4" ht="24" customHeight="1">
      <c r="A6" s="341">
        <v>45683</v>
      </c>
      <c r="B6" s="453" t="s">
        <v>454</v>
      </c>
      <c r="C6" s="342">
        <v>-1</v>
      </c>
      <c r="D6" s="342">
        <v>0</v>
      </c>
    </row>
    <row r="7" spans="1:4" ht="27.75" customHeight="1">
      <c r="A7" s="341">
        <v>45783</v>
      </c>
      <c r="B7" s="453" t="s">
        <v>455</v>
      </c>
      <c r="C7" s="342">
        <v>2</v>
      </c>
      <c r="D7" s="342">
        <v>0</v>
      </c>
    </row>
    <row r="8" spans="1:4" ht="27.75" customHeight="1">
      <c r="A8" s="341">
        <v>45791</v>
      </c>
      <c r="B8" s="453" t="s">
        <v>456</v>
      </c>
      <c r="C8" s="342">
        <v>-1</v>
      </c>
      <c r="D8" s="342">
        <v>0</v>
      </c>
    </row>
    <row r="9" spans="1:4" ht="24.75" customHeight="1">
      <c r="A9" s="341">
        <v>45807</v>
      </c>
      <c r="B9" s="453" t="s">
        <v>457</v>
      </c>
      <c r="C9" s="342">
        <v>2</v>
      </c>
      <c r="D9" s="342">
        <v>0</v>
      </c>
    </row>
    <row r="10" spans="1:4" ht="33.75" customHeight="1">
      <c r="A10" s="341">
        <v>45814</v>
      </c>
      <c r="B10" s="340" t="s">
        <v>458</v>
      </c>
      <c r="C10" s="342">
        <v>-1</v>
      </c>
      <c r="D10" s="342">
        <v>0</v>
      </c>
    </row>
    <row r="11" spans="1:4" ht="14.25" customHeight="1">
      <c r="A11" s="341">
        <v>45821</v>
      </c>
      <c r="B11" s="453" t="s">
        <v>459</v>
      </c>
      <c r="C11" s="342">
        <v>1</v>
      </c>
      <c r="D11" s="342">
        <v>0</v>
      </c>
    </row>
    <row r="12" spans="1:4">
      <c r="A12" s="341">
        <v>45828</v>
      </c>
      <c r="B12" s="453" t="s">
        <v>460</v>
      </c>
      <c r="C12" s="342">
        <v>-1</v>
      </c>
      <c r="D12" s="342">
        <v>0</v>
      </c>
    </row>
    <row r="13" spans="1:4">
      <c r="A13" s="341">
        <v>45835</v>
      </c>
      <c r="B13" s="453" t="s">
        <v>461</v>
      </c>
      <c r="C13" s="342">
        <v>1</v>
      </c>
      <c r="D13" s="342">
        <v>0</v>
      </c>
    </row>
    <row r="14" spans="1:4" ht="45">
      <c r="A14" s="451">
        <v>45838</v>
      </c>
      <c r="B14" s="455" t="s">
        <v>462</v>
      </c>
      <c r="C14" s="452">
        <v>-1</v>
      </c>
      <c r="D14" s="452">
        <v>0</v>
      </c>
    </row>
    <row r="15" spans="1:4" ht="30">
      <c r="A15" s="456">
        <v>45840</v>
      </c>
      <c r="B15" s="454" t="s">
        <v>463</v>
      </c>
      <c r="C15" s="71">
        <v>2</v>
      </c>
      <c r="D15" s="71">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Props1.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2.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83E8CA1-0683-49D4-9501-EE88776F2630}">
  <ds:schemaRefs>
    <ds:schemaRef ds:uri="cc851cf5-9d25-4af0-b62f-d23d0a4f5e5c"/>
    <ds:schemaRef ds:uri="http://www.w3.org/XML/1998/namespace"/>
    <ds:schemaRef ds:uri="http://purl.org/dc/dcmitype/"/>
    <ds:schemaRef ds:uri="http://purl.org/dc/terms/"/>
    <ds:schemaRef ds:uri="http://schemas.microsoft.com/office/2006/documentManagement/types"/>
    <ds:schemaRef ds:uri="http://purl.org/dc/elements/1.1/"/>
    <ds:schemaRef ds:uri="http://schemas.microsoft.com/office/2006/metadata/properties"/>
    <ds:schemaRef ds:uri="954542bb-2825-439d-9db6-a5c04d3b21fd"/>
    <ds:schemaRef ds:uri="http://schemas.microsoft.com/office/infopath/2007/PartnerControls"/>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8</vt:i4>
      </vt:variant>
    </vt:vector>
  </HeadingPairs>
  <TitlesOfParts>
    <vt:vector size="24" baseType="lpstr">
      <vt:lpstr>Portada</vt:lpstr>
      <vt:lpstr>01-PANEL</vt:lpstr>
      <vt:lpstr>data_panel</vt:lpstr>
      <vt:lpstr>02-ESTADO NC</vt:lpstr>
      <vt:lpstr>03-  ESTADO REGIONES</vt:lpstr>
      <vt:lpstr>data_status_NC</vt:lpstr>
      <vt:lpstr>data_status_reg</vt:lpstr>
      <vt:lpstr>Ev Proveedores</vt:lpstr>
      <vt:lpstr>Convenios ADP</vt:lpstr>
      <vt:lpstr>Convenios ADP_II</vt:lpstr>
      <vt:lpstr>Gestión de riesgos</vt:lpstr>
      <vt:lpstr>data_riesgos</vt:lpstr>
      <vt:lpstr>Planes de tratamientos</vt:lpstr>
      <vt:lpstr>programas sociales</vt:lpstr>
      <vt:lpstr>Planes tratamientos</vt:lpstr>
      <vt:lpstr>datos_graficos</vt:lpstr>
      <vt:lpstr>'03-  ESTADO REGIONES'!Área_de_impresión</vt:lpstr>
      <vt:lpstr>'Convenios ADP'!Área_de_impresión</vt:lpstr>
      <vt:lpstr>'Convenios ADP_II'!Área_de_impresión</vt:lpstr>
      <vt:lpstr>'Ev Proveedores'!Área_de_impresión</vt:lpstr>
      <vt:lpstr>'Gestión de riesgos'!Área_de_impresión</vt:lpstr>
      <vt:lpstr>'Planes de tratamientos'!Área_de_impresión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2025-07-23T20:21:56Z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