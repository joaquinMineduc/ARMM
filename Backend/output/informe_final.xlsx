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 hidePivotFieldList="1" defaultThemeVersion="124226"/>
  <xr:revisionPtr revIDLastSave="0" documentId="8_{245D0653-E743-40E7-9084-4DDDAB76CEB9}" xr6:coauthVersionLast="47" xr6:coauthVersionMax="47" xr10:uidLastSave="{00000000-0000-0000-0000-000000000000}"/>
  <bookViews>
    <workbookView xWindow="-120" yWindow="-120" windowWidth="20730" windowHeight="11040" tabRatio="733" firstSheet="7" activeTab="7" xr2:uid="{00000000-000D-0000-FFFF-FFFF00000000}"/>
  </bookViews>
  <sheets>
    <sheet name="Portada" sheetId="52" r:id="rId1"/>
    <sheet name="01-PANEL" sheetId="35" r:id="rId2"/>
    <sheet name="data_panel" sheetId="36" state="hidden" r:id="rId3"/>
    <sheet name="02-ESTADO NC" sheetId="20" r:id="rId4"/>
    <sheet name="03-  ESTADO REGIONES" sheetId="32" r:id="rId5"/>
    <sheet name="data_status_NC" sheetId="33" state="hidden" r:id="rId6"/>
    <sheet name="data_status_reg" sheetId="46" state="hidden" r:id="rId7"/>
    <sheet name="Ev Proveedores" sheetId="43" r:id="rId8"/>
    <sheet name="Convenios ADP" sheetId="45" r:id="rId9"/>
    <sheet name="Gestión de riesgos" sheetId="48" r:id="rId10"/>
    <sheet name="data_riesgos" sheetId="49" state="hidden" r:id="rId11"/>
    <sheet name="programas sociales" sheetId="50" r:id="rId12"/>
    <sheet name="datos_graficos" sheetId="51" state="hidden" r:id="rId13"/>
  </sheets>
  <definedNames>
    <definedName name="_xlnm.Print_Area" localSheetId="4">'03-  ESTADO REGIONES'!$A$1:$R$23</definedName>
    <definedName name="_xlnm.Print_Area" localSheetId="8">'Convenios ADP'!$A$1:$L$23</definedName>
    <definedName name="_xlnm.Print_Area" localSheetId="7">'Ev Proveedores'!$B$2:$O$34</definedName>
    <definedName name="_xlnm.Print_Area" localSheetId="9">'Gestión de riesgos'!$A$1:$AA$48</definedName>
    <definedName name="_xlnm.Print_Area" localSheetId="0">Portada!$B$1:$J$21</definedName>
    <definedName name="_xlnm.Print_Area" localSheetId="11">'programas sociales'!$A$1:$P$27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" i="32" l="1"/>
  <c r="P8" i="32"/>
  <c r="P9" i="32"/>
  <c r="P10" i="32"/>
  <c r="P11" i="32"/>
  <c r="P12" i="32"/>
  <c r="P13" i="32"/>
  <c r="P14" i="32"/>
  <c r="P15" i="32"/>
  <c r="P16" i="32"/>
  <c r="P17" i="32"/>
  <c r="P18" i="32"/>
  <c r="P19" i="32"/>
  <c r="P20" i="32"/>
  <c r="P21" i="32"/>
  <c r="P6" i="32"/>
  <c r="C8" i="35"/>
  <c r="H27" i="50"/>
  <c r="H23" i="50"/>
  <c r="F23" i="50"/>
  <c r="D25" i="35"/>
  <c r="O38" i="48" l="1"/>
  <c r="H33" i="48" s="1"/>
  <c r="Q38" i="48"/>
  <c r="S38" i="48"/>
  <c r="H39" i="48" s="1"/>
  <c r="T38" i="48"/>
  <c r="V38" i="48"/>
  <c r="H45" i="48" s="1"/>
  <c r="W38" i="48"/>
  <c r="Y38" i="48"/>
  <c r="H27" i="48" s="1"/>
  <c r="X23" i="48"/>
  <c r="V23" i="48"/>
  <c r="T23" i="48"/>
  <c r="R23" i="48"/>
  <c r="X7" i="48" s="1"/>
  <c r="O23" i="48"/>
  <c r="S7" i="48" s="1"/>
  <c r="L23" i="48"/>
  <c r="N7" i="48" s="1"/>
  <c r="I23" i="48"/>
  <c r="H7" i="48" s="1"/>
  <c r="D6" i="32"/>
  <c r="D52" i="33"/>
  <c r="D48" i="33"/>
  <c r="R10" i="35"/>
  <c r="D13" i="35" s="1"/>
  <c r="R11" i="35"/>
  <c r="D14" i="35" s="1"/>
  <c r="R12" i="35"/>
  <c r="D12" i="35" s="1"/>
  <c r="R13" i="35"/>
  <c r="D11" i="35" s="1"/>
  <c r="D26" i="35"/>
  <c r="D54" i="33"/>
  <c r="D51" i="33"/>
  <c r="D50" i="33"/>
  <c r="D53" i="33"/>
  <c r="D49" i="33"/>
  <c r="D45" i="33"/>
  <c r="D44" i="33"/>
  <c r="D43" i="33"/>
  <c r="D42" i="33"/>
  <c r="D41" i="33"/>
  <c r="D46" i="33"/>
  <c r="D38" i="33"/>
  <c r="D37" i="33"/>
  <c r="D36" i="33"/>
  <c r="D35" i="33"/>
  <c r="D39" i="33"/>
  <c r="D33" i="33"/>
  <c r="D32" i="33"/>
  <c r="D31" i="33"/>
  <c r="D30" i="33"/>
  <c r="D29" i="33"/>
  <c r="D28" i="33"/>
  <c r="D27" i="33"/>
  <c r="D26" i="33"/>
  <c r="D22" i="33"/>
  <c r="D21" i="33"/>
  <c r="D20" i="33"/>
  <c r="D23" i="33"/>
  <c r="D24" i="33"/>
  <c r="D18" i="33"/>
  <c r="D15" i="33"/>
  <c r="D17" i="33"/>
  <c r="D16" i="33"/>
  <c r="D13" i="33"/>
  <c r="D10" i="33"/>
  <c r="D12" i="33"/>
  <c r="D11" i="33"/>
  <c r="D9" i="33"/>
  <c r="D8" i="33"/>
  <c r="D7" i="33"/>
  <c r="D3" i="33"/>
  <c r="M21" i="32"/>
  <c r="M7" i="32"/>
  <c r="M8" i="32"/>
  <c r="M9" i="32"/>
  <c r="M10" i="32"/>
  <c r="M11" i="32"/>
  <c r="M12" i="32"/>
  <c r="M13" i="32"/>
  <c r="M14" i="32"/>
  <c r="M15" i="32"/>
  <c r="M16" i="32"/>
  <c r="M17" i="32"/>
  <c r="M18" i="32"/>
  <c r="M19" i="32"/>
  <c r="M20" i="32"/>
  <c r="M6" i="32"/>
  <c r="J21" i="32"/>
  <c r="J7" i="32"/>
  <c r="J8" i="32"/>
  <c r="J9" i="32"/>
  <c r="J10" i="32"/>
  <c r="J11" i="32"/>
  <c r="J12" i="32"/>
  <c r="J13" i="32"/>
  <c r="J14" i="32"/>
  <c r="J15" i="32"/>
  <c r="J16" i="32"/>
  <c r="J17" i="32"/>
  <c r="J18" i="32"/>
  <c r="J19" i="32"/>
  <c r="J20" i="32"/>
  <c r="J6" i="32"/>
  <c r="G20" i="32"/>
  <c r="G19" i="32"/>
  <c r="G7" i="32"/>
  <c r="G8" i="32"/>
  <c r="G9" i="32"/>
  <c r="G10" i="32"/>
  <c r="G11" i="32"/>
  <c r="G12" i="32"/>
  <c r="G13" i="32"/>
  <c r="G14" i="32"/>
  <c r="G15" i="32"/>
  <c r="G16" i="32"/>
  <c r="G17" i="32"/>
  <c r="G6" i="32"/>
  <c r="D21" i="32"/>
  <c r="D7" i="32"/>
  <c r="D8" i="32"/>
  <c r="D9" i="32"/>
  <c r="D10" i="32"/>
  <c r="D11" i="32"/>
  <c r="D12" i="32"/>
  <c r="D13" i="32"/>
  <c r="D14" i="32"/>
  <c r="D15" i="32"/>
  <c r="D16" i="32"/>
  <c r="D17" i="32"/>
  <c r="D18" i="32"/>
  <c r="D19" i="32"/>
  <c r="D20" i="32"/>
  <c r="D5" i="33"/>
  <c r="O14" i="35"/>
  <c r="D28" i="35"/>
  <c r="D27" i="35"/>
  <c r="M14" i="35"/>
  <c r="K14" i="35"/>
  <c r="O45" i="48" l="1"/>
  <c r="R14" i="35"/>
  <c r="D15" i="35" s="1"/>
  <c r="D29" i="35"/>
  <c r="D4" i="33" l="1"/>
</calcChain>
</file>

<file path=xl/sharedStrings.xml><?xml version="1.0" encoding="utf-8"?>
<sst xmlns="http://schemas.openxmlformats.org/spreadsheetml/2006/main" count="857" uniqueCount="418">
  <si>
    <t>SUBSECRETARÍA DE EDUCACIÓN</t>
  </si>
  <si>
    <t>TIPO</t>
  </si>
  <si>
    <t>RIESGO BAJO</t>
  </si>
  <si>
    <t>RIESGO MEDIO</t>
  </si>
  <si>
    <t>RIESGO ALTO</t>
  </si>
  <si>
    <t>TOTAL INDICADORES</t>
  </si>
  <si>
    <t>PMG</t>
  </si>
  <si>
    <t>H</t>
  </si>
  <si>
    <t>CDC NIVEL CENTRAL</t>
  </si>
  <si>
    <t>CDC REGIONES</t>
  </si>
  <si>
    <t>TOTAL</t>
  </si>
  <si>
    <t>Total general</t>
  </si>
  <si>
    <t>INDICADORES CON RIESGO</t>
  </si>
  <si>
    <t>Bajo</t>
  </si>
  <si>
    <t>Medio</t>
  </si>
  <si>
    <t>Alto</t>
  </si>
  <si>
    <t>DAG</t>
  </si>
  <si>
    <t>DIPLAP</t>
  </si>
  <si>
    <t>CPEIP</t>
  </si>
  <si>
    <t>DEG</t>
  </si>
  <si>
    <t>UCE</t>
  </si>
  <si>
    <t>CDC</t>
  </si>
  <si>
    <t>Jurídica</t>
  </si>
  <si>
    <t>Tarapacá</t>
  </si>
  <si>
    <t>Antofagasta</t>
  </si>
  <si>
    <t>Atacama</t>
  </si>
  <si>
    <t>Coquimbo</t>
  </si>
  <si>
    <t>Valparaíso</t>
  </si>
  <si>
    <t>O'Higgins</t>
  </si>
  <si>
    <t>Maule</t>
  </si>
  <si>
    <t>Biobío</t>
  </si>
  <si>
    <t>Araucanía</t>
  </si>
  <si>
    <t>Los Lagos</t>
  </si>
  <si>
    <t>Aysén</t>
  </si>
  <si>
    <t>Magallanes</t>
  </si>
  <si>
    <t>Metropolitana</t>
  </si>
  <si>
    <t>Los Ríos</t>
  </si>
  <si>
    <t>Arica y Parinacota</t>
  </si>
  <si>
    <t>Ñuble</t>
  </si>
  <si>
    <t>Variable</t>
  </si>
  <si>
    <t>Valor Informe Mes</t>
  </si>
  <si>
    <t>Gabinete Ministro</t>
  </si>
  <si>
    <t>CDC: Auditorías del Plan Anual de Auditoría</t>
  </si>
  <si>
    <t>CDC: Solicitudes de información respondidas</t>
  </si>
  <si>
    <t>CDC: Documentos publicados en web Centro de Estudios</t>
  </si>
  <si>
    <t>PMG: Medidas de Equidad de Género</t>
  </si>
  <si>
    <t>Gabinete Subsecretaria</t>
  </si>
  <si>
    <t>CDC: Solicitudes de certificados de estudio</t>
  </si>
  <si>
    <t xml:space="preserve">CDC: Acciones formativas del Centro de Innovación </t>
  </si>
  <si>
    <t>CDC: Compra de equipamiento</t>
  </si>
  <si>
    <t xml:space="preserve">PMG: Sistema Calidad de Servicio y Experiencia </t>
  </si>
  <si>
    <t>H: Kit material Educación No Sexista</t>
  </si>
  <si>
    <t>H: Servicio de conectividad a internet</t>
  </si>
  <si>
    <t>H: Sesión de tutoria de cupos</t>
  </si>
  <si>
    <t>CDC: Formación inicial docente</t>
  </si>
  <si>
    <t>CDC: Diseño de ofertas formativas</t>
  </si>
  <si>
    <t>CDC: Diseño de modelos de inducción docente</t>
  </si>
  <si>
    <t>H: Provincias que participan de acciones de CPEIP</t>
  </si>
  <si>
    <t>CDC: Inscipción para completar los estudios</t>
  </si>
  <si>
    <t>CDC: Acciones plan de difusión</t>
  </si>
  <si>
    <t>CDC: Procesos de validación de estudios</t>
  </si>
  <si>
    <t>H: Acompañamiento EE con subvención</t>
  </si>
  <si>
    <t xml:space="preserve">CDC: Tickets de atención resueltos </t>
  </si>
  <si>
    <t>CDC: Sitios web con certificados de sitio seguro</t>
  </si>
  <si>
    <t>CDC: Sistemas definidos como críticos</t>
  </si>
  <si>
    <t>CDC: Asistencia vía SIGE</t>
  </si>
  <si>
    <t>CDC: Transacciones a través del sistema SIGPA</t>
  </si>
  <si>
    <t>CDC: Procesos documentados URAE</t>
  </si>
  <si>
    <t>PMG: Concentración del Gasto</t>
  </si>
  <si>
    <t>PMG: Transformación Digital</t>
  </si>
  <si>
    <t>CDC: Solicitudes de beneficios y/o préstamos</t>
  </si>
  <si>
    <t>CDC: Expedientes de compras</t>
  </si>
  <si>
    <t>CDC: Cierres contables oportunos</t>
  </si>
  <si>
    <t>CDC: Contratos nuevos a honorarios NC</t>
  </si>
  <si>
    <t>PMG: Sistema Estado Verde</t>
  </si>
  <si>
    <t>CDC: Recursos de Lectura, Aprendizaje y Bibliotecas</t>
  </si>
  <si>
    <t>CDC: Ejecución del plan de Desarrollo Curricular</t>
  </si>
  <si>
    <t>CDC: Difusión de instrumentos curriculares</t>
  </si>
  <si>
    <t>CDC: Modernización de textos escolares</t>
  </si>
  <si>
    <t>CDC: Ejecución del plan de Evaluación y Estándares</t>
  </si>
  <si>
    <t>H: Textos Escolares entregados</t>
  </si>
  <si>
    <t>CDC: Recursos de apelación, reclamación</t>
  </si>
  <si>
    <t xml:space="preserve">CDC: Actos administrativos con una Licitación Pública </t>
  </si>
  <si>
    <t>CDC: Propuestas de convenios o reformulación</t>
  </si>
  <si>
    <t>CDC: Actos administrativos que transfieren recursos</t>
  </si>
  <si>
    <t>CDC: Actos administrativos artículo 11 de la Ley N°20.159</t>
  </si>
  <si>
    <t>CDC: Actos administrativos Bases Admin. y Técnicas</t>
  </si>
  <si>
    <t>CDC: Defensas a recursos de protección</t>
  </si>
  <si>
    <t>REGIONES : ESTADO RIESGO INDICADORES POR CR AL CIERRE:</t>
  </si>
  <si>
    <t>REGIÓN</t>
  </si>
  <si>
    <t xml:space="preserve">CDC: Acciones del plan regional ejecutadas </t>
  </si>
  <si>
    <t>CDC: solicitudes de certificados de estudio no disponibles en línea</t>
  </si>
  <si>
    <t>CDC: capacitaciones a sostenedores</t>
  </si>
  <si>
    <t>No aplica</t>
  </si>
  <si>
    <t>Cod_Sigemet</t>
  </si>
  <si>
    <t>EVALUACIÓN PROVEEDORES INDICADORES</t>
  </si>
  <si>
    <t>La evaluación de proveedores consiste en medir de manera mensual la calidad de la información que reportan las distintas Divisiones, Departamentos y Unidades Estratégicas que tienen indicadores PMG H y/o CDC. En esta medición se analizan principalmente tres variables: oportunidad, consistencia y completitud de la información , elementos fundamentales para el cumplimiento de los indicadores del Servicio.</t>
  </si>
  <si>
    <t>Cumpl. promedio</t>
  </si>
  <si>
    <t>División</t>
  </si>
  <si>
    <t>Oportunidad</t>
  </si>
  <si>
    <t>Consistencia</t>
  </si>
  <si>
    <t>Completitud</t>
  </si>
  <si>
    <t>LEYENDA EVALUACIÓN PROVEEDORES</t>
  </si>
  <si>
    <t>Se entrega la información de variables e indicadores dentro del plazo establecido</t>
  </si>
  <si>
    <t>La información entregada es consistente para cada variable e indicador (avance, medios, análisis y riesgo)</t>
  </si>
  <si>
    <t>Se carga toda la información de cada variable e indicador (avance, medios, análisis y riesgo)</t>
  </si>
  <si>
    <t>Servicio</t>
  </si>
  <si>
    <t>Convenio totalmente tramitado</t>
  </si>
  <si>
    <t>Evaluación Año 1</t>
  </si>
  <si>
    <t>Monitoreo Año 1</t>
  </si>
  <si>
    <t>Monitoreo Año 2</t>
  </si>
  <si>
    <t>Monitoreo Año 3</t>
  </si>
  <si>
    <t>Evaluación Año 3</t>
  </si>
  <si>
    <t>CRUCH</t>
  </si>
  <si>
    <t>JUNAEB</t>
  </si>
  <si>
    <t>Agencia de Calidad</t>
  </si>
  <si>
    <t>DEP</t>
  </si>
  <si>
    <t>Superintendencia de Educación</t>
  </si>
  <si>
    <t>JUNJI</t>
  </si>
  <si>
    <t>Superintendencia de Educación Superior</t>
  </si>
  <si>
    <t>Convenios Alta Dirección Pública</t>
  </si>
  <si>
    <t>El cumplimiento de los hitos está normado por la ley 19.882 e instructivo del Servicio Civil (SC)</t>
  </si>
  <si>
    <t xml:space="preserve"> - Todos los Convenios de Alta Dirección Pública (CADP) expuestos, se encuentran vigentes a la fecha del reporte.​</t>
  </si>
  <si>
    <t xml:space="preserve"> - Las fechas expuestas representan Las fechas de corte donde se inicia cada  proceso.​</t>
  </si>
  <si>
    <t>Leyenda</t>
  </si>
  <si>
    <t>Comentarios por Servicio:</t>
  </si>
  <si>
    <t>Regiones</t>
  </si>
  <si>
    <t>Estado</t>
  </si>
  <si>
    <t>Herramientas del Proceso de Gestión de Riesgo</t>
  </si>
  <si>
    <t xml:space="preserve">Instrumentos </t>
  </si>
  <si>
    <t xml:space="preserve">Estado </t>
  </si>
  <si>
    <t>Año última actualización</t>
  </si>
  <si>
    <t xml:space="preserve">Alerta </t>
  </si>
  <si>
    <t>Procesos</t>
  </si>
  <si>
    <t>Etapas</t>
  </si>
  <si>
    <t>Riesgos</t>
  </si>
  <si>
    <t xml:space="preserve">Matriz de Riesgos 2024 – Subsecretaría de Educación </t>
  </si>
  <si>
    <t>Nombre del CR</t>
  </si>
  <si>
    <t>Cantidad de Procesos</t>
  </si>
  <si>
    <t>Cantidad de Subprocesos</t>
  </si>
  <si>
    <t>Cantidad de Etapas</t>
  </si>
  <si>
    <t>Cantidad de Riesgos</t>
  </si>
  <si>
    <t xml:space="preserve">Riesgos Financieros </t>
  </si>
  <si>
    <t>Riesgos Estratégicos</t>
  </si>
  <si>
    <t xml:space="preserve">Señales de Alerta </t>
  </si>
  <si>
    <t>Total</t>
  </si>
  <si>
    <t>Monitoreo Plan de Tratamiento de Riesgos 2024</t>
  </si>
  <si>
    <t>Tipo de Riesgos</t>
  </si>
  <si>
    <t>Alerta</t>
  </si>
  <si>
    <t>Financieros</t>
  </si>
  <si>
    <t>Estratégicos</t>
  </si>
  <si>
    <t>Señales de Alerta</t>
  </si>
  <si>
    <t xml:space="preserve">    Subprocesos</t>
  </si>
  <si>
    <t>Riesgos por CR que deben comprometer Planes de Tratamiento para el año 2024</t>
  </si>
  <si>
    <t>RE</t>
  </si>
  <si>
    <t>RE/SA</t>
  </si>
  <si>
    <t>RF</t>
  </si>
  <si>
    <t>RF/SA</t>
  </si>
  <si>
    <t>RI</t>
  </si>
  <si>
    <t>RI/SA</t>
  </si>
  <si>
    <t>Planes de Tratamiento</t>
  </si>
  <si>
    <t>Institucionales</t>
  </si>
  <si>
    <t>Matriz de Riesgo - Mapa de Calor</t>
  </si>
  <si>
    <t>Impacto</t>
  </si>
  <si>
    <t>Insignificantes</t>
  </si>
  <si>
    <t>Menores</t>
  </si>
  <si>
    <t>Moderadas</t>
  </si>
  <si>
    <t>Mayores</t>
  </si>
  <si>
    <t>Catastróficas</t>
  </si>
  <si>
    <t>Probabilidad</t>
  </si>
  <si>
    <t>IMPACTO</t>
  </si>
  <si>
    <t xml:space="preserve">
</t>
  </si>
  <si>
    <t>_x000D_</t>
  </si>
  <si>
    <t xml:space="preserve">NIVEL CENTRAL: ESTADO DE RIESGO INDICADORES POR CR AL CIERRE DE </t>
  </si>
  <si>
    <t>POR INSTRUMENTO DE GESTIÓN</t>
  </si>
  <si>
    <t>Evaluacion Año 2</t>
  </si>
  <si>
    <t>PROGRAMAS SOCIALES</t>
  </si>
  <si>
    <t>MINISTERIO DE EDUCACIÓN</t>
  </si>
  <si>
    <t>SUBSECRETARÍA/SERVICIO</t>
  </si>
  <si>
    <t>SUBSECRETARÍA / SERVICIO</t>
  </si>
  <si>
    <t>MONITOREO</t>
  </si>
  <si>
    <t>Monitoreo</t>
  </si>
  <si>
    <t>PROGRAMA</t>
  </si>
  <si>
    <t>CATEGORÍA</t>
  </si>
  <si>
    <t>Total programas</t>
  </si>
  <si>
    <t>Fecha</t>
  </si>
  <si>
    <t>FECHA</t>
  </si>
  <si>
    <t>EVENTO</t>
  </si>
  <si>
    <t>POSICIÓN</t>
  </si>
  <si>
    <t>EJE</t>
  </si>
  <si>
    <t xml:space="preserve">Reporte mensual de avance de indicadores </t>
  </si>
  <si>
    <t>Departamento de Planificación y Control de Gestión</t>
  </si>
  <si>
    <t>División de Planificación y Presupuesto</t>
  </si>
  <si>
    <t>Subsecretaría de Educación</t>
  </si>
  <si>
    <t>Junta Nacional de Auxilio Escolar y Becas</t>
  </si>
  <si>
    <t>Junta Nacional de Jardines Infantiles</t>
  </si>
  <si>
    <t>Dirección de Educación Pública</t>
  </si>
  <si>
    <t>Subsecretaria de Educación</t>
  </si>
  <si>
    <t>Subsecretaría Educación Parvularia</t>
  </si>
  <si>
    <t>Subsecretaría Educación Superior</t>
  </si>
  <si>
    <t xml:space="preserve">                                                                                                            
                                                                                                                            </t>
  </si>
  <si>
    <t xml:space="preserve">         </t>
  </si>
  <si>
    <t xml:space="preserve">          ESTADO RIESGO INDICADORES </t>
  </si>
  <si>
    <t xml:space="preserve">      SUBSECRETARÍA DE EDUCACIÓN</t>
  </si>
  <si>
    <t>Abreviaturas</t>
  </si>
  <si>
    <r>
      <t xml:space="preserve">RE: </t>
    </r>
    <r>
      <rPr>
        <sz val="18"/>
        <color theme="3"/>
        <rFont val="Calibri"/>
        <family val="2"/>
        <scheme val="minor"/>
      </rPr>
      <t>Riesgos Estratégicos</t>
    </r>
  </si>
  <si>
    <r>
      <t xml:space="preserve">RF: </t>
    </r>
    <r>
      <rPr>
        <sz val="18"/>
        <color theme="3"/>
        <rFont val="Calibri"/>
        <family val="2"/>
        <scheme val="minor"/>
      </rPr>
      <t>Riesgos Financieros</t>
    </r>
  </si>
  <si>
    <r>
      <t xml:space="preserve">RI:  </t>
    </r>
    <r>
      <rPr>
        <sz val="18"/>
        <color theme="3"/>
        <rFont val="Calibri"/>
        <family val="2"/>
        <scheme val="minor"/>
      </rPr>
      <t>Riesgos Institucionales</t>
    </r>
  </si>
  <si>
    <r>
      <t xml:space="preserve">RE/SA: </t>
    </r>
    <r>
      <rPr>
        <sz val="18"/>
        <color theme="3"/>
        <rFont val="Calibri"/>
        <family val="2"/>
        <scheme val="minor"/>
      </rPr>
      <t>Riesgos Estratégicos con Señal de Alerta</t>
    </r>
  </si>
  <si>
    <r>
      <t xml:space="preserve">RF/SA: </t>
    </r>
    <r>
      <rPr>
        <sz val="18"/>
        <color theme="3"/>
        <rFont val="Calibri"/>
        <family val="2"/>
        <scheme val="minor"/>
      </rPr>
      <t>Riesgos Financieros con señal de Alerta</t>
    </r>
  </si>
  <si>
    <r>
      <t xml:space="preserve">RI/SA: </t>
    </r>
    <r>
      <rPr>
        <sz val="18"/>
        <color theme="3"/>
        <rFont val="Calibri"/>
        <family val="2"/>
        <scheme val="minor"/>
      </rPr>
      <t>Riesgos Institucionales con Señal de Alerta</t>
    </r>
  </si>
  <si>
    <t>Proceso de Gestión de Riesgos(PGR)</t>
  </si>
  <si>
    <t>NÚMERO DE PROGRAMAS 2024</t>
  </si>
  <si>
    <t>Total Ex - ante</t>
  </si>
  <si>
    <t>Leyenda:</t>
  </si>
  <si>
    <r>
      <t xml:space="preserve">BP: </t>
    </r>
    <r>
      <rPr>
        <sz val="24"/>
        <color theme="3"/>
        <rFont val="Calibri"/>
        <family val="2"/>
        <scheme val="minor"/>
      </rPr>
      <t>Baja del Proceso</t>
    </r>
  </si>
  <si>
    <r>
      <rPr>
        <b/>
        <sz val="24"/>
        <color theme="3"/>
        <rFont val="Calibri"/>
        <family val="2"/>
        <scheme val="minor"/>
      </rPr>
      <t xml:space="preserve">RF: </t>
    </r>
    <r>
      <rPr>
        <sz val="24"/>
        <color theme="3"/>
        <rFont val="Calibri"/>
        <family val="2"/>
        <scheme val="minor"/>
      </rPr>
      <t>Recomendación Favorable</t>
    </r>
  </si>
  <si>
    <t xml:space="preserve">RESULTADO EX ANTE </t>
  </si>
  <si>
    <t xml:space="preserve"> - Representa los Hitos acumulados que han sido ejecutados al año 2025. ​</t>
  </si>
  <si>
    <t>CDC: Acciones del plan fortalecimineto de la matrícula implementadas</t>
  </si>
  <si>
    <t>CDC: Estudiantes OAP que postulan a 
través del SAE</t>
  </si>
  <si>
    <t>ABRIL - 2025</t>
  </si>
  <si>
    <t>Gab Subse</t>
  </si>
  <si>
    <t>Gab Ministro</t>
  </si>
  <si>
    <t>La Araucanía</t>
  </si>
  <si>
    <t>I16_002-Gabinete Ministerio</t>
  </si>
  <si>
    <t>I20_013-Gabinete Ministerio</t>
  </si>
  <si>
    <t>I20_014-Gabinete Ministerio</t>
  </si>
  <si>
    <t>I19_026-Gabinete Subsecretaría</t>
  </si>
  <si>
    <t>I23_015-Gabinete Subsecretaría</t>
  </si>
  <si>
    <t>I21_001-Gabinete Subsecretaría</t>
  </si>
  <si>
    <t>I24_001-Gabinete Subsecretaría</t>
  </si>
  <si>
    <t>I24_002-Gabinete Subsecretaría</t>
  </si>
  <si>
    <t>I25_002-CPEIP</t>
  </si>
  <si>
    <t>I23_018-CPEIP</t>
  </si>
  <si>
    <t>I25_003-CPEIP</t>
  </si>
  <si>
    <t>I25_001-CPEIP</t>
  </si>
  <si>
    <t>I25_011-DEG</t>
  </si>
  <si>
    <t>I17_001-DEG</t>
  </si>
  <si>
    <t>I23_004-DEG</t>
  </si>
  <si>
    <t>I24_009-DEG</t>
  </si>
  <si>
    <t>I16_043-División de Planificación y Presupuesto</t>
  </si>
  <si>
    <t>I20_011-División de Planificación y Presupuesto</t>
  </si>
  <si>
    <t>I20_012-División de Planificación y Presupuesto</t>
  </si>
  <si>
    <t>I25_012-División de Planificación y Presupuesto</t>
  </si>
  <si>
    <t>I21_002-División de Planificación y Presupuesto</t>
  </si>
  <si>
    <t>I16_054-División de Planificación y Presupuesto</t>
  </si>
  <si>
    <t>I19_012-División de Planificación y Presupuesto</t>
  </si>
  <si>
    <t>I25_005-División de Planificación y Presupuesto</t>
  </si>
  <si>
    <t>I21_007-DAG</t>
  </si>
  <si>
    <t>I25_004-DAG</t>
  </si>
  <si>
    <t>I23_019-DAG</t>
  </si>
  <si>
    <t>I25_013-DAG</t>
  </si>
  <si>
    <t>I20_006-DAG</t>
  </si>
  <si>
    <t>I20_005-DAG</t>
  </si>
  <si>
    <t>I19_020-UCE</t>
  </si>
  <si>
    <t>I21_011-UCE</t>
  </si>
  <si>
    <t>I21_012-UCE</t>
  </si>
  <si>
    <t>I22_006-UCE</t>
  </si>
  <si>
    <t>I19_019-UCE</t>
  </si>
  <si>
    <t>I16_062-UCE</t>
  </si>
  <si>
    <t>I25_010-UCE</t>
  </si>
  <si>
    <t>I16_052-División Jurídica</t>
  </si>
  <si>
    <t>I24_004-División Jurídica</t>
  </si>
  <si>
    <t>I23_007-División Jurídica</t>
  </si>
  <si>
    <t>I22_008-División Jurídica</t>
  </si>
  <si>
    <t>I24_011-División Jurídica</t>
  </si>
  <si>
    <t>I24_003-División Jurídica</t>
  </si>
  <si>
    <t>I16_053-División Jurídica</t>
  </si>
  <si>
    <t>I23_014</t>
  </si>
  <si>
    <t>I16_066</t>
  </si>
  <si>
    <t>I25_007</t>
  </si>
  <si>
    <t>I16_056</t>
  </si>
  <si>
    <t>I25_006</t>
  </si>
  <si>
    <t>I23_014-SECREDUC 01</t>
  </si>
  <si>
    <t>I23_014-SECREDUC 02</t>
  </si>
  <si>
    <t>I23_014-SECREDUC 03</t>
  </si>
  <si>
    <t>I23_014-SECREDUC 04</t>
  </si>
  <si>
    <t>I23_014-SECREDUC 05</t>
  </si>
  <si>
    <t>I23_014-SECREDUC 06</t>
  </si>
  <si>
    <t>I23_014-SECREDUC 07</t>
  </si>
  <si>
    <t>I23_014-SECREDUC 08</t>
  </si>
  <si>
    <t>I23_014-SECREDUC 09</t>
  </si>
  <si>
    <t>I23_014-SECREDUC 10</t>
  </si>
  <si>
    <t>I23_014-SECREDUC 11</t>
  </si>
  <si>
    <t>I23_014-SECREDUC 12</t>
  </si>
  <si>
    <t>I23_014-SECREDUC 13</t>
  </si>
  <si>
    <t>I23_014-SECREDUC 14</t>
  </si>
  <si>
    <t>I23_014-SECREDUC 15</t>
  </si>
  <si>
    <t>I23_014-SECREDUC 16</t>
  </si>
  <si>
    <t>I16_066-SECREDUC 01</t>
  </si>
  <si>
    <t>I16_066-SECREDUC 02</t>
  </si>
  <si>
    <t>I16_066-SECREDUC 03</t>
  </si>
  <si>
    <t>I16_066-SECREDUC 04</t>
  </si>
  <si>
    <t>I16_066-SECREDUC 05</t>
  </si>
  <si>
    <t>I16_066-SECREDUC 06</t>
  </si>
  <si>
    <t>I16_066-SECREDUC 07</t>
  </si>
  <si>
    <t>I16_066-SECREDUC 08</t>
  </si>
  <si>
    <t>I16_066-SECREDUC 09</t>
  </si>
  <si>
    <t>I16_066-SECREDUC 10</t>
  </si>
  <si>
    <t>I16_066-SECREDUC 11</t>
  </si>
  <si>
    <t>I16_066-SECREDUC 12</t>
  </si>
  <si>
    <t>I16_066-SECREDUC 13</t>
  </si>
  <si>
    <t>I16_066-SECREDUC 14</t>
  </si>
  <si>
    <t>I16_066-SECREDUC 15</t>
  </si>
  <si>
    <t>I16_066-SECREDUC 16</t>
  </si>
  <si>
    <t>I25_007-SECREDUC 01</t>
  </si>
  <si>
    <t>I25_007-SECREDUC 02</t>
  </si>
  <si>
    <t>I25_007-SECREDUC 03</t>
  </si>
  <si>
    <t>I25_007-SECREDUC 04</t>
  </si>
  <si>
    <t>I25_007-SECREDUC 05</t>
  </si>
  <si>
    <t>I25_007-SECREDUC 06</t>
  </si>
  <si>
    <t>I25_007-SECREDUC 07</t>
  </si>
  <si>
    <t>I25_007-SECREDUC 08</t>
  </si>
  <si>
    <t>I25_007-SECREDUC 09</t>
  </si>
  <si>
    <t>I25_007-SECREDUC 10</t>
  </si>
  <si>
    <t>I25_007-SECREDUC 11</t>
  </si>
  <si>
    <t>I25_007-SECREDUC 12</t>
  </si>
  <si>
    <t>I25_007-SECREDUC 13</t>
  </si>
  <si>
    <t>I25_007-SECREDUC 14</t>
  </si>
  <si>
    <t>I25_007-SECREDUC 15</t>
  </si>
  <si>
    <t>I25_007-SECREDUC 16</t>
  </si>
  <si>
    <t>I16_056-SECREDUC 01</t>
  </si>
  <si>
    <t>I16_056-SECREDUC 02</t>
  </si>
  <si>
    <t>I16_056-SECREDUC 03</t>
  </si>
  <si>
    <t>I16_056-SECREDUC 04</t>
  </si>
  <si>
    <t>I16_056-SECREDUC 05</t>
  </si>
  <si>
    <t>I16_056-SECREDUC 06</t>
  </si>
  <si>
    <t>I16_056-SECREDUC 07</t>
  </si>
  <si>
    <t>I16_056-SECREDUC 08</t>
  </si>
  <si>
    <t>I16_056-SECREDUC 09</t>
  </si>
  <si>
    <t>I16_056-SECREDUC 10</t>
  </si>
  <si>
    <t>I16_056-SECREDUC 11</t>
  </si>
  <si>
    <t>I16_056-SECREDUC 12</t>
  </si>
  <si>
    <t>I16_056-SECREDUC 13</t>
  </si>
  <si>
    <t>I16_056-SECREDUC 14</t>
  </si>
  <si>
    <t>I16_056-SECREDUC 15</t>
  </si>
  <si>
    <t>I16_056-SECREDUC 16</t>
  </si>
  <si>
    <t>I25_006-SECREDUC 01</t>
  </si>
  <si>
    <t>I25_006-SECREDUC 02</t>
  </si>
  <si>
    <t>I25_006-SECREDUC 03</t>
  </si>
  <si>
    <t>I25_006-SECREDUC 04</t>
  </si>
  <si>
    <t>I25_006-SECREDUC 05</t>
  </si>
  <si>
    <t>I25_006-SECREDUC 06</t>
  </si>
  <si>
    <t>I25_006-SECREDUC 07</t>
  </si>
  <si>
    <t>I25_006-SECREDUC 08</t>
  </si>
  <si>
    <t>I25_006-SECREDUC 09</t>
  </si>
  <si>
    <t>I25_006-SECREDUC 10</t>
  </si>
  <si>
    <t>I25_006-SECREDUC 11</t>
  </si>
  <si>
    <t>I25_006-SECREDUC 12</t>
  </si>
  <si>
    <t>I25_006-SECREDUC 13</t>
  </si>
  <si>
    <t>I25_006-SECREDUC 14</t>
  </si>
  <si>
    <t>I25_006-SECREDUC 15</t>
  </si>
  <si>
    <t>I25_006-SECREDUC 16</t>
  </si>
  <si>
    <t>CNT</t>
  </si>
  <si>
    <t>Recursos Financieros</t>
  </si>
  <si>
    <t>Subvenciones</t>
  </si>
  <si>
    <t>URAE</t>
  </si>
  <si>
    <t>JURID</t>
  </si>
  <si>
    <t>GABMIN</t>
  </si>
  <si>
    <t>Auditoria</t>
  </si>
  <si>
    <t>Estudios</t>
  </si>
  <si>
    <t>Gabinete Subsecretaría</t>
  </si>
  <si>
    <t>Ayuda Mineduc</t>
  </si>
  <si>
    <t>Innovación</t>
  </si>
  <si>
    <t>TP</t>
  </si>
  <si>
    <t>En enero 2025 se envió mediante mail del Jefe del Gabinete del Ministro, el resultado del monitoreo del tercer año de gestión.</t>
  </si>
  <si>
    <t>En marzo 2025 se envió mediante mail del Jefe del Gabinete del Ministro, el resultado del monitoreo del tercer año de gestión.</t>
  </si>
  <si>
    <t>En enero 2025 se tramitó totalmente el acto administrativo que aprueba el grado de cumplimiento global de las metas del convenio del 2do año de gestión.</t>
  </si>
  <si>
    <t>En marzo 2025 se inició el monitoreo del primer año de gestión.</t>
  </si>
  <si>
    <t>En febrero 2025 se tramitó totalmente el acto administrativo que aprueba el grado de cumplimiento global de las metas del convenio del 2do año de gestión.</t>
  </si>
  <si>
    <t>En marzo 2025 se enviaron los antecedentes a la División Jurídica para la elaboración del acto administrativo de la evaluación del segundo año de gestión.</t>
  </si>
  <si>
    <t>Acum ABRIL - 2025</t>
  </si>
  <si>
    <t>Hitos ADP ocurridos al 13 de ABRIL</t>
  </si>
  <si>
    <t>Política de Gestión de Riesgos</t>
  </si>
  <si>
    <t>Ranking de Procesos</t>
  </si>
  <si>
    <t>Matriz de Riesgos</t>
  </si>
  <si>
    <t>Ranking de Riesgos</t>
  </si>
  <si>
    <t>Señales de Alerta - Asociadas a MR</t>
  </si>
  <si>
    <t>Señales de Alerta - No Asociadas a MR</t>
  </si>
  <si>
    <t>Plan de Tratamiento de Riesgos</t>
  </si>
  <si>
    <t>Plan de Comunicaciones y Consulta</t>
  </si>
  <si>
    <t>Pendiente actualizar</t>
  </si>
  <si>
    <t xml:space="preserve">Actualizado </t>
  </si>
  <si>
    <t xml:space="preserve">Institucionales </t>
  </si>
  <si>
    <t>Señales de Alerta no asociadas a MR</t>
  </si>
  <si>
    <t>Se realizará monitoreo con corte al 31/03</t>
  </si>
  <si>
    <t xml:space="preserve">Ciberseguridad </t>
  </si>
  <si>
    <t>GabMin Estudios</t>
  </si>
  <si>
    <t>Ayuda MINEDUC</t>
  </si>
  <si>
    <t>Subsecretaría de Educación Parvularia</t>
  </si>
  <si>
    <t>Subsecretaría de Educación Superior</t>
  </si>
  <si>
    <t>Beca de Apoyo a la Retención Escolar</t>
  </si>
  <si>
    <t>Programa Habilidades para la Vida III</t>
  </si>
  <si>
    <t>Educación Rural</t>
  </si>
  <si>
    <t>Fortalecimiento del aprendizaje del inglés</t>
  </si>
  <si>
    <t>Subvención Escolar Regular</t>
  </si>
  <si>
    <t>Jardines Infantiles y Sala Cuna modalidad No Convencional</t>
  </si>
  <si>
    <t>Vacaciones en mi Jardín</t>
  </si>
  <si>
    <t>Plan de Fortalecimiento de Universidades</t>
  </si>
  <si>
    <t>Beca Bicentenario</t>
  </si>
  <si>
    <t>Red Maestro de Maestros</t>
  </si>
  <si>
    <t>Subvención Pro-Retención</t>
  </si>
  <si>
    <t>Programa Jardín Transitorio Estacional</t>
  </si>
  <si>
    <t>Programa Alternativo de Atención al Párvulo</t>
  </si>
  <si>
    <t>BP</t>
  </si>
  <si>
    <t>Inicio Monitoreo 2024
ejecución año t-1</t>
  </si>
  <si>
    <t>Envío de orientaciones 
a contrapartes internas</t>
  </si>
  <si>
    <t>Reporte en 
plataforma</t>
  </si>
  <si>
    <t>Evaluación
MDSyF</t>
  </si>
  <si>
    <t>Publicación
de informes
de monitoreo</t>
  </si>
  <si>
    <t>Inicio Ex ante</t>
  </si>
  <si>
    <t>Envío de 
lineamientos 
internos</t>
  </si>
  <si>
    <t>Iteración 1</t>
  </si>
  <si>
    <t>Iteración 2</t>
  </si>
  <si>
    <t>Iteración 3</t>
  </si>
  <si>
    <t>Iteración 4</t>
  </si>
  <si>
    <t>Cierre
ex 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</si>
</sst>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.0"/>
  </numFmts>
  <fonts count="9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color theme="0"/>
      <name val="Calibri Light"/>
      <family val="2"/>
    </font>
    <font>
      <b/>
      <sz val="28"/>
      <color theme="0"/>
      <name val="Calibri"/>
      <family val="2"/>
      <scheme val="minor"/>
    </font>
    <font>
      <b/>
      <sz val="14"/>
      <color theme="0"/>
      <name val="Calibri Light"/>
      <family val="2"/>
    </font>
    <font>
      <b/>
      <sz val="14"/>
      <color theme="1"/>
      <name val="Calibri Light"/>
      <family val="2"/>
    </font>
    <font>
      <b/>
      <sz val="14"/>
      <color theme="0"/>
      <name val="Calibri"/>
      <family val="2"/>
      <scheme val="minor"/>
    </font>
    <font>
      <sz val="11"/>
      <color theme="1"/>
      <name val="Calibri Light"/>
      <family val="2"/>
    </font>
    <font>
      <sz val="11"/>
      <color theme="0"/>
      <name val="Calibri Light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0"/>
      <name val="Calibri Ligh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 Light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4"/>
      <color theme="1"/>
      <name val="Calibri Light"/>
      <family val="2"/>
    </font>
    <font>
      <sz val="16"/>
      <color theme="1"/>
      <name val="Calibri Light"/>
      <family val="2"/>
    </font>
    <font>
      <b/>
      <sz val="24"/>
      <color theme="0"/>
      <name val="Calibri"/>
      <family val="2"/>
      <scheme val="minor"/>
    </font>
    <font>
      <b/>
      <sz val="24"/>
      <color rgb="FFFFFF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libri Light"/>
      <family val="2"/>
    </font>
    <font>
      <b/>
      <sz val="16"/>
      <color rgb="FFF4EE00"/>
      <name val="Calibri Light"/>
      <family val="2"/>
    </font>
    <font>
      <b/>
      <sz val="22"/>
      <color theme="0"/>
      <name val="Calibri Light"/>
      <family val="2"/>
    </font>
    <font>
      <sz val="18"/>
      <name val="Calibri Light"/>
      <family val="2"/>
    </font>
    <font>
      <b/>
      <sz val="28"/>
      <color theme="0"/>
      <name val="Calibri Light"/>
      <family val="2"/>
    </font>
    <font>
      <b/>
      <sz val="14"/>
      <color rgb="FF000000"/>
      <name val="Calibri Light"/>
      <family val="2"/>
    </font>
    <font>
      <b/>
      <sz val="11"/>
      <color theme="1"/>
      <name val="Calibri Light"/>
      <family val="2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Calibri Light"/>
      <family val="2"/>
    </font>
    <font>
      <sz val="18"/>
      <color theme="1"/>
      <name val="Calibri Light"/>
      <family val="2"/>
    </font>
    <font>
      <sz val="18"/>
      <color theme="1"/>
      <name val="Calibri"/>
      <family val="2"/>
      <scheme val="minor"/>
    </font>
    <font>
      <sz val="14"/>
      <color rgb="FF000000"/>
      <name val="Calibri Light"/>
      <family val="2"/>
    </font>
    <font>
      <sz val="18"/>
      <color theme="0"/>
      <name val="Calibri"/>
      <family val="2"/>
      <scheme val="minor"/>
    </font>
    <font>
      <b/>
      <u/>
      <sz val="28"/>
      <color rgb="FF002060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0"/>
      <name val="Helvetica Narrow"/>
      <family val="2"/>
    </font>
    <font>
      <b/>
      <sz val="11"/>
      <color theme="0"/>
      <name val="Helvetica Narrow"/>
      <family val="2"/>
    </font>
    <font>
      <sz val="11"/>
      <color theme="1"/>
      <name val="Helvetica Narrow"/>
      <family val="2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cuerpo"/>
    </font>
    <font>
      <b/>
      <sz val="28"/>
      <color theme="3" tint="0.39997558519241921"/>
      <name val="Calibri"/>
      <family val="2"/>
      <scheme val="minor"/>
    </font>
    <font>
      <b/>
      <sz val="11"/>
      <color rgb="FFFFFFFF"/>
      <name val="Calibri Light"/>
      <family val="2"/>
    </font>
    <font>
      <b/>
      <sz val="36"/>
      <color theme="3" tint="0.39997558519241921"/>
      <name val="Calibri"/>
      <family val="2"/>
      <scheme val="minor"/>
    </font>
    <font>
      <b/>
      <sz val="12"/>
      <color rgb="FFFFFFFF"/>
      <name val="Calibri Light"/>
      <family val="2"/>
    </font>
    <font>
      <b/>
      <sz val="14"/>
      <color rgb="FFFFFFFF"/>
      <name val="Calibri Light"/>
      <family val="2"/>
    </font>
    <font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6"/>
      <color rgb="FFFF0000"/>
      <name val="Calibri cuerpo"/>
    </font>
    <font>
      <b/>
      <sz val="1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4"/>
      <color rgb="FFFFFF00"/>
      <name val="Calibri Light"/>
      <family val="2"/>
    </font>
    <font>
      <b/>
      <sz val="16"/>
      <color rgb="FFFFFF00"/>
      <name val="Calibri Light"/>
      <family val="2"/>
    </font>
    <font>
      <b/>
      <sz val="11"/>
      <color theme="0"/>
      <name val="Calibri"/>
      <family val="2"/>
      <scheme val="minor"/>
    </font>
    <font>
      <sz val="14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6"/>
      <color rgb="FF008080"/>
      <name val="Calibri"/>
      <family val="2"/>
      <scheme val="minor"/>
    </font>
    <font>
      <b/>
      <sz val="28"/>
      <color rgb="FF00808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4"/>
      <color rgb="FF000000"/>
      <name val="Aptos Narrow"/>
      <family val="2"/>
    </font>
    <font>
      <sz val="14"/>
      <name val="Aptos Narrow"/>
      <family val="2"/>
    </font>
    <font>
      <b/>
      <sz val="14"/>
      <color rgb="FFFFFFFF"/>
      <name val="Aptos Narrow"/>
      <family val="2"/>
    </font>
    <font>
      <b/>
      <sz val="20"/>
      <color theme="0"/>
      <name val="Calibri Light"/>
      <family val="2"/>
    </font>
    <font>
      <b/>
      <sz val="26"/>
      <color theme="0"/>
      <name val="Calibri Light"/>
      <family val="2"/>
    </font>
    <font>
      <b/>
      <sz val="20"/>
      <color rgb="FFFFFF00"/>
      <name val="Calibri Light"/>
      <family val="2"/>
    </font>
    <font>
      <sz val="18"/>
      <color theme="3"/>
      <name val="Calibri"/>
      <family val="2"/>
      <scheme val="minor"/>
    </font>
    <font>
      <b/>
      <sz val="18"/>
      <color theme="3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4"/>
      <color theme="3"/>
      <name val="Calibri"/>
      <family val="2"/>
      <scheme val="minor"/>
    </font>
    <font>
      <b/>
      <sz val="26"/>
      <color theme="3"/>
      <name val="Calibri"/>
      <family val="2"/>
      <scheme val="minor"/>
    </font>
    <font>
      <sz val="24"/>
      <color theme="3"/>
      <name val="Calibri"/>
      <family val="2"/>
      <scheme val="minor"/>
    </font>
    <font>
      <b/>
      <sz val="16"/>
      <name val="Calibri Light"/>
      <family val="2"/>
    </font>
    <font>
      <sz val="11"/>
      <color rgb="FF000000"/>
      <name val="Aptos Narrow"/>
      <family val="2"/>
    </font>
    <font>
      <b/>
      <sz val="16"/>
      <color rgb="FFF4EE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4EE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7375E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002060"/>
        <bgColor theme="7"/>
      </patternFill>
    </fill>
  </fills>
  <borders count="26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auto="1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/>
      <right style="medium">
        <color indexed="64"/>
      </right>
      <top style="thin">
        <color theme="0"/>
      </top>
      <bottom/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rgb="FFFF0000"/>
      </right>
      <top style="thin">
        <color theme="0"/>
      </top>
      <bottom style="thin">
        <color theme="0"/>
      </bottom>
      <diagonal/>
    </border>
    <border>
      <left/>
      <right style="medium">
        <color rgb="FFFF0000"/>
      </right>
      <top style="thin">
        <color theme="0"/>
      </top>
      <bottom/>
      <diagonal/>
    </border>
    <border>
      <left style="thin">
        <color theme="0"/>
      </left>
      <right/>
      <top style="medium">
        <color rgb="FFFF000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thin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/>
      <right style="medium">
        <color theme="0"/>
      </right>
      <top style="thin">
        <color theme="0"/>
      </top>
      <bottom/>
      <diagonal/>
    </border>
    <border>
      <left style="medium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/>
      <diagonal/>
    </border>
    <border>
      <left style="medium">
        <color theme="3" tint="-0.249977111117893"/>
      </left>
      <right/>
      <top style="medium">
        <color theme="3" tint="-0.249977111117893"/>
      </top>
      <bottom/>
      <diagonal/>
    </border>
    <border>
      <left style="thin">
        <color theme="0"/>
      </left>
      <right style="thin">
        <color theme="0"/>
      </right>
      <top style="medium">
        <color theme="3" tint="-0.249977111117893"/>
      </top>
      <bottom style="thin">
        <color theme="0"/>
      </bottom>
      <diagonal/>
    </border>
    <border>
      <left/>
      <right/>
      <top style="medium">
        <color theme="3" tint="-0.249977111117893"/>
      </top>
      <bottom/>
      <diagonal/>
    </border>
    <border>
      <left style="thin">
        <color theme="0"/>
      </left>
      <right/>
      <top style="medium">
        <color theme="3" tint="-0.249977111117893"/>
      </top>
      <bottom/>
      <diagonal/>
    </border>
    <border>
      <left/>
      <right/>
      <top style="medium">
        <color theme="3" tint="-0.249977111117893"/>
      </top>
      <bottom style="thin">
        <color theme="0"/>
      </bottom>
      <diagonal/>
    </border>
    <border>
      <left style="thin">
        <color theme="0"/>
      </left>
      <right style="medium">
        <color theme="3" tint="-0.249977111117893"/>
      </right>
      <top style="medium">
        <color theme="3" tint="-0.249977111117893"/>
      </top>
      <bottom style="thin">
        <color theme="0"/>
      </bottom>
      <diagonal/>
    </border>
    <border>
      <left style="medium">
        <color theme="3" tint="-0.249977111117893"/>
      </left>
      <right style="thin">
        <color theme="0"/>
      </right>
      <top style="thin">
        <color theme="0"/>
      </top>
      <bottom/>
      <diagonal/>
    </border>
    <border>
      <left style="medium">
        <color rgb="FFFF0000"/>
      </left>
      <right style="medium">
        <color rgb="FFFF000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medium">
        <color theme="1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medium">
        <color theme="1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medium">
        <color theme="1"/>
      </bottom>
      <diagonal/>
    </border>
    <border>
      <left style="thin">
        <color auto="1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/>
      <right style="thin">
        <color theme="0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/>
      <top style="medium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auto="1"/>
      </right>
      <top style="thin">
        <color theme="0"/>
      </top>
      <bottom/>
      <diagonal/>
    </border>
    <border>
      <left/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/>
      <top style="medium">
        <color theme="1"/>
      </top>
      <bottom style="thin">
        <color theme="0"/>
      </bottom>
      <diagonal/>
    </border>
    <border>
      <left/>
      <right/>
      <top style="medium">
        <color theme="1"/>
      </top>
      <bottom style="thin">
        <color theme="0"/>
      </bottom>
      <diagonal/>
    </border>
    <border>
      <left/>
      <right style="medium">
        <color theme="1"/>
      </right>
      <top style="medium">
        <color theme="1"/>
      </top>
      <bottom style="thin">
        <color theme="0"/>
      </bottom>
      <diagonal/>
    </border>
    <border>
      <left/>
      <right style="medium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 style="thin">
        <color theme="0"/>
      </right>
      <top/>
      <bottom style="medium">
        <color theme="0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/>
      <right style="medium">
        <color theme="1"/>
      </right>
      <top style="thin">
        <color theme="0"/>
      </top>
      <bottom/>
      <diagonal/>
    </border>
    <border>
      <left/>
      <right style="medium">
        <color theme="1"/>
      </right>
      <top/>
      <bottom style="thin">
        <color theme="0"/>
      </bottom>
      <diagonal/>
    </border>
    <border>
      <left style="medium">
        <color theme="0"/>
      </left>
      <right style="medium">
        <color theme="0"/>
      </right>
      <top style="thin">
        <color theme="0"/>
      </top>
      <bottom/>
      <diagonal/>
    </border>
    <border>
      <left style="medium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0"/>
      </left>
      <right/>
      <top style="thin">
        <color theme="0"/>
      </top>
      <bottom/>
      <diagonal/>
    </border>
    <border>
      <left style="medium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theme="1"/>
      </left>
      <right style="thin">
        <color auto="1"/>
      </right>
      <top style="medium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theme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medium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0"/>
      </left>
      <right/>
      <top style="thin">
        <color theme="0"/>
      </top>
      <bottom style="medium">
        <color theme="0"/>
      </bottom>
      <diagonal/>
    </border>
    <border>
      <left style="thin">
        <color auto="1"/>
      </left>
      <right style="medium">
        <color theme="1"/>
      </right>
      <top/>
      <bottom style="thin">
        <color indexed="64"/>
      </bottom>
      <diagonal/>
    </border>
    <border>
      <left style="thin">
        <color auto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thin">
        <color auto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medium">
        <color indexed="64"/>
      </top>
      <bottom style="thin">
        <color rgb="FF00206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rgb="FF00206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rgb="FF002060"/>
      </bottom>
      <diagonal/>
    </border>
    <border>
      <left style="medium">
        <color indexed="64"/>
      </left>
      <right/>
      <top style="thin">
        <color theme="0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1"/>
      </bottom>
      <diagonal/>
    </border>
    <border>
      <left/>
      <right style="thin">
        <color theme="0"/>
      </right>
      <top/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medium">
        <color theme="0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/>
      <bottom/>
      <diagonal/>
    </border>
    <border>
      <left style="thin">
        <color theme="0"/>
      </left>
      <right style="medium">
        <color theme="1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medium">
        <color theme="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theme="0"/>
      </right>
      <top style="medium">
        <color theme="1"/>
      </top>
      <bottom style="thin">
        <color theme="0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/>
      <top style="thin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indexed="64"/>
      </top>
      <bottom style="medium">
        <color theme="1"/>
      </bottom>
      <diagonal/>
    </border>
    <border>
      <left/>
      <right style="thin">
        <color auto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/>
      <right style="medium">
        <color theme="1"/>
      </right>
      <top style="thin">
        <color theme="0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0"/>
      </bottom>
      <diagonal/>
    </border>
    <border>
      <left style="medium">
        <color theme="1"/>
      </left>
      <right/>
      <top style="thin">
        <color theme="0"/>
      </top>
      <bottom style="medium">
        <color theme="1"/>
      </bottom>
      <diagonal/>
    </border>
    <border>
      <left style="medium">
        <color theme="1"/>
      </left>
      <right/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1"/>
      </right>
      <top style="medium">
        <color theme="1"/>
      </top>
      <bottom/>
      <diagonal/>
    </border>
    <border>
      <left/>
      <right style="thin">
        <color theme="0"/>
      </right>
      <top style="medium">
        <color theme="0"/>
      </top>
      <bottom/>
      <diagonal/>
    </border>
    <border>
      <left style="medium">
        <color theme="1"/>
      </left>
      <right/>
      <top/>
      <bottom style="medium">
        <color theme="0"/>
      </bottom>
      <diagonal/>
    </border>
    <border>
      <left/>
      <right style="thin">
        <color indexed="64"/>
      </right>
      <top style="thin">
        <color theme="1"/>
      </top>
      <bottom style="thin">
        <color auto="1"/>
      </bottom>
      <diagonal/>
    </border>
    <border>
      <left style="medium">
        <color theme="0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medium">
        <color theme="1"/>
      </left>
      <right style="medium">
        <color theme="0"/>
      </right>
      <top style="medium">
        <color theme="0"/>
      </top>
      <bottom/>
      <diagonal/>
    </border>
    <border>
      <left style="medium">
        <color theme="1"/>
      </left>
      <right/>
      <top style="medium">
        <color theme="0"/>
      </top>
      <bottom style="medium">
        <color theme="0"/>
      </bottom>
      <diagonal/>
    </border>
    <border>
      <left style="medium">
        <color theme="1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/>
      <right style="medium">
        <color theme="0"/>
      </right>
      <top/>
      <bottom style="thin">
        <color theme="0"/>
      </bottom>
      <diagonal/>
    </border>
    <border>
      <left style="medium">
        <color theme="1"/>
      </left>
      <right/>
      <top style="thin">
        <color theme="0"/>
      </top>
      <bottom style="medium">
        <color theme="0"/>
      </bottom>
      <diagonal/>
    </border>
    <border>
      <left style="thin">
        <color theme="0"/>
      </left>
      <right/>
      <top style="thin">
        <color theme="0"/>
      </top>
      <bottom style="medium">
        <color theme="0"/>
      </bottom>
      <diagonal/>
    </border>
    <border>
      <left/>
      <right style="medium">
        <color theme="1"/>
      </right>
      <top style="thin">
        <color theme="0"/>
      </top>
      <bottom style="medium">
        <color theme="0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theme="0"/>
      </left>
      <right style="medium">
        <color theme="0"/>
      </right>
      <top/>
      <bottom/>
      <diagonal/>
    </border>
    <border>
      <left style="thin">
        <color theme="0" tint="-4.9989318521683403E-2"/>
      </left>
      <right/>
      <top/>
      <bottom/>
      <diagonal/>
    </border>
    <border>
      <left style="medium">
        <color indexed="64"/>
      </left>
      <right/>
      <top style="thin">
        <color theme="0" tint="-4.9989318521683403E-2"/>
      </top>
      <bottom/>
      <diagonal/>
    </border>
    <border>
      <left/>
      <right/>
      <top/>
      <bottom style="thin">
        <color theme="0" tint="-4.9989318521683403E-2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/>
      <bottom style="thin">
        <color theme="0"/>
      </bottom>
      <diagonal/>
    </border>
    <border>
      <left/>
      <right/>
      <top style="thin">
        <color theme="0"/>
      </top>
      <bottom style="medium">
        <color theme="1"/>
      </bottom>
      <diagonal/>
    </border>
    <border>
      <left style="thin">
        <color theme="0"/>
      </left>
      <right style="medium">
        <color theme="1"/>
      </right>
      <top/>
      <bottom/>
      <diagonal/>
    </border>
    <border>
      <left style="medium">
        <color indexed="64"/>
      </left>
      <right style="thin">
        <color theme="0"/>
      </right>
      <top style="thin">
        <color indexed="64"/>
      </top>
      <bottom/>
      <diagonal/>
    </border>
    <border>
      <left style="medium">
        <color theme="1"/>
      </left>
      <right style="thin">
        <color theme="0"/>
      </right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theme="0"/>
      </left>
      <right style="medium">
        <color theme="3" tint="-0.249977111117893"/>
      </right>
      <top/>
      <bottom/>
      <diagonal/>
    </border>
    <border>
      <left style="medium">
        <color theme="1"/>
      </left>
      <right style="thin">
        <color theme="0"/>
      </right>
      <top style="medium">
        <color theme="1"/>
      </top>
      <bottom style="medium">
        <color theme="1"/>
      </bottom>
      <diagonal/>
    </border>
    <border>
      <left style="thin">
        <color theme="0"/>
      </left>
      <right/>
      <top style="medium">
        <color theme="1"/>
      </top>
      <bottom style="medium">
        <color theme="1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/>
      <diagonal/>
    </border>
    <border>
      <left style="thin">
        <color theme="0"/>
      </left>
      <right style="medium">
        <color theme="0"/>
      </right>
      <top style="medium">
        <color theme="1"/>
      </top>
      <bottom style="thin">
        <color theme="0"/>
      </bottom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 style="thin">
        <color theme="0"/>
      </top>
      <bottom/>
      <diagonal/>
    </border>
    <border>
      <left style="medium">
        <color theme="3" tint="-0.249977111117893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/>
      <top style="thin">
        <color theme="0"/>
      </top>
      <bottom/>
      <diagonal/>
    </border>
    <border>
      <left style="medium">
        <color theme="1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medium">
        <color indexed="64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theme="1"/>
      </left>
      <right/>
      <top/>
      <bottom style="medium">
        <color indexed="64"/>
      </bottom>
      <diagonal/>
    </border>
    <border>
      <left/>
      <right style="thin">
        <color theme="0"/>
      </right>
      <top style="medium">
        <color theme="1"/>
      </top>
      <bottom/>
      <diagonal/>
    </border>
    <border>
      <left/>
      <right style="thin">
        <color theme="0"/>
      </right>
      <top/>
      <bottom style="medium">
        <color theme="1"/>
      </bottom>
      <diagonal/>
    </border>
    <border>
      <left style="thin">
        <color theme="0"/>
      </left>
      <right/>
      <top style="medium">
        <color theme="1"/>
      </top>
      <bottom/>
      <diagonal/>
    </border>
    <border>
      <left style="thin">
        <color theme="0"/>
      </left>
      <right/>
      <top/>
      <bottom style="medium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2" fillId="0" borderId="0"/>
    <xf numFmtId="9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00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2" borderId="0" xfId="0" applyFill="1"/>
    <xf numFmtId="0" fontId="8" fillId="0" borderId="0" xfId="0" applyFont="1"/>
    <xf numFmtId="165" fontId="9" fillId="0" borderId="0" xfId="0" applyNumberFormat="1" applyFont="1"/>
    <xf numFmtId="0" fontId="0" fillId="0" borderId="0" xfId="0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1" fillId="0" borderId="0" xfId="0" applyFont="1"/>
    <xf numFmtId="165" fontId="11" fillId="0" borderId="0" xfId="0" applyNumberFormat="1" applyFont="1"/>
    <xf numFmtId="0" fontId="13" fillId="0" borderId="1" xfId="0" applyFont="1" applyBorder="1"/>
    <xf numFmtId="0" fontId="13" fillId="5" borderId="1" xfId="0" applyFont="1" applyFill="1" applyBorder="1"/>
    <xf numFmtId="0" fontId="14" fillId="5" borderId="1" xfId="0" applyFont="1" applyFill="1" applyBorder="1"/>
    <xf numFmtId="0" fontId="18" fillId="0" borderId="0" xfId="0" applyFont="1"/>
    <xf numFmtId="0" fontId="0" fillId="3" borderId="0" xfId="0" applyFill="1"/>
    <xf numFmtId="0" fontId="19" fillId="2" borderId="0" xfId="0" applyFont="1" applyFill="1"/>
    <xf numFmtId="0" fontId="19" fillId="2" borderId="19" xfId="0" applyFont="1" applyFill="1" applyBorder="1"/>
    <xf numFmtId="0" fontId="19" fillId="2" borderId="20" xfId="0" applyFont="1" applyFill="1" applyBorder="1"/>
    <xf numFmtId="0" fontId="19" fillId="2" borderId="21" xfId="0" applyFont="1" applyFill="1" applyBorder="1"/>
    <xf numFmtId="0" fontId="19" fillId="2" borderId="17" xfId="0" applyFont="1" applyFill="1" applyBorder="1"/>
    <xf numFmtId="0" fontId="19" fillId="2" borderId="22" xfId="0" applyFont="1" applyFill="1" applyBorder="1"/>
    <xf numFmtId="0" fontId="19" fillId="2" borderId="23" xfId="0" applyFont="1" applyFill="1" applyBorder="1"/>
    <xf numFmtId="0" fontId="19" fillId="2" borderId="24" xfId="0" applyFont="1" applyFill="1" applyBorder="1"/>
    <xf numFmtId="0" fontId="19" fillId="2" borderId="25" xfId="0" applyFont="1" applyFill="1" applyBorder="1"/>
    <xf numFmtId="0" fontId="19" fillId="2" borderId="26" xfId="0" applyFont="1" applyFill="1" applyBorder="1"/>
    <xf numFmtId="0" fontId="0" fillId="0" borderId="17" xfId="0" applyBorder="1"/>
    <xf numFmtId="0" fontId="0" fillId="0" borderId="23" xfId="0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19" xfId="0" applyBorder="1"/>
    <xf numFmtId="0" fontId="0" fillId="0" borderId="20" xfId="0" applyBorder="1"/>
    <xf numFmtId="0" fontId="4" fillId="0" borderId="0" xfId="0" applyFont="1" applyAlignment="1">
      <alignment horizontal="center"/>
    </xf>
    <xf numFmtId="0" fontId="8" fillId="3" borderId="0" xfId="0" applyFont="1" applyFill="1"/>
    <xf numFmtId="0" fontId="8" fillId="0" borderId="22" xfId="0" applyFont="1" applyBorder="1"/>
    <xf numFmtId="0" fontId="8" fillId="3" borderId="22" xfId="0" applyFont="1" applyFill="1" applyBorder="1"/>
    <xf numFmtId="0" fontId="20" fillId="0" borderId="33" xfId="0" applyFont="1" applyBorder="1" applyAlignment="1">
      <alignment horizontal="right" vertical="center"/>
    </xf>
    <xf numFmtId="0" fontId="20" fillId="9" borderId="33" xfId="0" applyFont="1" applyFill="1" applyBorder="1" applyAlignment="1">
      <alignment vertical="center"/>
    </xf>
    <xf numFmtId="0" fontId="20" fillId="0" borderId="0" xfId="0" applyFont="1"/>
    <xf numFmtId="0" fontId="21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6" borderId="1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6" borderId="8" xfId="0" applyFont="1" applyFill="1" applyBorder="1" applyAlignment="1">
      <alignment horizontal="center" vertical="center"/>
    </xf>
    <xf numFmtId="0" fontId="34" fillId="6" borderId="8" xfId="0" applyFont="1" applyFill="1" applyBorder="1" applyAlignment="1">
      <alignment horizontal="center" vertical="center"/>
    </xf>
    <xf numFmtId="0" fontId="36" fillId="6" borderId="12" xfId="0" applyFont="1" applyFill="1" applyBorder="1"/>
    <xf numFmtId="0" fontId="35" fillId="6" borderId="13" xfId="0" applyFont="1" applyFill="1" applyBorder="1" applyAlignment="1">
      <alignment horizontal="center" vertical="center"/>
    </xf>
    <xf numFmtId="0" fontId="35" fillId="6" borderId="14" xfId="0" applyFont="1" applyFill="1" applyBorder="1" applyAlignment="1">
      <alignment horizontal="center" vertical="center"/>
    </xf>
    <xf numFmtId="0" fontId="36" fillId="0" borderId="0" xfId="0" applyFont="1"/>
    <xf numFmtId="0" fontId="34" fillId="0" borderId="0" xfId="0" applyFont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34" fillId="0" borderId="10" xfId="0" applyFont="1" applyBorder="1" applyAlignment="1">
      <alignment horizontal="left" vertical="center"/>
    </xf>
    <xf numFmtId="0" fontId="35" fillId="0" borderId="0" xfId="0" applyFont="1"/>
    <xf numFmtId="0" fontId="36" fillId="6" borderId="2" xfId="0" applyFont="1" applyFill="1" applyBorder="1" applyAlignment="1">
      <alignment vertical="center"/>
    </xf>
    <xf numFmtId="0" fontId="36" fillId="6" borderId="2" xfId="0" applyFont="1" applyFill="1" applyBorder="1"/>
    <xf numFmtId="0" fontId="33" fillId="6" borderId="2" xfId="0" applyFont="1" applyFill="1" applyBorder="1" applyAlignment="1">
      <alignment horizontal="center" vertical="center"/>
    </xf>
    <xf numFmtId="0" fontId="33" fillId="6" borderId="4" xfId="0" applyFont="1" applyFill="1" applyBorder="1" applyAlignment="1">
      <alignment horizontal="center" vertical="center"/>
    </xf>
    <xf numFmtId="0" fontId="34" fillId="6" borderId="3" xfId="0" applyFont="1" applyFill="1" applyBorder="1" applyAlignment="1">
      <alignment horizontal="left" vertical="center"/>
    </xf>
    <xf numFmtId="0" fontId="34" fillId="6" borderId="9" xfId="0" applyFont="1" applyFill="1" applyBorder="1" applyAlignment="1">
      <alignment horizontal="center" vertical="center"/>
    </xf>
    <xf numFmtId="0" fontId="33" fillId="6" borderId="7" xfId="0" applyFont="1" applyFill="1" applyBorder="1" applyAlignment="1">
      <alignment horizontal="center" vertical="center"/>
    </xf>
    <xf numFmtId="0" fontId="37" fillId="0" borderId="33" xfId="0" applyFont="1" applyBorder="1" applyAlignment="1">
      <alignment horizontal="right" vertical="center"/>
    </xf>
    <xf numFmtId="0" fontId="0" fillId="0" borderId="0" xfId="0" applyAlignment="1">
      <alignment vertical="center" wrapText="1"/>
    </xf>
    <xf numFmtId="0" fontId="33" fillId="0" borderId="0" xfId="0" applyFont="1" applyAlignment="1">
      <alignment vertical="top"/>
    </xf>
    <xf numFmtId="0" fontId="24" fillId="0" borderId="0" xfId="0" applyFont="1" applyAlignment="1">
      <alignment vertical="center"/>
    </xf>
    <xf numFmtId="0" fontId="34" fillId="0" borderId="3" xfId="0" applyFont="1" applyBorder="1" applyAlignment="1">
      <alignment horizontal="center" vertical="center"/>
    </xf>
    <xf numFmtId="0" fontId="30" fillId="8" borderId="19" xfId="0" applyFont="1" applyFill="1" applyBorder="1" applyAlignment="1">
      <alignment horizontal="center" vertical="center" wrapText="1"/>
    </xf>
    <xf numFmtId="0" fontId="30" fillId="8" borderId="64" xfId="0" applyFont="1" applyFill="1" applyBorder="1" applyAlignment="1">
      <alignment horizontal="center" vertical="center"/>
    </xf>
    <xf numFmtId="0" fontId="30" fillId="8" borderId="65" xfId="0" applyFont="1" applyFill="1" applyBorder="1" applyAlignment="1">
      <alignment horizontal="center" vertical="center"/>
    </xf>
    <xf numFmtId="0" fontId="20" fillId="9" borderId="27" xfId="0" applyFont="1" applyFill="1" applyBorder="1" applyAlignment="1">
      <alignment vertical="center"/>
    </xf>
    <xf numFmtId="0" fontId="30" fillId="9" borderId="19" xfId="0" applyFont="1" applyFill="1" applyBorder="1" applyAlignment="1">
      <alignment horizontal="center" vertical="center" wrapText="1"/>
    </xf>
    <xf numFmtId="0" fontId="30" fillId="9" borderId="64" xfId="0" applyFont="1" applyFill="1" applyBorder="1" applyAlignment="1">
      <alignment horizontal="center" vertical="center"/>
    </xf>
    <xf numFmtId="0" fontId="30" fillId="9" borderId="65" xfId="0" applyFont="1" applyFill="1" applyBorder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0" fontId="0" fillId="0" borderId="1" xfId="0" applyBorder="1" applyAlignment="1">
      <alignment horizontal="left" vertical="top" indent="1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10" borderId="1" xfId="0" applyFill="1" applyBorder="1"/>
    <xf numFmtId="0" fontId="0" fillId="0" borderId="1" xfId="0" applyBorder="1" applyAlignment="1">
      <alignment horizontal="left" vertical="center"/>
    </xf>
    <xf numFmtId="0" fontId="33" fillId="0" borderId="10" xfId="0" applyFont="1" applyBorder="1" applyAlignment="1">
      <alignment horizontal="left" vertical="center"/>
    </xf>
    <xf numFmtId="0" fontId="34" fillId="0" borderId="10" xfId="0" applyFont="1" applyBorder="1" applyAlignment="1">
      <alignment horizontal="left"/>
    </xf>
    <xf numFmtId="0" fontId="0" fillId="0" borderId="52" xfId="0" applyBorder="1"/>
    <xf numFmtId="0" fontId="0" fillId="0" borderId="47" xfId="0" applyBorder="1"/>
    <xf numFmtId="0" fontId="0" fillId="0" borderId="48" xfId="0" applyBorder="1"/>
    <xf numFmtId="0" fontId="0" fillId="0" borderId="54" xfId="0" applyBorder="1"/>
    <xf numFmtId="0" fontId="0" fillId="0" borderId="46" xfId="0" applyBorder="1"/>
    <xf numFmtId="0" fontId="0" fillId="0" borderId="53" xfId="0" applyBorder="1"/>
    <xf numFmtId="0" fontId="33" fillId="0" borderId="47" xfId="0" applyFont="1" applyBorder="1" applyAlignment="1">
      <alignment vertical="top"/>
    </xf>
    <xf numFmtId="0" fontId="33" fillId="0" borderId="48" xfId="0" applyFont="1" applyBorder="1" applyAlignment="1">
      <alignment vertical="top"/>
    </xf>
    <xf numFmtId="0" fontId="33" fillId="0" borderId="46" xfId="0" applyFont="1" applyBorder="1" applyAlignment="1">
      <alignment vertical="top"/>
    </xf>
    <xf numFmtId="0" fontId="0" fillId="0" borderId="58" xfId="0" applyBorder="1"/>
    <xf numFmtId="0" fontId="0" fillId="0" borderId="60" xfId="0" applyBorder="1"/>
    <xf numFmtId="0" fontId="0" fillId="0" borderId="51" xfId="0" applyBorder="1"/>
    <xf numFmtId="0" fontId="0" fillId="0" borderId="66" xfId="0" applyBorder="1"/>
    <xf numFmtId="0" fontId="33" fillId="0" borderId="66" xfId="0" applyFont="1" applyBorder="1" applyAlignment="1">
      <alignment vertical="top"/>
    </xf>
    <xf numFmtId="0" fontId="24" fillId="0" borderId="47" xfId="0" applyFont="1" applyBorder="1" applyAlignment="1">
      <alignment vertical="center"/>
    </xf>
    <xf numFmtId="0" fontId="24" fillId="0" borderId="46" xfId="0" applyFont="1" applyBorder="1" applyAlignment="1">
      <alignment vertical="center"/>
    </xf>
    <xf numFmtId="0" fontId="33" fillId="0" borderId="50" xfId="0" applyFont="1" applyBorder="1" applyAlignment="1">
      <alignment vertical="top"/>
    </xf>
    <xf numFmtId="0" fontId="33" fillId="0" borderId="56" xfId="0" applyFont="1" applyBorder="1" applyAlignment="1">
      <alignment vertical="top"/>
    </xf>
    <xf numFmtId="0" fontId="0" fillId="0" borderId="67" xfId="0" applyBorder="1"/>
    <xf numFmtId="0" fontId="0" fillId="0" borderId="68" xfId="0" applyBorder="1"/>
    <xf numFmtId="0" fontId="0" fillId="0" borderId="49" xfId="0" applyBorder="1"/>
    <xf numFmtId="0" fontId="0" fillId="0" borderId="69" xfId="0" applyBorder="1"/>
    <xf numFmtId="0" fontId="0" fillId="0" borderId="70" xfId="0" applyBorder="1"/>
    <xf numFmtId="0" fontId="0" fillId="0" borderId="71" xfId="0" applyBorder="1"/>
    <xf numFmtId="0" fontId="0" fillId="0" borderId="72" xfId="0" applyBorder="1"/>
    <xf numFmtId="0" fontId="0" fillId="0" borderId="59" xfId="0" applyBorder="1"/>
    <xf numFmtId="0" fontId="0" fillId="0" borderId="73" xfId="0" applyBorder="1"/>
    <xf numFmtId="0" fontId="0" fillId="0" borderId="74" xfId="0" applyBorder="1"/>
    <xf numFmtId="0" fontId="0" fillId="0" borderId="75" xfId="0" applyBorder="1"/>
    <xf numFmtId="0" fontId="0" fillId="0" borderId="50" xfId="0" applyBorder="1"/>
    <xf numFmtId="0" fontId="0" fillId="0" borderId="55" xfId="0" applyBorder="1"/>
    <xf numFmtId="0" fontId="0" fillId="0" borderId="76" xfId="0" applyBorder="1"/>
    <xf numFmtId="0" fontId="0" fillId="0" borderId="77" xfId="0" applyBorder="1"/>
    <xf numFmtId="0" fontId="24" fillId="0" borderId="66" xfId="0" applyFont="1" applyBorder="1" applyAlignment="1">
      <alignment vertical="center"/>
    </xf>
    <xf numFmtId="0" fontId="24" fillId="0" borderId="53" xfId="0" applyFont="1" applyBorder="1" applyAlignment="1">
      <alignment vertical="center"/>
    </xf>
    <xf numFmtId="0" fontId="0" fillId="0" borderId="50" xfId="0" applyBorder="1" applyAlignment="1">
      <alignment vertical="center" wrapText="1"/>
    </xf>
    <xf numFmtId="0" fontId="0" fillId="0" borderId="54" xfId="0" applyBorder="1" applyAlignment="1">
      <alignment vertical="center" wrapText="1"/>
    </xf>
    <xf numFmtId="0" fontId="0" fillId="0" borderId="66" xfId="0" applyBorder="1" applyAlignment="1">
      <alignment vertical="center" wrapText="1"/>
    </xf>
    <xf numFmtId="0" fontId="0" fillId="0" borderId="76" xfId="0" applyBorder="1" applyAlignment="1">
      <alignment vertical="center" wrapText="1"/>
    </xf>
    <xf numFmtId="0" fontId="0" fillId="0" borderId="59" xfId="0" applyBorder="1" applyAlignment="1">
      <alignment vertical="center" wrapText="1"/>
    </xf>
    <xf numFmtId="0" fontId="0" fillId="0" borderId="46" xfId="0" applyBorder="1" applyAlignment="1">
      <alignment vertical="center" wrapText="1"/>
    </xf>
    <xf numFmtId="0" fontId="0" fillId="0" borderId="79" xfId="0" applyBorder="1"/>
    <xf numFmtId="0" fontId="0" fillId="0" borderId="53" xfId="0" applyBorder="1" applyAlignment="1">
      <alignment vertical="center" wrapText="1"/>
    </xf>
    <xf numFmtId="0" fontId="24" fillId="0" borderId="54" xfId="0" applyFont="1" applyBorder="1" applyAlignment="1">
      <alignment vertical="center"/>
    </xf>
    <xf numFmtId="0" fontId="33" fillId="0" borderId="54" xfId="0" applyFont="1" applyBorder="1" applyAlignment="1">
      <alignment vertical="top"/>
    </xf>
    <xf numFmtId="0" fontId="39" fillId="0" borderId="66" xfId="0" applyFont="1" applyBorder="1" applyAlignment="1">
      <alignment horizontal="left" vertical="center"/>
    </xf>
    <xf numFmtId="0" fontId="0" fillId="0" borderId="80" xfId="0" applyBorder="1"/>
    <xf numFmtId="0" fontId="0" fillId="0" borderId="81" xfId="0" applyBorder="1"/>
    <xf numFmtId="0" fontId="0" fillId="0" borderId="82" xfId="0" applyBorder="1"/>
    <xf numFmtId="0" fontId="0" fillId="0" borderId="83" xfId="0" applyBorder="1"/>
    <xf numFmtId="0" fontId="0" fillId="0" borderId="84" xfId="0" applyBorder="1"/>
    <xf numFmtId="0" fontId="0" fillId="0" borderId="48" xfId="0" applyBorder="1" applyAlignment="1">
      <alignment vertical="center" wrapText="1"/>
    </xf>
    <xf numFmtId="0" fontId="0" fillId="0" borderId="85" xfId="0" applyBorder="1"/>
    <xf numFmtId="0" fontId="0" fillId="0" borderId="86" xfId="0" applyBorder="1"/>
    <xf numFmtId="0" fontId="41" fillId="0" borderId="88" xfId="0" applyFont="1" applyBorder="1"/>
    <xf numFmtId="0" fontId="10" fillId="0" borderId="89" xfId="0" applyFont="1" applyBorder="1"/>
    <xf numFmtId="0" fontId="10" fillId="0" borderId="90" xfId="0" applyFont="1" applyBorder="1"/>
    <xf numFmtId="0" fontId="10" fillId="0" borderId="88" xfId="0" applyFont="1" applyBorder="1"/>
    <xf numFmtId="0" fontId="10" fillId="0" borderId="91" xfId="0" applyFont="1" applyBorder="1"/>
    <xf numFmtId="0" fontId="10" fillId="0" borderId="92" xfId="0" applyFont="1" applyBorder="1"/>
    <xf numFmtId="0" fontId="0" fillId="0" borderId="54" xfId="0" applyBorder="1" applyAlignment="1">
      <alignment horizontal="center"/>
    </xf>
    <xf numFmtId="0" fontId="0" fillId="0" borderId="95" xfId="0" applyBorder="1"/>
    <xf numFmtId="0" fontId="40" fillId="0" borderId="59" xfId="0" applyFont="1" applyBorder="1" applyAlignment="1">
      <alignment vertical="center"/>
    </xf>
    <xf numFmtId="0" fontId="38" fillId="4" borderId="96" xfId="0" applyFont="1" applyFill="1" applyBorder="1" applyAlignment="1">
      <alignment horizontal="center" vertical="center"/>
    </xf>
    <xf numFmtId="0" fontId="43" fillId="12" borderId="1" xfId="0" applyFont="1" applyFill="1" applyBorder="1" applyAlignment="1">
      <alignment horizontal="center" vertical="center"/>
    </xf>
    <xf numFmtId="0" fontId="43" fillId="12" borderId="1" xfId="0" applyFont="1" applyFill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/>
    </xf>
    <xf numFmtId="0" fontId="0" fillId="0" borderId="98" xfId="0" applyBorder="1"/>
    <xf numFmtId="0" fontId="0" fillId="0" borderId="100" xfId="0" applyBorder="1"/>
    <xf numFmtId="0" fontId="0" fillId="0" borderId="102" xfId="0" applyBorder="1"/>
    <xf numFmtId="0" fontId="0" fillId="0" borderId="103" xfId="0" applyBorder="1"/>
    <xf numFmtId="0" fontId="44" fillId="0" borderId="1" xfId="0" applyFont="1" applyBorder="1" applyAlignment="1">
      <alignment horizontal="center" vertical="center" wrapText="1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107" xfId="0" applyBorder="1"/>
    <xf numFmtId="0" fontId="0" fillId="0" borderId="108" xfId="0" applyBorder="1"/>
    <xf numFmtId="0" fontId="0" fillId="0" borderId="109" xfId="0" applyBorder="1"/>
    <xf numFmtId="0" fontId="0" fillId="0" borderId="110" xfId="0" applyBorder="1"/>
    <xf numFmtId="0" fontId="0" fillId="0" borderId="111" xfId="0" applyBorder="1"/>
    <xf numFmtId="0" fontId="0" fillId="0" borderId="112" xfId="0" applyBorder="1"/>
    <xf numFmtId="0" fontId="0" fillId="0" borderId="113" xfId="0" applyBorder="1"/>
    <xf numFmtId="0" fontId="47" fillId="0" borderId="51" xfId="0" applyFont="1" applyBorder="1" applyAlignment="1">
      <alignment horizontal="center"/>
    </xf>
    <xf numFmtId="0" fontId="48" fillId="0" borderId="51" xfId="0" applyFont="1" applyBorder="1" applyAlignment="1">
      <alignment horizontal="center" vertical="top"/>
    </xf>
    <xf numFmtId="0" fontId="0" fillId="0" borderId="114" xfId="0" applyBorder="1"/>
    <xf numFmtId="0" fontId="0" fillId="0" borderId="105" xfId="0" applyBorder="1"/>
    <xf numFmtId="0" fontId="0" fillId="0" borderId="115" xfId="0" applyBorder="1"/>
    <xf numFmtId="0" fontId="0" fillId="0" borderId="118" xfId="0" applyBorder="1"/>
    <xf numFmtId="0" fontId="0" fillId="0" borderId="119" xfId="0" applyBorder="1"/>
    <xf numFmtId="0" fontId="0" fillId="0" borderId="122" xfId="0" applyBorder="1"/>
    <xf numFmtId="0" fontId="43" fillId="12" borderId="33" xfId="0" applyFont="1" applyFill="1" applyBorder="1" applyAlignment="1">
      <alignment horizontal="center" vertical="center"/>
    </xf>
    <xf numFmtId="0" fontId="43" fillId="12" borderId="34" xfId="0" applyFont="1" applyFill="1" applyBorder="1" applyAlignment="1">
      <alignment horizontal="center" vertical="center"/>
    </xf>
    <xf numFmtId="0" fontId="44" fillId="0" borderId="33" xfId="0" applyFont="1" applyBorder="1" applyAlignment="1">
      <alignment horizontal="center" vertical="center"/>
    </xf>
    <xf numFmtId="0" fontId="44" fillId="0" borderId="35" xfId="0" applyFont="1" applyBorder="1" applyAlignment="1">
      <alignment horizontal="center" vertical="center"/>
    </xf>
    <xf numFmtId="0" fontId="44" fillId="0" borderId="36" xfId="0" applyFont="1" applyBorder="1" applyAlignment="1">
      <alignment horizontal="center" vertical="center" wrapText="1"/>
    </xf>
    <xf numFmtId="0" fontId="0" fillId="0" borderId="125" xfId="0" applyBorder="1"/>
    <xf numFmtId="0" fontId="0" fillId="0" borderId="3" xfId="0" applyBorder="1"/>
    <xf numFmtId="0" fontId="0" fillId="0" borderId="5" xfId="0" applyBorder="1" applyAlignment="1">
      <alignment horizontal="center" vertical="center"/>
    </xf>
    <xf numFmtId="0" fontId="0" fillId="0" borderId="106" xfId="0" applyBorder="1" applyAlignment="1">
      <alignment horizontal="center" vertical="center"/>
    </xf>
    <xf numFmtId="0" fontId="0" fillId="0" borderId="133" xfId="0" applyBorder="1"/>
    <xf numFmtId="0" fontId="0" fillId="0" borderId="101" xfId="0" applyBorder="1"/>
    <xf numFmtId="0" fontId="0" fillId="0" borderId="134" xfId="0" applyBorder="1"/>
    <xf numFmtId="0" fontId="0" fillId="0" borderId="141" xfId="0" applyBorder="1"/>
    <xf numFmtId="0" fontId="0" fillId="13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55" fillId="0" borderId="0" xfId="0" applyFont="1" applyAlignment="1">
      <alignment vertical="center" textRotation="90"/>
    </xf>
    <xf numFmtId="0" fontId="3" fillId="4" borderId="55" xfId="0" applyFont="1" applyFill="1" applyBorder="1" applyAlignment="1">
      <alignment vertical="center"/>
    </xf>
    <xf numFmtId="0" fontId="25" fillId="4" borderId="60" xfId="0" applyFont="1" applyFill="1" applyBorder="1" applyAlignment="1">
      <alignment vertical="top" wrapText="1"/>
    </xf>
    <xf numFmtId="17" fontId="26" fillId="4" borderId="60" xfId="0" applyNumberFormat="1" applyFont="1" applyFill="1" applyBorder="1" applyAlignment="1">
      <alignment vertical="top" wrapText="1"/>
    </xf>
    <xf numFmtId="0" fontId="0" fillId="0" borderId="146" xfId="0" applyBorder="1"/>
    <xf numFmtId="0" fontId="0" fillId="0" borderId="147" xfId="0" applyBorder="1"/>
    <xf numFmtId="0" fontId="3" fillId="0" borderId="80" xfId="0" applyFont="1" applyBorder="1" applyAlignment="1">
      <alignment vertical="center"/>
    </xf>
    <xf numFmtId="0" fontId="25" fillId="0" borderId="151" xfId="0" applyFont="1" applyBorder="1" applyAlignment="1">
      <alignment vertical="top" wrapText="1"/>
    </xf>
    <xf numFmtId="17" fontId="26" fillId="0" borderId="151" xfId="0" applyNumberFormat="1" applyFont="1" applyBorder="1" applyAlignment="1">
      <alignment vertical="top" wrapText="1"/>
    </xf>
    <xf numFmtId="0" fontId="0" fillId="0" borderId="152" xfId="0" applyBorder="1"/>
    <xf numFmtId="0" fontId="44" fillId="0" borderId="6" xfId="0" applyFont="1" applyBorder="1" applyAlignment="1">
      <alignment horizontal="center" vertical="center"/>
    </xf>
    <xf numFmtId="0" fontId="43" fillId="12" borderId="156" xfId="0" applyFont="1" applyFill="1" applyBorder="1" applyAlignment="1">
      <alignment horizontal="center" vertical="center"/>
    </xf>
    <xf numFmtId="0" fontId="43" fillId="12" borderId="156" xfId="0" applyFont="1" applyFill="1" applyBorder="1" applyAlignment="1">
      <alignment horizontal="center" vertical="center" wrapText="1"/>
    </xf>
    <xf numFmtId="0" fontId="43" fillId="12" borderId="157" xfId="0" applyFont="1" applyFill="1" applyBorder="1" applyAlignment="1">
      <alignment horizontal="center" vertical="center"/>
    </xf>
    <xf numFmtId="0" fontId="0" fillId="0" borderId="158" xfId="0" applyBorder="1"/>
    <xf numFmtId="0" fontId="44" fillId="0" borderId="14" xfId="0" applyFont="1" applyBorder="1" applyAlignment="1">
      <alignment horizontal="center" vertical="center"/>
    </xf>
    <xf numFmtId="0" fontId="44" fillId="0" borderId="4" xfId="0" applyFont="1" applyBorder="1" applyAlignment="1">
      <alignment horizontal="center" vertical="center"/>
    </xf>
    <xf numFmtId="0" fontId="44" fillId="0" borderId="156" xfId="0" applyFont="1" applyBorder="1" applyAlignment="1">
      <alignment horizontal="center" vertical="center"/>
    </xf>
    <xf numFmtId="0" fontId="44" fillId="0" borderId="164" xfId="0" applyFont="1" applyBorder="1" applyAlignment="1">
      <alignment horizontal="center" vertical="center"/>
    </xf>
    <xf numFmtId="0" fontId="43" fillId="12" borderId="165" xfId="0" applyFont="1" applyFill="1" applyBorder="1" applyAlignment="1">
      <alignment horizontal="center" vertical="center"/>
    </xf>
    <xf numFmtId="0" fontId="44" fillId="0" borderId="9" xfId="0" applyFont="1" applyBorder="1" applyAlignment="1">
      <alignment horizontal="center" vertical="center"/>
    </xf>
    <xf numFmtId="0" fontId="44" fillId="0" borderId="166" xfId="0" applyFont="1" applyBorder="1" applyAlignment="1">
      <alignment horizontal="left" vertical="center"/>
    </xf>
    <xf numFmtId="0" fontId="44" fillId="0" borderId="167" xfId="0" applyFont="1" applyBorder="1" applyAlignment="1">
      <alignment horizontal="left" vertical="center"/>
    </xf>
    <xf numFmtId="0" fontId="44" fillId="0" borderId="168" xfId="0" applyFont="1" applyBorder="1" applyAlignment="1">
      <alignment horizontal="left" vertical="center"/>
    </xf>
    <xf numFmtId="0" fontId="44" fillId="0" borderId="106" xfId="0" applyFont="1" applyBorder="1" applyAlignment="1">
      <alignment horizontal="center" vertical="center"/>
    </xf>
    <xf numFmtId="0" fontId="0" fillId="0" borderId="59" xfId="0" applyBorder="1" applyAlignment="1">
      <alignment vertical="center"/>
    </xf>
    <xf numFmtId="0" fontId="0" fillId="0" borderId="96" xfId="0" applyBorder="1"/>
    <xf numFmtId="0" fontId="0" fillId="0" borderId="34" xfId="0" applyBorder="1" applyAlignment="1">
      <alignment horizontal="center" vertical="center"/>
    </xf>
    <xf numFmtId="0" fontId="53" fillId="15" borderId="175" xfId="0" applyFont="1" applyFill="1" applyBorder="1" applyAlignment="1">
      <alignment horizontal="center" vertical="center"/>
    </xf>
    <xf numFmtId="0" fontId="53" fillId="15" borderId="176" xfId="0" applyFont="1" applyFill="1" applyBorder="1" applyAlignment="1">
      <alignment horizontal="center" vertical="center"/>
    </xf>
    <xf numFmtId="0" fontId="44" fillId="0" borderId="159" xfId="0" applyFont="1" applyBorder="1" applyAlignment="1">
      <alignment horizontal="center" vertical="center"/>
    </xf>
    <xf numFmtId="0" fontId="44" fillId="0" borderId="160" xfId="0" applyFont="1" applyBorder="1" applyAlignment="1">
      <alignment horizontal="center" vertical="center"/>
    </xf>
    <xf numFmtId="0" fontId="44" fillId="0" borderId="157" xfId="0" applyFont="1" applyBorder="1" applyAlignment="1">
      <alignment horizontal="center" vertical="center"/>
    </xf>
    <xf numFmtId="0" fontId="44" fillId="0" borderId="34" xfId="0" applyFont="1" applyBorder="1" applyAlignment="1">
      <alignment vertical="center"/>
    </xf>
    <xf numFmtId="0" fontId="44" fillId="0" borderId="37" xfId="0" applyFont="1" applyBorder="1" applyAlignment="1">
      <alignment vertical="center"/>
    </xf>
    <xf numFmtId="0" fontId="25" fillId="4" borderId="0" xfId="0" applyFont="1" applyFill="1" applyAlignment="1">
      <alignment vertical="center" wrapText="1"/>
    </xf>
    <xf numFmtId="0" fontId="5" fillId="4" borderId="0" xfId="0" applyFont="1" applyFill="1" applyAlignment="1">
      <alignment horizontal="center" vertical="top"/>
    </xf>
    <xf numFmtId="0" fontId="24" fillId="0" borderId="59" xfId="0" applyFont="1" applyBorder="1" applyAlignment="1">
      <alignment vertical="center"/>
    </xf>
    <xf numFmtId="0" fontId="24" fillId="0" borderId="52" xfId="0" applyFont="1" applyBorder="1" applyAlignment="1">
      <alignment vertical="center"/>
    </xf>
    <xf numFmtId="0" fontId="38" fillId="4" borderId="177" xfId="0" applyFont="1" applyFill="1" applyBorder="1" applyAlignment="1">
      <alignment horizontal="center" vertical="center" wrapText="1"/>
    </xf>
    <xf numFmtId="0" fontId="38" fillId="4" borderId="178" xfId="0" applyFont="1" applyFill="1" applyBorder="1" applyAlignment="1">
      <alignment horizontal="center" vertical="center" wrapText="1"/>
    </xf>
    <xf numFmtId="0" fontId="38" fillId="4" borderId="179" xfId="0" applyFont="1" applyFill="1" applyBorder="1" applyAlignment="1">
      <alignment horizontal="center" vertical="center" wrapText="1"/>
    </xf>
    <xf numFmtId="0" fontId="38" fillId="0" borderId="79" xfId="0" applyFont="1" applyBorder="1" applyAlignment="1">
      <alignment horizontal="center" vertical="center" wrapText="1"/>
    </xf>
    <xf numFmtId="0" fontId="0" fillId="0" borderId="180" xfId="0" applyBorder="1"/>
    <xf numFmtId="0" fontId="7" fillId="0" borderId="0" xfId="0" applyFont="1" applyAlignment="1">
      <alignment horizontal="center" vertical="center" wrapText="1"/>
    </xf>
    <xf numFmtId="0" fontId="61" fillId="0" borderId="0" xfId="0" applyFont="1" applyAlignment="1">
      <alignment horizontal="center" vertical="center"/>
    </xf>
    <xf numFmtId="0" fontId="61" fillId="0" borderId="187" xfId="0" applyFont="1" applyBorder="1" applyAlignment="1">
      <alignment horizontal="center" vertical="center"/>
    </xf>
    <xf numFmtId="0" fontId="61" fillId="0" borderId="188" xfId="0" applyFont="1" applyBorder="1" applyAlignment="1">
      <alignment horizontal="center" vertical="center"/>
    </xf>
    <xf numFmtId="0" fontId="61" fillId="0" borderId="54" xfId="0" applyFont="1" applyBorder="1" applyAlignment="1">
      <alignment horizontal="center" vertical="center"/>
    </xf>
    <xf numFmtId="0" fontId="61" fillId="0" borderId="50" xfId="0" applyFont="1" applyBorder="1" applyAlignment="1">
      <alignment horizontal="center" vertical="center"/>
    </xf>
    <xf numFmtId="0" fontId="61" fillId="0" borderId="76" xfId="0" applyFont="1" applyBorder="1" applyAlignment="1">
      <alignment horizontal="center" vertical="center"/>
    </xf>
    <xf numFmtId="0" fontId="0" fillId="0" borderId="189" xfId="0" applyBorder="1"/>
    <xf numFmtId="0" fontId="0" fillId="0" borderId="47" xfId="0" applyBorder="1" applyAlignment="1">
      <alignment vertical="center"/>
    </xf>
    <xf numFmtId="0" fontId="0" fillId="0" borderId="52" xfId="0" applyBorder="1" applyAlignment="1">
      <alignment horizontal="center"/>
    </xf>
    <xf numFmtId="0" fontId="0" fillId="0" borderId="48" xfId="0" applyBorder="1" applyAlignment="1">
      <alignment horizontal="center" vertical="center" wrapText="1"/>
    </xf>
    <xf numFmtId="0" fontId="0" fillId="0" borderId="112" xfId="0" applyBorder="1" applyAlignment="1">
      <alignment horizontal="center" vertical="center"/>
    </xf>
    <xf numFmtId="0" fontId="19" fillId="0" borderId="181" xfId="0" applyFont="1" applyBorder="1" applyAlignment="1">
      <alignment horizontal="center" vertical="center" wrapText="1"/>
    </xf>
    <xf numFmtId="0" fontId="19" fillId="0" borderId="182" xfId="0" applyFont="1" applyBorder="1" applyAlignment="1">
      <alignment horizontal="center" vertical="center" wrapText="1"/>
    </xf>
    <xf numFmtId="0" fontId="19" fillId="0" borderId="183" xfId="0" applyFont="1" applyBorder="1" applyAlignment="1">
      <alignment horizontal="center" vertical="center" wrapText="1"/>
    </xf>
    <xf numFmtId="0" fontId="19" fillId="0" borderId="106" xfId="0" applyFont="1" applyBorder="1" applyAlignment="1">
      <alignment horizontal="center" vertical="center" wrapText="1"/>
    </xf>
    <xf numFmtId="0" fontId="7" fillId="0" borderId="60" xfId="0" applyFont="1" applyBorder="1" applyAlignment="1">
      <alignment horizontal="center" vertical="center" wrapText="1"/>
    </xf>
    <xf numFmtId="0" fontId="19" fillId="0" borderId="184" xfId="0" applyFont="1" applyBorder="1" applyAlignment="1">
      <alignment horizontal="center" vertical="center" wrapText="1"/>
    </xf>
    <xf numFmtId="0" fontId="19" fillId="0" borderId="185" xfId="0" applyFont="1" applyBorder="1" applyAlignment="1">
      <alignment horizontal="center" vertical="center" wrapText="1"/>
    </xf>
    <xf numFmtId="0" fontId="65" fillId="0" borderId="24" xfId="0" applyFont="1" applyBorder="1" applyAlignment="1">
      <alignment horizontal="right" vertical="center"/>
    </xf>
    <xf numFmtId="0" fontId="66" fillId="18" borderId="1" xfId="0" applyFont="1" applyFill="1" applyBorder="1" applyAlignment="1">
      <alignment horizontal="center"/>
    </xf>
    <xf numFmtId="0" fontId="66" fillId="18" borderId="1" xfId="0" applyFont="1" applyFill="1" applyBorder="1" applyAlignment="1">
      <alignment horizontal="center" vertical="center"/>
    </xf>
    <xf numFmtId="0" fontId="69" fillId="0" borderId="63" xfId="0" applyFont="1" applyBorder="1" applyAlignment="1">
      <alignment horizontal="center" vertical="center"/>
    </xf>
    <xf numFmtId="0" fontId="69" fillId="0" borderId="33" xfId="0" applyFont="1" applyBorder="1" applyAlignment="1">
      <alignment horizontal="center" vertical="center"/>
    </xf>
    <xf numFmtId="0" fontId="69" fillId="0" borderId="35" xfId="0" applyFont="1" applyBorder="1" applyAlignment="1">
      <alignment horizontal="center" vertical="center" wrapText="1"/>
    </xf>
    <xf numFmtId="0" fontId="36" fillId="0" borderId="46" xfId="0" applyFont="1" applyBorder="1" applyAlignment="1">
      <alignment wrapText="1"/>
    </xf>
    <xf numFmtId="0" fontId="19" fillId="0" borderId="46" xfId="0" applyFont="1" applyBorder="1"/>
    <xf numFmtId="0" fontId="16" fillId="0" borderId="46" xfId="0" applyFont="1" applyBorder="1"/>
    <xf numFmtId="0" fontId="71" fillId="0" borderId="46" xfId="0" applyFont="1" applyBorder="1"/>
    <xf numFmtId="0" fontId="71" fillId="0" borderId="46" xfId="0" applyFont="1" applyBorder="1" applyAlignment="1">
      <alignment vertical="center"/>
    </xf>
    <xf numFmtId="0" fontId="72" fillId="0" borderId="46" xfId="0" applyFont="1" applyBorder="1" applyAlignment="1">
      <alignment vertical="center" wrapText="1"/>
    </xf>
    <xf numFmtId="0" fontId="72" fillId="0" borderId="46" xfId="0" applyFont="1" applyBorder="1" applyAlignment="1">
      <alignment horizontal="right" vertical="top" wrapText="1"/>
    </xf>
    <xf numFmtId="0" fontId="70" fillId="0" borderId="46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46" xfId="0" applyBorder="1" applyAlignment="1">
      <alignment vertical="center"/>
    </xf>
    <xf numFmtId="0" fontId="0" fillId="0" borderId="51" xfId="0" applyBorder="1" applyAlignment="1">
      <alignment vertical="center"/>
    </xf>
    <xf numFmtId="0" fontId="0" fillId="0" borderId="161" xfId="0" applyBorder="1"/>
    <xf numFmtId="0" fontId="0" fillId="0" borderId="193" xfId="0" applyBorder="1"/>
    <xf numFmtId="0" fontId="0" fillId="0" borderId="51" xfId="0" applyBorder="1" applyAlignment="1">
      <alignment horizontal="center" vertical="center" wrapText="1"/>
    </xf>
    <xf numFmtId="0" fontId="0" fillId="0" borderId="52" xfId="0" applyBorder="1" applyAlignment="1">
      <alignment vertical="center"/>
    </xf>
    <xf numFmtId="0" fontId="64" fillId="0" borderId="102" xfId="0" applyFont="1" applyBorder="1" applyAlignment="1">
      <alignment horizontal="right" vertical="center"/>
    </xf>
    <xf numFmtId="0" fontId="65" fillId="0" borderId="103" xfId="0" applyFont="1" applyBorder="1" applyAlignment="1">
      <alignment vertical="center"/>
    </xf>
    <xf numFmtId="0" fontId="0" fillId="0" borderId="99" xfId="0" applyBorder="1"/>
    <xf numFmtId="0" fontId="0" fillId="0" borderId="207" xfId="0" applyBorder="1"/>
    <xf numFmtId="0" fontId="0" fillId="0" borderId="196" xfId="0" applyBorder="1"/>
    <xf numFmtId="0" fontId="0" fillId="0" borderId="144" xfId="0" applyBorder="1"/>
    <xf numFmtId="0" fontId="0" fillId="0" borderId="138" xfId="0" applyBorder="1" applyAlignment="1">
      <alignment horizontal="right"/>
    </xf>
    <xf numFmtId="0" fontId="67" fillId="0" borderId="100" xfId="0" applyFont="1" applyBorder="1" applyAlignment="1">
      <alignment horizontal="right"/>
    </xf>
    <xf numFmtId="0" fontId="0" fillId="0" borderId="208" xfId="0" applyBorder="1" applyAlignment="1">
      <alignment vertical="center"/>
    </xf>
    <xf numFmtId="0" fontId="65" fillId="0" borderId="203" xfId="0" applyFont="1" applyBorder="1" applyAlignment="1">
      <alignment horizontal="center" vertical="center"/>
    </xf>
    <xf numFmtId="0" fontId="65" fillId="0" borderId="205" xfId="0" applyFont="1" applyBorder="1" applyAlignment="1">
      <alignment horizontal="right"/>
    </xf>
    <xf numFmtId="16" fontId="65" fillId="0" borderId="205" xfId="0" applyNumberFormat="1" applyFont="1" applyBorder="1" applyAlignment="1">
      <alignment horizontal="right" vertical="center"/>
    </xf>
    <xf numFmtId="0" fontId="68" fillId="0" borderId="98" xfId="0" applyFont="1" applyBorder="1" applyAlignment="1">
      <alignment horizontal="right"/>
    </xf>
    <xf numFmtId="16" fontId="65" fillId="0" borderId="103" xfId="0" applyNumberFormat="1" applyFont="1" applyBorder="1" applyAlignment="1">
      <alignment horizontal="right" vertical="center"/>
    </xf>
    <xf numFmtId="0" fontId="0" fillId="0" borderId="206" xfId="0" applyBorder="1"/>
    <xf numFmtId="0" fontId="0" fillId="0" borderId="206" xfId="0" applyBorder="1" applyAlignment="1">
      <alignment horizontal="center"/>
    </xf>
    <xf numFmtId="0" fontId="0" fillId="0" borderId="209" xfId="0" applyBorder="1"/>
    <xf numFmtId="0" fontId="19" fillId="0" borderId="211" xfId="0" applyFont="1" applyBorder="1" applyAlignment="1">
      <alignment horizontal="center" vertical="center" wrapText="1"/>
    </xf>
    <xf numFmtId="0" fontId="19" fillId="0" borderId="213" xfId="0" applyFont="1" applyBorder="1" applyAlignment="1">
      <alignment horizontal="center" vertical="center" wrapText="1"/>
    </xf>
    <xf numFmtId="0" fontId="0" fillId="0" borderId="194" xfId="0" applyBorder="1"/>
    <xf numFmtId="0" fontId="0" fillId="0" borderId="214" xfId="0" applyBorder="1"/>
    <xf numFmtId="0" fontId="0" fillId="0" borderId="215" xfId="0" applyBorder="1"/>
    <xf numFmtId="0" fontId="0" fillId="0" borderId="216" xfId="0" applyBorder="1"/>
    <xf numFmtId="0" fontId="0" fillId="0" borderId="210" xfId="0" applyBorder="1"/>
    <xf numFmtId="0" fontId="0" fillId="0" borderId="217" xfId="0" applyBorder="1"/>
    <xf numFmtId="0" fontId="73" fillId="0" borderId="163" xfId="0" applyFont="1" applyBorder="1" applyAlignment="1">
      <alignment horizontal="center" vertical="center"/>
    </xf>
    <xf numFmtId="0" fontId="74" fillId="0" borderId="101" xfId="0" applyFont="1" applyBorder="1" applyAlignment="1">
      <alignment horizontal="center" vertical="top"/>
    </xf>
    <xf numFmtId="0" fontId="75" fillId="0" borderId="221" xfId="0" applyFont="1" applyBorder="1" applyAlignment="1">
      <alignment horizontal="center" vertical="center" wrapText="1"/>
    </xf>
    <xf numFmtId="0" fontId="75" fillId="0" borderId="222" xfId="0" applyFont="1" applyBorder="1" applyAlignment="1">
      <alignment horizontal="center" vertical="center" wrapText="1"/>
    </xf>
    <xf numFmtId="0" fontId="76" fillId="0" borderId="223" xfId="0" applyFont="1" applyBorder="1" applyAlignment="1">
      <alignment horizontal="center" vertical="center" wrapText="1"/>
    </xf>
    <xf numFmtId="0" fontId="77" fillId="19" borderId="44" xfId="0" applyFont="1" applyFill="1" applyBorder="1" applyAlignment="1">
      <alignment horizontal="center" vertical="center"/>
    </xf>
    <xf numFmtId="0" fontId="0" fillId="0" borderId="224" xfId="0" applyBorder="1"/>
    <xf numFmtId="0" fontId="79" fillId="4" borderId="0" xfId="0" applyFont="1" applyFill="1" applyAlignment="1">
      <alignment vertical="center"/>
    </xf>
    <xf numFmtId="0" fontId="78" fillId="4" borderId="0" xfId="0" applyFont="1" applyFill="1" applyAlignment="1">
      <alignment vertical="top" wrapText="1"/>
    </xf>
    <xf numFmtId="0" fontId="25" fillId="4" borderId="0" xfId="0" applyFont="1" applyFill="1" applyAlignment="1">
      <alignment vertical="top" wrapText="1"/>
    </xf>
    <xf numFmtId="49" fontId="60" fillId="4" borderId="0" xfId="0" applyNumberFormat="1" applyFont="1" applyFill="1" applyAlignment="1">
      <alignment vertical="top" wrapText="1"/>
    </xf>
    <xf numFmtId="0" fontId="27" fillId="4" borderId="0" xfId="0" applyFont="1" applyFill="1" applyAlignment="1">
      <alignment vertical="top" wrapText="1"/>
    </xf>
    <xf numFmtId="0" fontId="29" fillId="3" borderId="0" xfId="0" applyFont="1" applyFill="1" applyAlignment="1">
      <alignment horizontal="center"/>
    </xf>
    <xf numFmtId="0" fontId="20" fillId="3" borderId="0" xfId="0" applyFont="1" applyFill="1"/>
    <xf numFmtId="0" fontId="8" fillId="3" borderId="8" xfId="0" applyFont="1" applyFill="1" applyBorder="1"/>
    <xf numFmtId="0" fontId="8" fillId="3" borderId="10" xfId="0" applyFont="1" applyFill="1" applyBorder="1"/>
    <xf numFmtId="0" fontId="8" fillId="3" borderId="14" xfId="0" applyFont="1" applyFill="1" applyBorder="1"/>
    <xf numFmtId="0" fontId="8" fillId="3" borderId="226" xfId="0" applyFont="1" applyFill="1" applyBorder="1"/>
    <xf numFmtId="0" fontId="8" fillId="3" borderId="225" xfId="0" applyFont="1" applyFill="1" applyBorder="1"/>
    <xf numFmtId="0" fontId="8" fillId="3" borderId="227" xfId="0" applyFont="1" applyFill="1" applyBorder="1"/>
    <xf numFmtId="0" fontId="8" fillId="3" borderId="7" xfId="0" applyFont="1" applyFill="1" applyBorder="1"/>
    <xf numFmtId="0" fontId="29" fillId="3" borderId="193" xfId="0" applyFont="1" applyFill="1" applyBorder="1" applyAlignment="1">
      <alignment horizontal="center"/>
    </xf>
    <xf numFmtId="0" fontId="8" fillId="3" borderId="193" xfId="0" applyFont="1" applyFill="1" applyBorder="1"/>
    <xf numFmtId="0" fontId="8" fillId="3" borderId="228" xfId="0" applyFont="1" applyFill="1" applyBorder="1"/>
    <xf numFmtId="0" fontId="8" fillId="3" borderId="229" xfId="0" applyFont="1" applyFill="1" applyBorder="1"/>
    <xf numFmtId="0" fontId="8" fillId="3" borderId="231" xfId="0" applyFont="1" applyFill="1" applyBorder="1"/>
    <xf numFmtId="0" fontId="8" fillId="3" borderId="233" xfId="0" applyFont="1" applyFill="1" applyBorder="1"/>
    <xf numFmtId="0" fontId="8" fillId="3" borderId="234" xfId="0" applyFont="1" applyFill="1" applyBorder="1"/>
    <xf numFmtId="0" fontId="8" fillId="3" borderId="235" xfId="0" applyFont="1" applyFill="1" applyBorder="1"/>
    <xf numFmtId="0" fontId="8" fillId="3" borderId="236" xfId="0" applyFont="1" applyFill="1" applyBorder="1"/>
    <xf numFmtId="0" fontId="8" fillId="3" borderId="49" xfId="0" applyFont="1" applyFill="1" applyBorder="1"/>
    <xf numFmtId="0" fontId="8" fillId="3" borderId="237" xfId="0" applyFont="1" applyFill="1" applyBorder="1"/>
    <xf numFmtId="0" fontId="8" fillId="3" borderId="60" xfId="0" applyFont="1" applyFill="1" applyBorder="1"/>
    <xf numFmtId="0" fontId="8" fillId="3" borderId="205" xfId="0" applyFont="1" applyFill="1" applyBorder="1"/>
    <xf numFmtId="0" fontId="8" fillId="3" borderId="238" xfId="0" applyFont="1" applyFill="1" applyBorder="1"/>
    <xf numFmtId="0" fontId="8" fillId="3" borderId="58" xfId="0" applyFont="1" applyFill="1" applyBorder="1"/>
    <xf numFmtId="0" fontId="8" fillId="3" borderId="174" xfId="0" applyFont="1" applyFill="1" applyBorder="1"/>
    <xf numFmtId="0" fontId="8" fillId="3" borderId="76" xfId="0" applyFont="1" applyFill="1" applyBorder="1"/>
    <xf numFmtId="0" fontId="35" fillId="6" borderId="13" xfId="0" applyFont="1" applyFill="1" applyBorder="1" applyAlignment="1">
      <alignment vertical="center"/>
    </xf>
    <xf numFmtId="0" fontId="82" fillId="0" borderId="49" xfId="0" applyFont="1" applyBorder="1" applyAlignment="1">
      <alignment horizontal="left"/>
    </xf>
    <xf numFmtId="0" fontId="82" fillId="0" borderId="51" xfId="0" applyFont="1" applyBorder="1" applyAlignment="1">
      <alignment horizontal="left"/>
    </xf>
    <xf numFmtId="0" fontId="82" fillId="0" borderId="51" xfId="0" applyFont="1" applyBorder="1" applyAlignment="1">
      <alignment horizontal="left" vertical="top"/>
    </xf>
    <xf numFmtId="0" fontId="0" fillId="0" borderId="46" xfId="0" applyBorder="1" applyAlignment="1">
      <alignment horizontal="left"/>
    </xf>
    <xf numFmtId="0" fontId="82" fillId="0" borderId="46" xfId="0" applyFont="1" applyBorder="1"/>
    <xf numFmtId="0" fontId="82" fillId="0" borderId="47" xfId="0" applyFont="1" applyBorder="1"/>
    <xf numFmtId="0" fontId="82" fillId="0" borderId="46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47" xfId="0" applyBorder="1" applyAlignment="1">
      <alignment horizontal="left"/>
    </xf>
    <xf numFmtId="0" fontId="82" fillId="0" borderId="46" xfId="0" applyFont="1" applyBorder="1" applyAlignment="1">
      <alignment horizontal="left"/>
    </xf>
    <xf numFmtId="0" fontId="82" fillId="0" borderId="47" xfId="0" applyFont="1" applyBorder="1" applyAlignment="1">
      <alignment horizontal="left"/>
    </xf>
    <xf numFmtId="0" fontId="81" fillId="0" borderId="47" xfId="0" applyFont="1" applyBorder="1" applyAlignment="1">
      <alignment horizontal="left"/>
    </xf>
    <xf numFmtId="0" fontId="0" fillId="0" borderId="59" xfId="0" applyBorder="1" applyAlignment="1">
      <alignment horizontal="left"/>
    </xf>
    <xf numFmtId="0" fontId="81" fillId="0" borderId="50" xfId="0" applyFont="1" applyBorder="1" applyAlignment="1">
      <alignment horizontal="left"/>
    </xf>
    <xf numFmtId="0" fontId="82" fillId="0" borderId="48" xfId="0" applyFont="1" applyBorder="1" applyAlignment="1">
      <alignment horizontal="left"/>
    </xf>
    <xf numFmtId="0" fontId="82" fillId="0" borderId="47" xfId="0" applyFont="1" applyBorder="1" applyAlignment="1">
      <alignment horizontal="left" vertical="top"/>
    </xf>
    <xf numFmtId="0" fontId="0" fillId="0" borderId="46" xfId="0" applyBorder="1" applyAlignment="1">
      <alignment horizontal="left" vertical="top"/>
    </xf>
    <xf numFmtId="0" fontId="0" fillId="0" borderId="47" xfId="0" applyBorder="1" applyAlignment="1">
      <alignment horizontal="left" vertical="top"/>
    </xf>
    <xf numFmtId="0" fontId="82" fillId="0" borderId="46" xfId="0" applyFont="1" applyBorder="1" applyAlignment="1">
      <alignment horizontal="left" vertical="top"/>
    </xf>
    <xf numFmtId="0" fontId="0" fillId="0" borderId="59" xfId="0" applyBorder="1" applyAlignment="1">
      <alignment horizontal="left" vertical="top"/>
    </xf>
    <xf numFmtId="0" fontId="0" fillId="0" borderId="239" xfId="0" applyBorder="1"/>
    <xf numFmtId="0" fontId="0" fillId="0" borderId="53" xfId="0" applyBorder="1" applyAlignment="1">
      <alignment horizontal="left"/>
    </xf>
    <xf numFmtId="0" fontId="0" fillId="0" borderId="48" xfId="0" applyBorder="1" applyAlignment="1">
      <alignment horizontal="left" vertical="top"/>
    </xf>
    <xf numFmtId="0" fontId="0" fillId="0" borderId="66" xfId="0" applyBorder="1" applyAlignment="1">
      <alignment horizontal="left" vertical="top"/>
    </xf>
    <xf numFmtId="0" fontId="0" fillId="0" borderId="48" xfId="0" applyBorder="1" applyAlignment="1">
      <alignment horizontal="left"/>
    </xf>
    <xf numFmtId="0" fontId="84" fillId="0" borderId="87" xfId="0" applyFont="1" applyBorder="1"/>
    <xf numFmtId="0" fontId="83" fillId="0" borderId="62" xfId="0" applyFont="1" applyBorder="1" applyAlignment="1">
      <alignment horizontal="left" vertical="center"/>
    </xf>
    <xf numFmtId="0" fontId="16" fillId="0" borderId="94" xfId="0" applyFont="1" applyBorder="1"/>
    <xf numFmtId="0" fontId="70" fillId="0" borderId="240" xfId="0" applyFont="1" applyBorder="1" applyAlignment="1">
      <alignment horizontal="left" vertical="top" wrapText="1"/>
    </xf>
    <xf numFmtId="0" fontId="70" fillId="0" borderId="240" xfId="0" applyFont="1" applyBorder="1" applyAlignment="1">
      <alignment horizontal="left" vertical="center" wrapText="1"/>
    </xf>
    <xf numFmtId="0" fontId="10" fillId="0" borderId="93" xfId="0" applyFont="1" applyBorder="1"/>
    <xf numFmtId="0" fontId="10" fillId="0" borderId="66" xfId="0" applyFont="1" applyBorder="1"/>
    <xf numFmtId="0" fontId="10" fillId="0" borderId="59" xfId="0" applyFont="1" applyBorder="1"/>
    <xf numFmtId="0" fontId="10" fillId="0" borderId="241" xfId="0" applyFont="1" applyBorder="1"/>
    <xf numFmtId="0" fontId="72" fillId="0" borderId="242" xfId="0" applyFont="1" applyBorder="1" applyAlignment="1">
      <alignment horizontal="center" vertical="center"/>
    </xf>
    <xf numFmtId="0" fontId="72" fillId="0" borderId="242" xfId="0" applyFont="1" applyBorder="1" applyAlignment="1">
      <alignment horizontal="center" vertical="center" wrapText="1"/>
    </xf>
    <xf numFmtId="0" fontId="72" fillId="0" borderId="148" xfId="0" applyFont="1" applyBorder="1" applyAlignment="1">
      <alignment horizontal="center" vertical="center"/>
    </xf>
    <xf numFmtId="0" fontId="0" fillId="0" borderId="55" xfId="0" applyBorder="1" applyAlignment="1">
      <alignment vertical="center" wrapText="1"/>
    </xf>
    <xf numFmtId="0" fontId="84" fillId="0" borderId="148" xfId="0" applyFont="1" applyBorder="1" applyAlignment="1">
      <alignment horizontal="center" vertical="center"/>
    </xf>
    <xf numFmtId="0" fontId="0" fillId="0" borderId="244" xfId="0" applyBorder="1"/>
    <xf numFmtId="0" fontId="0" fillId="0" borderId="105" xfId="0" applyBorder="1" applyAlignment="1">
      <alignment horizontal="center"/>
    </xf>
    <xf numFmtId="0" fontId="0" fillId="0" borderId="135" xfId="0" applyBorder="1"/>
    <xf numFmtId="0" fontId="86" fillId="0" borderId="161" xfId="0" applyFont="1" applyBorder="1"/>
    <xf numFmtId="0" fontId="0" fillId="0" borderId="197" xfId="0" applyBorder="1"/>
    <xf numFmtId="0" fontId="0" fillId="0" borderId="245" xfId="0" applyBorder="1"/>
    <xf numFmtId="0" fontId="40" fillId="0" borderId="52" xfId="0" applyFont="1" applyBorder="1" applyAlignment="1">
      <alignment vertical="center"/>
    </xf>
    <xf numFmtId="0" fontId="83" fillId="0" borderId="246" xfId="0" applyFont="1" applyBorder="1" applyAlignment="1">
      <alignment horizontal="left" vertical="center"/>
    </xf>
    <xf numFmtId="0" fontId="16" fillId="0" borderId="247" xfId="0" applyFont="1" applyBorder="1"/>
    <xf numFmtId="0" fontId="70" fillId="0" borderId="246" xfId="0" applyFont="1" applyBorder="1" applyAlignment="1">
      <alignment horizontal="left" vertical="top" wrapText="1"/>
    </xf>
    <xf numFmtId="0" fontId="70" fillId="0" borderId="246" xfId="0" applyFont="1" applyBorder="1" applyAlignment="1">
      <alignment horizontal="left" vertical="center" wrapText="1"/>
    </xf>
    <xf numFmtId="0" fontId="0" fillId="0" borderId="248" xfId="0" applyBorder="1"/>
    <xf numFmtId="0" fontId="0" fillId="0" borderId="249" xfId="0" applyBorder="1"/>
    <xf numFmtId="0" fontId="0" fillId="0" borderId="250" xfId="0" applyBorder="1"/>
    <xf numFmtId="0" fontId="0" fillId="0" borderId="100" xfId="0" applyBorder="1" applyAlignment="1">
      <alignment vertical="center"/>
    </xf>
    <xf numFmtId="0" fontId="72" fillId="0" borderId="148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right" vertical="center"/>
    </xf>
    <xf numFmtId="0" fontId="9" fillId="3" borderId="60" xfId="0" applyFont="1" applyFill="1" applyBorder="1" applyAlignment="1">
      <alignment horizontal="left" vertical="center"/>
    </xf>
    <xf numFmtId="0" fontId="12" fillId="3" borderId="60" xfId="0" applyFont="1" applyFill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7" fillId="6" borderId="0" xfId="0" applyFont="1" applyFill="1" applyAlignment="1">
      <alignment vertical="center" wrapText="1"/>
    </xf>
    <xf numFmtId="0" fontId="17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left" vertical="center"/>
    </xf>
    <xf numFmtId="0" fontId="0" fillId="2" borderId="193" xfId="0" applyFill="1" applyBorder="1"/>
    <xf numFmtId="0" fontId="0" fillId="2" borderId="0" xfId="0" applyFill="1" applyAlignment="1">
      <alignment vertical="top"/>
    </xf>
    <xf numFmtId="0" fontId="0" fillId="2" borderId="252" xfId="0" applyFill="1" applyBorder="1"/>
    <xf numFmtId="0" fontId="0" fillId="2" borderId="231" xfId="0" applyFill="1" applyBorder="1"/>
    <xf numFmtId="0" fontId="9" fillId="0" borderId="161" xfId="0" applyFont="1" applyBorder="1" applyAlignment="1">
      <alignment vertical="center"/>
    </xf>
    <xf numFmtId="0" fontId="12" fillId="0" borderId="162" xfId="0" applyFont="1" applyBorder="1" applyAlignment="1">
      <alignment horizontal="left" vertical="center"/>
    </xf>
    <xf numFmtId="0" fontId="9" fillId="0" borderId="162" xfId="0" applyFont="1" applyBorder="1" applyAlignment="1">
      <alignment horizontal="left" vertical="center"/>
    </xf>
    <xf numFmtId="0" fontId="9" fillId="3" borderId="254" xfId="0" applyFont="1" applyFill="1" applyBorder="1" applyAlignment="1">
      <alignment horizontal="left" vertical="center"/>
    </xf>
    <xf numFmtId="0" fontId="9" fillId="3" borderId="163" xfId="0" applyFont="1" applyFill="1" applyBorder="1" applyAlignment="1">
      <alignment horizontal="left" vertical="center"/>
    </xf>
    <xf numFmtId="0" fontId="9" fillId="0" borderId="193" xfId="0" applyFont="1" applyBorder="1" applyAlignment="1">
      <alignment vertical="center"/>
    </xf>
    <xf numFmtId="0" fontId="0" fillId="3" borderId="228" xfId="0" applyFill="1" applyBorder="1"/>
    <xf numFmtId="0" fontId="9" fillId="0" borderId="252" xfId="0" applyFont="1" applyBorder="1" applyAlignment="1">
      <alignment vertical="center"/>
    </xf>
    <xf numFmtId="0" fontId="12" fillId="0" borderId="231" xfId="0" applyFont="1" applyBorder="1" applyAlignment="1">
      <alignment horizontal="left" vertical="center"/>
    </xf>
    <xf numFmtId="0" fontId="9" fillId="0" borderId="231" xfId="0" applyFont="1" applyBorder="1" applyAlignment="1">
      <alignment horizontal="left" vertical="center"/>
    </xf>
    <xf numFmtId="0" fontId="0" fillId="0" borderId="231" xfId="0" applyBorder="1"/>
    <xf numFmtId="0" fontId="12" fillId="0" borderId="231" xfId="0" applyFont="1" applyBorder="1" applyAlignment="1">
      <alignment vertical="center"/>
    </xf>
    <xf numFmtId="0" fontId="12" fillId="3" borderId="255" xfId="0" applyFont="1" applyFill="1" applyBorder="1" applyAlignment="1">
      <alignment vertical="center"/>
    </xf>
    <xf numFmtId="0" fontId="0" fillId="3" borderId="233" xfId="0" applyFill="1" applyBorder="1"/>
    <xf numFmtId="0" fontId="6" fillId="6" borderId="161" xfId="0" applyFont="1" applyFill="1" applyBorder="1" applyAlignment="1">
      <alignment horizontal="center" vertical="center"/>
    </xf>
    <xf numFmtId="0" fontId="6" fillId="6" borderId="193" xfId="0" applyFont="1" applyFill="1" applyBorder="1" applyAlignment="1">
      <alignment vertical="center"/>
    </xf>
    <xf numFmtId="0" fontId="6" fillId="6" borderId="252" xfId="0" applyFont="1" applyFill="1" applyBorder="1" applyAlignment="1">
      <alignment vertical="center"/>
    </xf>
    <xf numFmtId="0" fontId="9" fillId="3" borderId="256" xfId="0" applyFont="1" applyFill="1" applyBorder="1" applyAlignment="1">
      <alignment horizontal="left" vertical="center"/>
    </xf>
    <xf numFmtId="0" fontId="9" fillId="3" borderId="58" xfId="0" applyFont="1" applyFill="1" applyBorder="1" applyAlignment="1">
      <alignment horizontal="left" vertical="center"/>
    </xf>
    <xf numFmtId="0" fontId="12" fillId="3" borderId="58" xfId="0" applyFont="1" applyFill="1" applyBorder="1" applyAlignment="1">
      <alignment vertical="center"/>
    </xf>
    <xf numFmtId="0" fontId="12" fillId="3" borderId="257" xfId="0" applyFont="1" applyFill="1" applyBorder="1" applyAlignment="1">
      <alignment vertical="center"/>
    </xf>
    <xf numFmtId="0" fontId="88" fillId="0" borderId="0" xfId="0" applyFont="1" applyAlignment="1">
      <alignment horizontal="center" vertical="center"/>
    </xf>
    <xf numFmtId="0" fontId="88" fillId="0" borderId="231" xfId="0" applyFont="1" applyBorder="1" applyAlignment="1">
      <alignment horizontal="center" vertical="center"/>
    </xf>
    <xf numFmtId="0" fontId="89" fillId="0" borderId="44" xfId="0" applyFont="1" applyBorder="1" applyAlignment="1">
      <alignment horizontal="left" vertical="center" wrapText="1"/>
    </xf>
    <xf numFmtId="0" fontId="89" fillId="0" borderId="259" xfId="0" applyFont="1" applyBorder="1" applyAlignment="1">
      <alignment horizontal="left" vertical="center" wrapText="1"/>
    </xf>
    <xf numFmtId="0" fontId="89" fillId="0" borderId="260" xfId="0" applyFont="1" applyBorder="1" applyAlignment="1">
      <alignment horizontal="left" vertical="center" wrapText="1"/>
    </xf>
    <xf numFmtId="0" fontId="89" fillId="0" borderId="258" xfId="0" applyFont="1" applyBorder="1" applyAlignment="1">
      <alignment horizontal="left" vertical="center" wrapText="1"/>
    </xf>
    <xf numFmtId="14" fontId="89" fillId="0" borderId="261" xfId="0" applyNumberFormat="1" applyFont="1" applyBorder="1" applyAlignment="1">
      <alignment horizontal="center" vertical="center"/>
    </xf>
    <xf numFmtId="16" fontId="89" fillId="0" borderId="261" xfId="0" applyNumberFormat="1" applyFont="1" applyBorder="1" applyAlignment="1">
      <alignment horizontal="center" vertical="center"/>
    </xf>
    <xf numFmtId="0" fontId="89" fillId="0" borderId="1" xfId="0" applyFont="1" applyBorder="1" applyAlignment="1">
      <alignment horizontal="center" vertical="center"/>
    </xf>
    <xf numFmtId="0" fontId="7" fillId="4" borderId="157" xfId="0" applyFont="1" applyFill="1" applyBorder="1" applyAlignment="1">
      <alignment horizontal="center" vertical="center" wrapText="1"/>
    </xf>
    <xf numFmtId="0" fontId="0" fillId="4" borderId="80" xfId="0" applyFill="1" applyBorder="1" applyAlignment="1">
      <alignment horizontal="center" vertical="center" wrapText="1"/>
    </xf>
    <xf numFmtId="0" fontId="0" fillId="4" borderId="186" xfId="0" applyFill="1" applyBorder="1" applyAlignment="1">
      <alignment horizontal="center" vertical="center" wrapText="1"/>
    </xf>
    <xf numFmtId="0" fontId="19" fillId="4" borderId="212" xfId="0" applyFont="1" applyFill="1" applyBorder="1" applyAlignment="1">
      <alignment horizontal="center" vertical="center" wrapText="1"/>
    </xf>
    <xf numFmtId="0" fontId="19" fillId="4" borderId="0" xfId="0" applyFont="1" applyFill="1" applyAlignment="1">
      <alignment horizontal="center" vertical="center" wrapText="1"/>
    </xf>
    <xf numFmtId="9" fontId="20" fillId="9" borderId="32" xfId="0" applyNumberFormat="1" applyFont="1" applyFill="1" applyBorder="1" applyAlignment="1">
      <alignment horizontal="center" vertical="center"/>
    </xf>
    <xf numFmtId="9" fontId="20" fillId="9" borderId="28" xfId="0" applyNumberFormat="1" applyFont="1" applyFill="1" applyBorder="1" applyAlignment="1">
      <alignment horizontal="center" vertical="center"/>
    </xf>
    <xf numFmtId="9" fontId="20" fillId="9" borderId="1" xfId="0" applyNumberFormat="1" applyFont="1" applyFill="1" applyBorder="1" applyAlignment="1">
      <alignment horizontal="center" vertical="center"/>
    </xf>
    <xf numFmtId="9" fontId="20" fillId="9" borderId="34" xfId="0" applyNumberFormat="1" applyFont="1" applyFill="1" applyBorder="1" applyAlignment="1">
      <alignment horizontal="center" vertical="center"/>
    </xf>
    <xf numFmtId="9" fontId="20" fillId="9" borderId="36" xfId="0" applyNumberFormat="1" applyFont="1" applyFill="1" applyBorder="1" applyAlignment="1">
      <alignment horizontal="center" vertical="center"/>
    </xf>
    <xf numFmtId="9" fontId="20" fillId="9" borderId="37" xfId="0" applyNumberFormat="1" applyFont="1" applyFill="1" applyBorder="1" applyAlignment="1">
      <alignment horizontal="center" vertical="center"/>
    </xf>
    <xf numFmtId="9" fontId="20" fillId="9" borderId="27" xfId="0" applyNumberFormat="1" applyFont="1" applyFill="1" applyBorder="1" applyAlignment="1">
      <alignment horizontal="center" vertical="center"/>
    </xf>
    <xf numFmtId="9" fontId="20" fillId="9" borderId="33" xfId="0" applyNumberFormat="1" applyFont="1" applyFill="1" applyBorder="1" applyAlignment="1">
      <alignment horizontal="center" vertical="center"/>
    </xf>
    <xf numFmtId="9" fontId="20" fillId="9" borderId="35" xfId="0" applyNumberFormat="1" applyFont="1" applyFill="1" applyBorder="1" applyAlignment="1">
      <alignment horizontal="center" vertical="center"/>
    </xf>
    <xf numFmtId="14" fontId="69" fillId="0" borderId="6" xfId="0" applyNumberFormat="1" applyFont="1" applyBorder="1" applyAlignment="1">
      <alignment horizontal="center" vertical="center"/>
    </xf>
    <xf numFmtId="14" fontId="69" fillId="0" borderId="1" xfId="0" applyNumberFormat="1" applyFont="1" applyBorder="1" applyAlignment="1">
      <alignment horizontal="center" vertical="center"/>
    </xf>
    <xf numFmtId="14" fontId="69" fillId="0" borderId="36" xfId="0" applyNumberFormat="1" applyFont="1" applyBorder="1" applyAlignment="1">
      <alignment horizontal="center" vertical="center"/>
    </xf>
    <xf numFmtId="14" fontId="69" fillId="0" borderId="45" xfId="0" applyNumberFormat="1" applyFont="1" applyBorder="1" applyAlignment="1">
      <alignment horizontal="center" vertical="center"/>
    </xf>
    <xf numFmtId="14" fontId="69" fillId="0" borderId="34" xfId="0" applyNumberFormat="1" applyFont="1" applyBorder="1" applyAlignment="1">
      <alignment horizontal="center" vertical="center"/>
    </xf>
    <xf numFmtId="14" fontId="69" fillId="0" borderId="37" xfId="0" applyNumberFormat="1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/>
    </xf>
    <xf numFmtId="1" fontId="72" fillId="0" borderId="46" xfId="0" applyNumberFormat="1" applyFont="1" applyBorder="1" applyAlignment="1">
      <alignment horizontal="left" vertical="top"/>
    </xf>
    <xf numFmtId="0" fontId="70" fillId="0" borderId="47" xfId="0" applyFont="1" applyBorder="1" applyAlignment="1">
      <alignment horizontal="center"/>
    </xf>
    <xf numFmtId="0" fontId="70" fillId="0" borderId="48" xfId="0" applyFont="1" applyBorder="1" applyAlignment="1">
      <alignment horizontal="center"/>
    </xf>
    <xf numFmtId="0" fontId="33" fillId="6" borderId="1" xfId="0" applyFont="1" applyFill="1" applyBorder="1" applyAlignment="1">
      <alignment horizontal="center" vertical="center"/>
    </xf>
    <xf numFmtId="0" fontId="33" fillId="6" borderId="6" xfId="0" applyFont="1" applyFill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27" fillId="4" borderId="0" xfId="0" applyFont="1" applyFill="1" applyAlignment="1">
      <alignment horizontal="right" vertical="top" wrapText="1"/>
    </xf>
    <xf numFmtId="0" fontId="34" fillId="0" borderId="3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34" fillId="6" borderId="148" xfId="0" applyFont="1" applyFill="1" applyBorder="1" applyAlignment="1">
      <alignment horizontal="center" vertical="center"/>
    </xf>
    <xf numFmtId="0" fontId="34" fillId="6" borderId="149" xfId="0" applyFont="1" applyFill="1" applyBorder="1" applyAlignment="1">
      <alignment horizontal="center" vertical="center"/>
    </xf>
    <xf numFmtId="0" fontId="34" fillId="6" borderId="150" xfId="0" applyFont="1" applyFill="1" applyBorder="1" applyAlignment="1">
      <alignment horizontal="center" vertical="center"/>
    </xf>
    <xf numFmtId="0" fontId="34" fillId="6" borderId="1" xfId="0" applyFont="1" applyFill="1" applyBorder="1" applyAlignment="1">
      <alignment horizontal="center" vertical="center"/>
    </xf>
    <xf numFmtId="0" fontId="78" fillId="4" borderId="0" xfId="0" applyFont="1" applyFill="1" applyAlignment="1">
      <alignment horizontal="center" vertical="center" wrapText="1"/>
    </xf>
    <xf numFmtId="0" fontId="29" fillId="4" borderId="0" xfId="0" applyFont="1" applyFill="1" applyAlignment="1">
      <alignment horizontal="center" vertical="center"/>
    </xf>
    <xf numFmtId="0" fontId="34" fillId="6" borderId="3" xfId="0" applyFont="1" applyFill="1" applyBorder="1" applyAlignment="1">
      <alignment horizontal="center" vertical="center"/>
    </xf>
    <xf numFmtId="0" fontId="34" fillId="6" borderId="2" xfId="0" applyFont="1" applyFill="1" applyBorder="1" applyAlignment="1">
      <alignment horizontal="center" vertical="center"/>
    </xf>
    <xf numFmtId="0" fontId="34" fillId="6" borderId="4" xfId="0" applyFont="1" applyFill="1" applyBorder="1" applyAlignment="1">
      <alignment horizontal="center" vertical="center"/>
    </xf>
    <xf numFmtId="49" fontId="80" fillId="4" borderId="0" xfId="0" applyNumberFormat="1" applyFont="1" applyFill="1" applyAlignment="1">
      <alignment horizontal="left" vertical="center" wrapText="1"/>
    </xf>
    <xf numFmtId="0" fontId="22" fillId="4" borderId="22" xfId="0" applyFont="1" applyFill="1" applyBorder="1" applyAlignment="1">
      <alignment horizontal="right" vertical="center"/>
    </xf>
    <xf numFmtId="0" fontId="22" fillId="4" borderId="0" xfId="0" applyFont="1" applyFill="1" applyAlignment="1">
      <alignment horizontal="right" vertical="center"/>
    </xf>
    <xf numFmtId="49" fontId="23" fillId="4" borderId="0" xfId="0" applyNumberFormat="1" applyFont="1" applyFill="1" applyAlignment="1">
      <alignment horizontal="left" vertical="center"/>
    </xf>
    <xf numFmtId="49" fontId="23" fillId="4" borderId="23" xfId="0" applyNumberFormat="1" applyFont="1" applyFill="1" applyBorder="1" applyAlignment="1">
      <alignment horizontal="left" vertical="center"/>
    </xf>
    <xf numFmtId="0" fontId="5" fillId="4" borderId="161" xfId="0" applyFont="1" applyFill="1" applyBorder="1" applyAlignment="1">
      <alignment horizontal="center" vertical="center"/>
    </xf>
    <xf numFmtId="0" fontId="5" fillId="4" borderId="162" xfId="0" applyFont="1" applyFill="1" applyBorder="1" applyAlignment="1">
      <alignment horizontal="center" vertical="center"/>
    </xf>
    <xf numFmtId="49" fontId="59" fillId="4" borderId="253" xfId="0" applyNumberFormat="1" applyFont="1" applyFill="1" applyBorder="1" applyAlignment="1">
      <alignment horizontal="center" vertical="center"/>
    </xf>
    <xf numFmtId="49" fontId="59" fillId="4" borderId="25" xfId="0" applyNumberFormat="1" applyFont="1" applyFill="1" applyBorder="1" applyAlignment="1">
      <alignment horizontal="center" vertical="center"/>
    </xf>
    <xf numFmtId="0" fontId="17" fillId="6" borderId="162" xfId="0" applyFont="1" applyFill="1" applyBorder="1" applyAlignment="1">
      <alignment horizontal="center" vertical="center" wrapText="1"/>
    </xf>
    <xf numFmtId="0" fontId="17" fillId="6" borderId="163" xfId="0" applyFont="1" applyFill="1" applyBorder="1" applyAlignment="1">
      <alignment horizontal="center" vertical="center" wrapText="1"/>
    </xf>
    <xf numFmtId="0" fontId="27" fillId="4" borderId="193" xfId="0" applyFont="1" applyFill="1" applyBorder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7" fillId="4" borderId="228" xfId="0" applyFont="1" applyFill="1" applyBorder="1" applyAlignment="1">
      <alignment horizontal="center" vertical="center"/>
    </xf>
    <xf numFmtId="0" fontId="20" fillId="3" borderId="230" xfId="0" applyFont="1" applyFill="1" applyBorder="1" applyAlignment="1">
      <alignment horizontal="center" vertical="center"/>
    </xf>
    <xf numFmtId="0" fontId="20" fillId="3" borderId="199" xfId="0" applyFont="1" applyFill="1" applyBorder="1" applyAlignment="1">
      <alignment horizontal="center" vertical="center"/>
    </xf>
    <xf numFmtId="0" fontId="20" fillId="3" borderId="231" xfId="0" applyFont="1" applyFill="1" applyBorder="1" applyAlignment="1">
      <alignment horizontal="left" vertical="center" wrapText="1"/>
    </xf>
    <xf numFmtId="0" fontId="20" fillId="3" borderId="232" xfId="0" applyFont="1" applyFill="1" applyBorder="1" applyAlignment="1">
      <alignment horizontal="left" vertical="center" wrapText="1"/>
    </xf>
    <xf numFmtId="0" fontId="28" fillId="3" borderId="193" xfId="0" applyFont="1" applyFill="1" applyBorder="1" applyAlignment="1">
      <alignment horizontal="center" vertical="center" wrapText="1"/>
    </xf>
    <xf numFmtId="0" fontId="28" fillId="3" borderId="0" xfId="0" applyFont="1" applyFill="1" applyAlignment="1">
      <alignment horizontal="center" vertical="center" wrapText="1"/>
    </xf>
    <xf numFmtId="0" fontId="6" fillId="3" borderId="39" xfId="0" applyFont="1" applyFill="1" applyBorder="1" applyAlignment="1">
      <alignment horizontal="center"/>
    </xf>
    <xf numFmtId="0" fontId="6" fillId="3" borderId="40" xfId="0" applyFont="1" applyFill="1" applyBorder="1" applyAlignment="1">
      <alignment horizontal="center"/>
    </xf>
    <xf numFmtId="0" fontId="30" fillId="8" borderId="38" xfId="0" applyFont="1" applyFill="1" applyBorder="1" applyAlignment="1">
      <alignment horizontal="center" vertical="center" wrapText="1"/>
    </xf>
    <xf numFmtId="0" fontId="30" fillId="8" borderId="64" xfId="0" applyFont="1" applyFill="1" applyBorder="1" applyAlignment="1">
      <alignment horizontal="center" vertical="center" wrapText="1"/>
    </xf>
    <xf numFmtId="0" fontId="6" fillId="3" borderId="41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/>
    </xf>
    <xf numFmtId="0" fontId="6" fillId="3" borderId="42" xfId="0" applyFont="1" applyFill="1" applyBorder="1" applyAlignment="1">
      <alignment horizontal="center"/>
    </xf>
    <xf numFmtId="0" fontId="30" fillId="9" borderId="38" xfId="0" applyFont="1" applyFill="1" applyBorder="1" applyAlignment="1">
      <alignment horizontal="center" vertical="center" wrapText="1"/>
    </xf>
    <xf numFmtId="0" fontId="30" fillId="9" borderId="64" xfId="0" applyFont="1" applyFill="1" applyBorder="1" applyAlignment="1">
      <alignment horizontal="center" vertical="center" wrapText="1"/>
    </xf>
    <xf numFmtId="0" fontId="20" fillId="3" borderId="31" xfId="0" applyFont="1" applyFill="1" applyBorder="1" applyAlignment="1">
      <alignment horizontal="center" vertical="center"/>
    </xf>
    <xf numFmtId="0" fontId="20" fillId="3" borderId="21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left" vertical="center" wrapText="1"/>
    </xf>
    <xf numFmtId="0" fontId="20" fillId="3" borderId="43" xfId="0" applyFont="1" applyFill="1" applyBorder="1" applyAlignment="1">
      <alignment horizontal="left" vertical="center" wrapText="1"/>
    </xf>
    <xf numFmtId="0" fontId="20" fillId="3" borderId="29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left" vertical="center" wrapText="1"/>
    </xf>
    <xf numFmtId="0" fontId="20" fillId="3" borderId="30" xfId="0" applyFont="1" applyFill="1" applyBorder="1" applyAlignment="1">
      <alignment horizontal="left" vertical="center" wrapText="1"/>
    </xf>
    <xf numFmtId="0" fontId="31" fillId="2" borderId="15" xfId="0" applyFont="1" applyFill="1" applyBorder="1" applyAlignment="1">
      <alignment horizontal="center" vertical="center"/>
    </xf>
    <xf numFmtId="0" fontId="31" fillId="2" borderId="16" xfId="0" applyFont="1" applyFill="1" applyBorder="1" applyAlignment="1">
      <alignment horizontal="center" vertical="center"/>
    </xf>
    <xf numFmtId="0" fontId="31" fillId="2" borderId="42" xfId="0" applyFont="1" applyFill="1" applyBorder="1" applyAlignment="1">
      <alignment horizontal="center" vertical="center"/>
    </xf>
    <xf numFmtId="0" fontId="70" fillId="0" borderId="243" xfId="0" applyFont="1" applyBorder="1" applyAlignment="1">
      <alignment horizontal="left" vertical="top" wrapText="1"/>
    </xf>
    <xf numFmtId="0" fontId="70" fillId="0" borderId="149" xfId="0" applyFont="1" applyBorder="1" applyAlignment="1">
      <alignment horizontal="left" vertical="top" wrapText="1"/>
    </xf>
    <xf numFmtId="0" fontId="70" fillId="0" borderId="150" xfId="0" applyFont="1" applyBorder="1" applyAlignment="1">
      <alignment horizontal="left" vertical="top" wrapText="1"/>
    </xf>
    <xf numFmtId="0" fontId="24" fillId="0" borderId="78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14" fontId="69" fillId="0" borderId="123" xfId="0" applyNumberFormat="1" applyFont="1" applyBorder="1" applyAlignment="1">
      <alignment horizontal="center" vertical="center" wrapText="1"/>
    </xf>
    <xf numFmtId="0" fontId="69" fillId="0" borderId="124" xfId="0" applyFont="1" applyBorder="1" applyAlignment="1">
      <alignment horizontal="center" vertical="center" wrapText="1"/>
    </xf>
    <xf numFmtId="0" fontId="0" fillId="0" borderId="54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5" xfId="0" applyBorder="1" applyAlignment="1">
      <alignment horizontal="center"/>
    </xf>
    <xf numFmtId="0" fontId="38" fillId="4" borderId="19" xfId="0" applyFont="1" applyFill="1" applyBorder="1" applyAlignment="1">
      <alignment horizontal="center" vertical="center" wrapText="1"/>
    </xf>
    <xf numFmtId="0" fontId="38" fillId="4" borderId="251" xfId="0" applyFont="1" applyFill="1" applyBorder="1" applyAlignment="1">
      <alignment horizontal="center" vertical="center" wrapText="1"/>
    </xf>
    <xf numFmtId="14" fontId="69" fillId="0" borderId="12" xfId="0" applyNumberFormat="1" applyFont="1" applyBorder="1" applyAlignment="1">
      <alignment horizontal="center" vertical="center"/>
    </xf>
    <xf numFmtId="0" fontId="69" fillId="0" borderId="14" xfId="0" applyFont="1" applyBorder="1" applyAlignment="1">
      <alignment horizontal="center" vertical="center"/>
    </xf>
    <xf numFmtId="14" fontId="69" fillId="0" borderId="3" xfId="0" applyNumberFormat="1" applyFont="1" applyBorder="1" applyAlignment="1">
      <alignment horizontal="center" vertical="center"/>
    </xf>
    <xf numFmtId="0" fontId="69" fillId="0" borderId="4" xfId="0" applyFont="1" applyBorder="1" applyAlignment="1">
      <alignment horizontal="center" vertical="center"/>
    </xf>
    <xf numFmtId="0" fontId="82" fillId="0" borderId="47" xfId="0" applyFont="1" applyBorder="1" applyAlignment="1">
      <alignment horizontal="left" vertical="center"/>
    </xf>
    <xf numFmtId="0" fontId="82" fillId="0" borderId="51" xfId="0" applyFont="1" applyBorder="1" applyAlignment="1">
      <alignment horizontal="left" vertical="center"/>
    </xf>
    <xf numFmtId="0" fontId="82" fillId="0" borderId="48" xfId="0" applyFont="1" applyBorder="1" applyAlignment="1">
      <alignment horizontal="left" vertical="center"/>
    </xf>
    <xf numFmtId="0" fontId="57" fillId="0" borderId="135" xfId="0" applyFont="1" applyBorder="1" applyAlignment="1">
      <alignment horizontal="center" vertical="center" wrapText="1"/>
    </xf>
    <xf numFmtId="0" fontId="57" fillId="0" borderId="136" xfId="0" applyFont="1" applyBorder="1" applyAlignment="1">
      <alignment horizontal="center" vertical="center" wrapText="1"/>
    </xf>
    <xf numFmtId="0" fontId="57" fillId="0" borderId="137" xfId="0" applyFont="1" applyBorder="1" applyAlignment="1">
      <alignment horizontal="center" vertical="center" wrapText="1"/>
    </xf>
    <xf numFmtId="0" fontId="50" fillId="0" borderId="59" xfId="0" applyFont="1" applyBorder="1" applyAlignment="1">
      <alignment horizontal="center" vertical="center"/>
    </xf>
    <xf numFmtId="0" fontId="50" fillId="0" borderId="144" xfId="0" applyFont="1" applyBorder="1" applyAlignment="1">
      <alignment horizontal="center" vertical="center"/>
    </xf>
    <xf numFmtId="0" fontId="50" fillId="0" borderId="54" xfId="0" applyFont="1" applyBorder="1" applyAlignment="1">
      <alignment horizontal="center" vertical="center"/>
    </xf>
    <xf numFmtId="0" fontId="50" fillId="0" borderId="145" xfId="0" applyFont="1" applyBorder="1" applyAlignment="1">
      <alignment horizontal="center" vertical="center"/>
    </xf>
    <xf numFmtId="0" fontId="45" fillId="0" borderId="140" xfId="0" applyFont="1" applyBorder="1" applyAlignment="1">
      <alignment horizontal="center" vertical="center"/>
    </xf>
    <xf numFmtId="0" fontId="45" fillId="0" borderId="97" xfId="0" applyFont="1" applyBorder="1" applyAlignment="1">
      <alignment horizontal="center" vertical="center"/>
    </xf>
    <xf numFmtId="0" fontId="50" fillId="0" borderId="47" xfId="0" applyFont="1" applyBorder="1" applyAlignment="1">
      <alignment horizontal="center" vertical="center"/>
    </xf>
    <xf numFmtId="0" fontId="50" fillId="0" borderId="51" xfId="0" applyFont="1" applyBorder="1" applyAlignment="1">
      <alignment horizontal="center" vertical="center"/>
    </xf>
    <xf numFmtId="0" fontId="50" fillId="0" borderId="13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2" fillId="0" borderId="129" xfId="0" applyFont="1" applyBorder="1" applyAlignment="1">
      <alignment horizontal="left" vertical="center"/>
    </xf>
    <xf numFmtId="0" fontId="82" fillId="0" borderId="120" xfId="0" applyFont="1" applyBorder="1" applyAlignment="1">
      <alignment horizontal="left" vertical="center"/>
    </xf>
    <xf numFmtId="0" fontId="0" fillId="0" borderId="106" xfId="0" applyBorder="1" applyAlignment="1">
      <alignment horizontal="center" vertical="center"/>
    </xf>
    <xf numFmtId="0" fontId="53" fillId="15" borderId="175" xfId="0" applyFont="1" applyFill="1" applyBorder="1" applyAlignment="1">
      <alignment horizontal="center" vertical="center"/>
    </xf>
    <xf numFmtId="0" fontId="0" fillId="0" borderId="50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121" xfId="0" applyBorder="1" applyAlignment="1">
      <alignment horizontal="center"/>
    </xf>
    <xf numFmtId="0" fontId="0" fillId="0" borderId="128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48" fillId="0" borderId="46" xfId="0" applyFont="1" applyBorder="1" applyAlignment="1">
      <alignment horizontal="center" vertical="top"/>
    </xf>
    <xf numFmtId="0" fontId="57" fillId="0" borderId="133" xfId="0" applyFont="1" applyBorder="1" applyAlignment="1">
      <alignment horizontal="center" vertical="top"/>
    </xf>
    <xf numFmtId="0" fontId="57" fillId="0" borderId="99" xfId="0" applyFont="1" applyBorder="1" applyAlignment="1">
      <alignment horizontal="center" vertical="top"/>
    </xf>
    <xf numFmtId="0" fontId="46" fillId="0" borderId="135" xfId="0" applyFont="1" applyBorder="1" applyAlignment="1">
      <alignment horizontal="center" vertical="center" wrapText="1"/>
    </xf>
    <xf numFmtId="0" fontId="46" fillId="0" borderId="136" xfId="0" applyFont="1" applyBorder="1" applyAlignment="1">
      <alignment horizontal="center" vertical="center" wrapText="1"/>
    </xf>
    <xf numFmtId="0" fontId="46" fillId="0" borderId="137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49" fillId="14" borderId="1" xfId="0" applyFont="1" applyFill="1" applyBorder="1" applyAlignment="1">
      <alignment horizontal="center" vertical="center" wrapText="1" readingOrder="1"/>
    </xf>
    <xf numFmtId="0" fontId="57" fillId="0" borderId="135" xfId="0" applyFont="1" applyBorder="1" applyAlignment="1">
      <alignment horizontal="center"/>
    </xf>
    <xf numFmtId="0" fontId="57" fillId="0" borderId="136" xfId="0" applyFont="1" applyBorder="1" applyAlignment="1">
      <alignment horizontal="center"/>
    </xf>
    <xf numFmtId="0" fontId="57" fillId="0" borderId="137" xfId="0" applyFont="1" applyBorder="1" applyAlignment="1">
      <alignment horizontal="center"/>
    </xf>
    <xf numFmtId="0" fontId="52" fillId="14" borderId="19" xfId="0" applyFont="1" applyFill="1" applyBorder="1" applyAlignment="1">
      <alignment horizontal="center" vertical="center" wrapText="1" readingOrder="1"/>
    </xf>
    <xf numFmtId="0" fontId="52" fillId="14" borderId="20" xfId="0" applyFont="1" applyFill="1" applyBorder="1" applyAlignment="1">
      <alignment horizontal="center" vertical="center" wrapText="1" readingOrder="1"/>
    </xf>
    <xf numFmtId="0" fontId="52" fillId="14" borderId="17" xfId="0" applyFont="1" applyFill="1" applyBorder="1" applyAlignment="1">
      <alignment horizontal="center" vertical="center" wrapText="1" readingOrder="1"/>
    </xf>
    <xf numFmtId="0" fontId="0" fillId="0" borderId="5" xfId="0" applyBorder="1" applyAlignment="1">
      <alignment horizontal="center" vertical="center"/>
    </xf>
    <xf numFmtId="0" fontId="0" fillId="0" borderId="139" xfId="0" applyBorder="1" applyAlignment="1">
      <alignment horizontal="center" vertical="center"/>
    </xf>
    <xf numFmtId="0" fontId="0" fillId="0" borderId="14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43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1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129" xfId="0" applyBorder="1" applyAlignment="1">
      <alignment horizontal="center"/>
    </xf>
    <xf numFmtId="0" fontId="0" fillId="0" borderId="120" xfId="0" applyBorder="1" applyAlignment="1">
      <alignment horizontal="center"/>
    </xf>
    <xf numFmtId="0" fontId="0" fillId="0" borderId="131" xfId="0" applyBorder="1" applyAlignment="1">
      <alignment horizontal="center"/>
    </xf>
    <xf numFmtId="0" fontId="0" fillId="0" borderId="132" xfId="0" applyBorder="1" applyAlignment="1">
      <alignment horizontal="center"/>
    </xf>
    <xf numFmtId="0" fontId="0" fillId="0" borderId="104" xfId="0" applyBorder="1" applyAlignment="1">
      <alignment horizontal="center"/>
    </xf>
    <xf numFmtId="0" fontId="53" fillId="15" borderId="35" xfId="0" applyFont="1" applyFill="1" applyBorder="1" applyAlignment="1">
      <alignment horizontal="center" vertical="center"/>
    </xf>
    <xf numFmtId="0" fontId="53" fillId="15" borderId="36" xfId="0" applyFont="1" applyFill="1" applyBorder="1" applyAlignment="1">
      <alignment horizontal="center" vertical="center"/>
    </xf>
    <xf numFmtId="0" fontId="53" fillId="15" borderId="123" xfId="0" applyFont="1" applyFill="1" applyBorder="1" applyAlignment="1">
      <alignment horizontal="center" vertical="center"/>
    </xf>
    <xf numFmtId="0" fontId="0" fillId="0" borderId="173" xfId="0" applyBorder="1" applyAlignment="1">
      <alignment horizontal="center"/>
    </xf>
    <xf numFmtId="0" fontId="0" fillId="0" borderId="174" xfId="0" applyBorder="1" applyAlignment="1">
      <alignment horizontal="center"/>
    </xf>
    <xf numFmtId="0" fontId="0" fillId="0" borderId="130" xfId="0" applyBorder="1" applyAlignment="1">
      <alignment horizontal="center"/>
    </xf>
    <xf numFmtId="0" fontId="49" fillId="14" borderId="33" xfId="0" applyFont="1" applyFill="1" applyBorder="1" applyAlignment="1">
      <alignment horizontal="center" vertical="center" wrapText="1" readingOrder="1"/>
    </xf>
    <xf numFmtId="0" fontId="0" fillId="0" borderId="7" xfId="0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49" fillId="14" borderId="34" xfId="0" applyFont="1" applyFill="1" applyBorder="1" applyAlignment="1">
      <alignment horizontal="center" vertical="center" wrapText="1" readingOrder="1"/>
    </xf>
    <xf numFmtId="0" fontId="54" fillId="15" borderId="36" xfId="0" applyFont="1" applyFill="1" applyBorder="1" applyAlignment="1">
      <alignment horizontal="center" vertical="center"/>
    </xf>
    <xf numFmtId="0" fontId="54" fillId="15" borderId="37" xfId="0" applyFont="1" applyFill="1" applyBorder="1" applyAlignment="1">
      <alignment horizontal="center" vertical="center"/>
    </xf>
    <xf numFmtId="0" fontId="56" fillId="0" borderId="117" xfId="0" applyFont="1" applyBorder="1" applyAlignment="1">
      <alignment horizontal="center"/>
    </xf>
    <xf numFmtId="0" fontId="56" fillId="0" borderId="126" xfId="0" applyFont="1" applyBorder="1" applyAlignment="1">
      <alignment horizontal="center"/>
    </xf>
    <xf numFmtId="0" fontId="56" fillId="0" borderId="116" xfId="0" applyFont="1" applyBorder="1" applyAlignment="1">
      <alignment horizontal="center"/>
    </xf>
    <xf numFmtId="0" fontId="54" fillId="15" borderId="123" xfId="0" applyFont="1" applyFill="1" applyBorder="1" applyAlignment="1">
      <alignment horizontal="center" vertical="center"/>
    </xf>
    <xf numFmtId="0" fontId="54" fillId="15" borderId="61" xfId="0" applyFont="1" applyFill="1" applyBorder="1" applyAlignment="1">
      <alignment horizontal="center" vertical="center"/>
    </xf>
    <xf numFmtId="0" fontId="54" fillId="15" borderId="124" xfId="0" applyFont="1" applyFill="1" applyBorder="1" applyAlignment="1">
      <alignment horizontal="center" vertical="center"/>
    </xf>
    <xf numFmtId="0" fontId="54" fillId="15" borderId="35" xfId="0" applyFont="1" applyFill="1" applyBorder="1" applyAlignment="1">
      <alignment horizontal="center" vertical="center"/>
    </xf>
    <xf numFmtId="0" fontId="58" fillId="0" borderId="117" xfId="0" applyFont="1" applyBorder="1" applyAlignment="1">
      <alignment horizontal="center"/>
    </xf>
    <xf numFmtId="0" fontId="58" fillId="0" borderId="116" xfId="0" applyFont="1" applyBorder="1" applyAlignment="1">
      <alignment horizontal="center"/>
    </xf>
    <xf numFmtId="0" fontId="48" fillId="0" borderId="47" xfId="0" applyFont="1" applyBorder="1" applyAlignment="1">
      <alignment horizontal="center" vertical="top"/>
    </xf>
    <xf numFmtId="0" fontId="48" fillId="0" borderId="72" xfId="0" applyFont="1" applyBorder="1" applyAlignment="1">
      <alignment horizontal="center" vertical="top"/>
    </xf>
    <xf numFmtId="0" fontId="48" fillId="0" borderId="51" xfId="0" applyFont="1" applyBorder="1" applyAlignment="1">
      <alignment horizontal="center" vertical="top"/>
    </xf>
    <xf numFmtId="0" fontId="56" fillId="0" borderId="117" xfId="0" applyFont="1" applyBorder="1" applyAlignment="1">
      <alignment horizontal="right"/>
    </xf>
    <xf numFmtId="0" fontId="56" fillId="0" borderId="126" xfId="0" applyFont="1" applyBorder="1" applyAlignment="1">
      <alignment horizontal="right"/>
    </xf>
    <xf numFmtId="0" fontId="56" fillId="0" borderId="116" xfId="0" applyFont="1" applyBorder="1" applyAlignment="1">
      <alignment horizontal="right"/>
    </xf>
    <xf numFmtId="0" fontId="48" fillId="0" borderId="47" xfId="0" applyFont="1" applyBorder="1" applyAlignment="1">
      <alignment horizontal="center" vertical="center"/>
    </xf>
    <xf numFmtId="0" fontId="48" fillId="0" borderId="51" xfId="0" applyFont="1" applyBorder="1" applyAlignment="1">
      <alignment horizontal="center" vertical="center"/>
    </xf>
    <xf numFmtId="0" fontId="48" fillId="0" borderId="72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 wrapText="1" readingOrder="1"/>
    </xf>
    <xf numFmtId="0" fontId="30" fillId="0" borderId="1" xfId="0" applyFont="1" applyBorder="1" applyAlignment="1">
      <alignment horizontal="center" vertical="center" wrapText="1" readingOrder="1"/>
    </xf>
    <xf numFmtId="0" fontId="16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3" fillId="4" borderId="148" xfId="0" applyFont="1" applyFill="1" applyBorder="1" applyAlignment="1">
      <alignment horizontal="center" vertical="center"/>
    </xf>
    <xf numFmtId="0" fontId="3" fillId="4" borderId="149" xfId="0" applyFont="1" applyFill="1" applyBorder="1" applyAlignment="1">
      <alignment horizontal="center" vertical="center"/>
    </xf>
    <xf numFmtId="0" fontId="3" fillId="4" borderId="150" xfId="0" applyFont="1" applyFill="1" applyBorder="1" applyAlignment="1">
      <alignment horizontal="center" vertical="center"/>
    </xf>
    <xf numFmtId="0" fontId="25" fillId="4" borderId="161" xfId="0" applyFont="1" applyFill="1" applyBorder="1" applyAlignment="1">
      <alignment horizontal="center" vertical="top" wrapText="1"/>
    </xf>
    <xf numFmtId="0" fontId="25" fillId="4" borderId="162" xfId="0" applyFont="1" applyFill="1" applyBorder="1" applyAlignment="1">
      <alignment horizontal="center" vertical="top" wrapText="1"/>
    </xf>
    <xf numFmtId="0" fontId="25" fillId="4" borderId="163" xfId="0" applyFont="1" applyFill="1" applyBorder="1" applyAlignment="1">
      <alignment horizontal="center" vertical="top" wrapText="1"/>
    </xf>
    <xf numFmtId="49" fontId="26" fillId="4" borderId="169" xfId="0" applyNumberFormat="1" applyFont="1" applyFill="1" applyBorder="1" applyAlignment="1">
      <alignment horizontal="center" vertical="top" wrapText="1"/>
    </xf>
    <xf numFmtId="49" fontId="26" fillId="4" borderId="170" xfId="0" applyNumberFormat="1" applyFont="1" applyFill="1" applyBorder="1" applyAlignment="1">
      <alignment horizontal="center" vertical="top" wrapText="1"/>
    </xf>
    <xf numFmtId="49" fontId="26" fillId="4" borderId="171" xfId="0" applyNumberFormat="1" applyFont="1" applyFill="1" applyBorder="1" applyAlignment="1">
      <alignment horizontal="center" vertical="top" wrapText="1"/>
    </xf>
    <xf numFmtId="0" fontId="42" fillId="12" borderId="27" xfId="0" applyFont="1" applyFill="1" applyBorder="1" applyAlignment="1">
      <alignment horizontal="center" vertical="center"/>
    </xf>
    <xf numFmtId="0" fontId="42" fillId="12" borderId="32" xfId="0" applyFont="1" applyFill="1" applyBorder="1" applyAlignment="1">
      <alignment horizontal="center" vertical="center"/>
    </xf>
    <xf numFmtId="0" fontId="42" fillId="12" borderId="28" xfId="0" applyFont="1" applyFill="1" applyBorder="1" applyAlignment="1">
      <alignment horizontal="center" vertical="center"/>
    </xf>
    <xf numFmtId="0" fontId="42" fillId="12" borderId="153" xfId="0" applyFont="1" applyFill="1" applyBorder="1" applyAlignment="1">
      <alignment horizontal="center" vertical="center"/>
    </xf>
    <xf numFmtId="0" fontId="42" fillId="12" borderId="154" xfId="0" applyFont="1" applyFill="1" applyBorder="1" applyAlignment="1">
      <alignment horizontal="center" vertical="center"/>
    </xf>
    <xf numFmtId="0" fontId="42" fillId="12" borderId="155" xfId="0" applyFont="1" applyFill="1" applyBorder="1" applyAlignment="1">
      <alignment horizontal="center" vertical="center"/>
    </xf>
    <xf numFmtId="0" fontId="49" fillId="14" borderId="5" xfId="0" applyFont="1" applyFill="1" applyBorder="1" applyAlignment="1">
      <alignment horizontal="center" vertical="center" wrapText="1" readingOrder="1"/>
    </xf>
    <xf numFmtId="0" fontId="49" fillId="14" borderId="172" xfId="0" applyFont="1" applyFill="1" applyBorder="1" applyAlignment="1">
      <alignment horizontal="center" vertical="center" wrapText="1" readingOrder="1"/>
    </xf>
    <xf numFmtId="0" fontId="52" fillId="14" borderId="1" xfId="0" applyFont="1" applyFill="1" applyBorder="1" applyAlignment="1">
      <alignment horizontal="center" vertical="center" wrapText="1" readingOrder="1"/>
    </xf>
    <xf numFmtId="0" fontId="52" fillId="14" borderId="34" xfId="0" applyFont="1" applyFill="1" applyBorder="1" applyAlignment="1">
      <alignment horizontal="center" vertical="center" wrapText="1" readingOrder="1"/>
    </xf>
    <xf numFmtId="0" fontId="51" fillId="14" borderId="27" xfId="0" applyFont="1" applyFill="1" applyBorder="1" applyAlignment="1">
      <alignment horizontal="center" vertical="center" wrapText="1" readingOrder="1"/>
    </xf>
    <xf numFmtId="0" fontId="51" fillId="14" borderId="32" xfId="0" applyFont="1" applyFill="1" applyBorder="1" applyAlignment="1">
      <alignment horizontal="center" vertical="center" wrapText="1" readingOrder="1"/>
    </xf>
    <xf numFmtId="0" fontId="51" fillId="14" borderId="28" xfId="0" applyFont="1" applyFill="1" applyBorder="1" applyAlignment="1">
      <alignment horizontal="center" vertical="center" wrapText="1" readingOrder="1"/>
    </xf>
    <xf numFmtId="0" fontId="52" fillId="14" borderId="33" xfId="0" applyFont="1" applyFill="1" applyBorder="1" applyAlignment="1">
      <alignment horizontal="center" vertical="center" wrapText="1" readingOrder="1"/>
    </xf>
    <xf numFmtId="0" fontId="55" fillId="0" borderId="0" xfId="0" applyFont="1" applyAlignment="1">
      <alignment horizontal="center" vertical="center" textRotation="90"/>
    </xf>
    <xf numFmtId="0" fontId="33" fillId="0" borderId="0" xfId="0" applyFont="1" applyAlignment="1">
      <alignment horizontal="center" vertical="center" textRotation="90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0" fontId="85" fillId="0" borderId="206" xfId="0" applyFont="1" applyBorder="1" applyAlignment="1">
      <alignment horizontal="left"/>
    </xf>
    <xf numFmtId="0" fontId="85" fillId="0" borderId="51" xfId="0" applyFont="1" applyBorder="1" applyAlignment="1">
      <alignment horizontal="left"/>
    </xf>
    <xf numFmtId="0" fontId="85" fillId="0" borderId="48" xfId="0" applyFont="1" applyBorder="1" applyAlignment="1">
      <alignment horizontal="left"/>
    </xf>
    <xf numFmtId="0" fontId="85" fillId="0" borderId="205" xfId="0" applyFont="1" applyBorder="1" applyAlignment="1">
      <alignment horizontal="left"/>
    </xf>
    <xf numFmtId="0" fontId="85" fillId="0" borderId="236" xfId="0" applyFont="1" applyBorder="1" applyAlignment="1">
      <alignment horizontal="left"/>
    </xf>
    <xf numFmtId="0" fontId="85" fillId="0" borderId="195" xfId="0" applyFont="1" applyBorder="1" applyAlignment="1">
      <alignment horizontal="left"/>
    </xf>
    <xf numFmtId="0" fontId="16" fillId="0" borderId="20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62" fillId="0" borderId="200" xfId="0" applyFont="1" applyBorder="1" applyAlignment="1">
      <alignment horizontal="center" vertical="center" wrapText="1"/>
    </xf>
    <xf numFmtId="0" fontId="62" fillId="0" borderId="199" xfId="0" applyFont="1" applyBorder="1" applyAlignment="1">
      <alignment horizontal="center" vertical="center" wrapText="1"/>
    </xf>
    <xf numFmtId="0" fontId="62" fillId="0" borderId="164" xfId="0" applyFont="1" applyBorder="1" applyAlignment="1">
      <alignment horizontal="center" vertical="center" wrapText="1"/>
    </xf>
    <xf numFmtId="0" fontId="74" fillId="0" borderId="206" xfId="0" applyFont="1" applyBorder="1" applyAlignment="1">
      <alignment horizontal="right" vertical="top"/>
    </xf>
    <xf numFmtId="0" fontId="74" fillId="0" borderId="138" xfId="0" applyFont="1" applyBorder="1" applyAlignment="1">
      <alignment horizontal="right" vertical="top"/>
    </xf>
    <xf numFmtId="0" fontId="74" fillId="0" borderId="114" xfId="0" applyFont="1" applyBorder="1" applyAlignment="1">
      <alignment horizontal="right" vertical="center"/>
    </xf>
    <xf numFmtId="0" fontId="74" fillId="0" borderId="116" xfId="0" applyFont="1" applyBorder="1" applyAlignment="1">
      <alignment horizontal="right" vertical="center"/>
    </xf>
    <xf numFmtId="0" fontId="16" fillId="0" borderId="47" xfId="0" applyFont="1" applyBorder="1" applyAlignment="1">
      <alignment horizontal="center" vertical="center" wrapText="1"/>
    </xf>
    <xf numFmtId="0" fontId="16" fillId="0" borderId="48" xfId="0" applyFont="1" applyBorder="1" applyAlignment="1">
      <alignment horizontal="center" vertical="center" wrapText="1"/>
    </xf>
    <xf numFmtId="0" fontId="16" fillId="0" borderId="219" xfId="0" applyFont="1" applyBorder="1" applyAlignment="1">
      <alignment horizontal="center" vertical="center" wrapText="1"/>
    </xf>
    <xf numFmtId="0" fontId="16" fillId="0" borderId="190" xfId="0" applyFont="1" applyBorder="1" applyAlignment="1">
      <alignment horizontal="center" vertical="center" wrapText="1"/>
    </xf>
    <xf numFmtId="0" fontId="16" fillId="0" borderId="206" xfId="0" applyFont="1" applyBorder="1" applyAlignment="1">
      <alignment horizontal="center" vertical="center" wrapText="1"/>
    </xf>
    <xf numFmtId="0" fontId="16" fillId="0" borderId="218" xfId="0" applyFont="1" applyBorder="1" applyAlignment="1">
      <alignment horizontal="center" vertical="center" wrapText="1"/>
    </xf>
    <xf numFmtId="0" fontId="16" fillId="0" borderId="220" xfId="0" applyFont="1" applyBorder="1" applyAlignment="1">
      <alignment horizontal="center" vertical="center" wrapText="1"/>
    </xf>
    <xf numFmtId="0" fontId="16" fillId="0" borderId="138" xfId="0" applyFont="1" applyBorder="1" applyAlignment="1">
      <alignment horizontal="center" vertical="center" wrapText="1"/>
    </xf>
    <xf numFmtId="0" fontId="16" fillId="0" borderId="204" xfId="0" applyFont="1" applyBorder="1" applyAlignment="1">
      <alignment horizontal="center" vertical="center" wrapText="1"/>
    </xf>
    <xf numFmtId="0" fontId="16" fillId="0" borderId="197" xfId="0" applyFont="1" applyBorder="1" applyAlignment="1">
      <alignment horizontal="center" vertical="center" wrapText="1"/>
    </xf>
    <xf numFmtId="0" fontId="38" fillId="0" borderId="59" xfId="0" applyFont="1" applyBorder="1" applyAlignment="1">
      <alignment horizontal="center"/>
    </xf>
    <xf numFmtId="0" fontId="38" fillId="0" borderId="52" xfId="0" applyFont="1" applyBorder="1" applyAlignment="1">
      <alignment horizontal="center"/>
    </xf>
    <xf numFmtId="0" fontId="63" fillId="4" borderId="185" xfId="0" applyFont="1" applyFill="1" applyBorder="1" applyAlignment="1">
      <alignment horizontal="center" vertical="center"/>
    </xf>
    <xf numFmtId="0" fontId="7" fillId="4" borderId="200" xfId="0" applyFont="1" applyFill="1" applyBorder="1" applyAlignment="1">
      <alignment horizontal="center" vertical="center" wrapText="1"/>
    </xf>
    <xf numFmtId="0" fontId="7" fillId="4" borderId="199" xfId="0" applyFont="1" applyFill="1" applyBorder="1" applyAlignment="1">
      <alignment horizontal="center" vertical="center" wrapText="1"/>
    </xf>
    <xf numFmtId="0" fontId="7" fillId="4" borderId="164" xfId="0" applyFont="1" applyFill="1" applyBorder="1" applyAlignment="1">
      <alignment horizontal="center" vertical="center" wrapText="1"/>
    </xf>
    <xf numFmtId="0" fontId="16" fillId="0" borderId="191" xfId="0" applyFont="1" applyBorder="1" applyAlignment="1">
      <alignment horizontal="center" vertical="center" wrapText="1"/>
    </xf>
    <xf numFmtId="0" fontId="16" fillId="0" borderId="198" xfId="0" applyFont="1" applyBorder="1" applyAlignment="1">
      <alignment horizontal="center" vertical="center" wrapText="1"/>
    </xf>
    <xf numFmtId="0" fontId="16" fillId="0" borderId="201" xfId="0" applyFont="1" applyBorder="1" applyAlignment="1">
      <alignment horizontal="center" vertical="center" wrapText="1"/>
    </xf>
    <xf numFmtId="0" fontId="54" fillId="4" borderId="58" xfId="0" applyFont="1" applyFill="1" applyBorder="1" applyAlignment="1">
      <alignment horizontal="right" vertical="center"/>
    </xf>
    <xf numFmtId="0" fontId="54" fillId="4" borderId="0" xfId="0" applyFont="1" applyFill="1" applyAlignment="1">
      <alignment horizontal="right" vertical="center"/>
    </xf>
    <xf numFmtId="49" fontId="90" fillId="4" borderId="0" xfId="0" applyNumberFormat="1" applyFont="1" applyFill="1" applyAlignment="1">
      <alignment horizontal="left" vertical="center"/>
    </xf>
    <xf numFmtId="49" fontId="90" fillId="4" borderId="60" xfId="0" applyNumberFormat="1" applyFont="1" applyFill="1" applyBorder="1" applyAlignment="1">
      <alignment horizontal="left" vertical="center"/>
    </xf>
    <xf numFmtId="0" fontId="54" fillId="4" borderId="58" xfId="0" applyFont="1" applyFill="1" applyBorder="1" applyAlignment="1">
      <alignment horizontal="center" vertical="center"/>
    </xf>
    <xf numFmtId="0" fontId="54" fillId="4" borderId="0" xfId="0" applyFont="1" applyFill="1" applyAlignment="1">
      <alignment horizontal="center" vertical="center"/>
    </xf>
    <xf numFmtId="0" fontId="54" fillId="4" borderId="60" xfId="0" applyFont="1" applyFill="1" applyBorder="1" applyAlignment="1">
      <alignment horizontal="center" vertical="center"/>
    </xf>
    <xf numFmtId="0" fontId="63" fillId="4" borderId="191" xfId="0" applyFont="1" applyFill="1" applyBorder="1" applyAlignment="1">
      <alignment horizontal="center" vertical="center"/>
    </xf>
    <xf numFmtId="0" fontId="63" fillId="4" borderId="198" xfId="0" applyFont="1" applyFill="1" applyBorder="1" applyAlignment="1">
      <alignment horizontal="center" vertical="center"/>
    </xf>
    <xf numFmtId="0" fontId="63" fillId="4" borderId="192" xfId="0" applyFont="1" applyFill="1" applyBorder="1" applyAlignment="1">
      <alignment horizontal="center" vertical="center"/>
    </xf>
    <xf numFmtId="0" fontId="16" fillId="0" borderId="135" xfId="0" applyFont="1" applyBorder="1" applyAlignment="1">
      <alignment horizontal="center" vertical="center" wrapText="1"/>
    </xf>
    <xf numFmtId="0" fontId="66" fillId="20" borderId="5" xfId="0" applyFont="1" applyFill="1" applyBorder="1" applyAlignment="1">
      <alignment horizontal="center" vertical="center" wrapText="1"/>
    </xf>
    <xf numFmtId="0" fontId="16" fillId="0" borderId="137" xfId="0" applyFont="1" applyBorder="1" applyAlignment="1">
      <alignment horizontal="center" vertical="center" wrapText="1"/>
    </xf>
  </cellXfs>
  <cellStyles count="6">
    <cellStyle name="Millares 2" xfId="3" xr:uid="{00000000-0005-0000-0000-000000000000}"/>
    <cellStyle name="Millares 2 2" xfId="4" xr:uid="{133812D9-32DC-4D74-B6BD-54280B0ACCAE}"/>
    <cellStyle name="Millares 3" xfId="5" xr:uid="{AA4F3159-66B5-400B-8B70-8C698A22F77A}"/>
    <cellStyle name="Normal" xfId="0" builtinId="0"/>
    <cellStyle name="Normal 2" xfId="1" xr:uid="{00000000-0005-0000-0000-000002000000}"/>
    <cellStyle name="Porcentual 2" xfId="2" xr:uid="{00000000-0005-0000-0000-000004000000}"/>
  </cellStyles>
  <dxfs count="18"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top style="thin">
          <color theme="1"/>
        </top>
      </border>
    </dxf>
    <dxf>
      <border diagonalUp="0" diagonalDown="0">
        <left style="thin">
          <color theme="1"/>
        </left>
        <right style="thin">
          <color theme="1"/>
        </right>
        <top/>
        <bottom/>
        <vertical style="thin">
          <color theme="1"/>
        </vertical>
        <horizontal style="thin">
          <color theme="1"/>
        </horizontal>
      </border>
    </dxf>
    <dxf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border>
        <bottom style="thin">
          <color theme="1"/>
        </bottom>
      </border>
    </dxf>
    <dxf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</dxfs>
  <tableStyles count="0" defaultTableStyle="TableStyleMedium9" defaultPivotStyle="PivotStyleLight16"/>
  <colors>
    <mruColors>
      <color rgb="FFF4EE00"/>
      <color rgb="FF008080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468349135437729E-2"/>
          <c:y val="3.6517022639653139E-2"/>
          <c:w val="0.91306356354814944"/>
          <c:h val="0.78015059467867753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3200" b="1" i="0" u="none" strike="noStrike" kern="1200" baseline="0">
                    <a:ln>
                      <a:noFill/>
                    </a:ln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data_panel!$B$4:$B$6</c:f>
              <c:strCache>
                <c:ptCount val="3"/>
                <c:pt idx="0">
                  <c:v>DAG</c:v>
                </c:pt>
                <c:pt idx="1">
                  <c:v>DIPLAP</c:v>
                </c:pt>
                <c:pt idx="2">
                  <c:v>Gab Subse</c:v>
                </c:pt>
              </c:strCache>
            </c:strRef>
          </c:cat>
          <c:val>
            <c:numRef>
              <c:f>data_panel!$C$4:$C$6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21-4A8E-ADAB-905BB57D8B88}"/>
            </c:ext>
          </c:extLst>
        </c:ser>
        <c:ser>
          <c:idx val="1"/>
          <c:order val="1"/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data_panel!$B$4:$B$6</c:f>
              <c:strCache>
                <c:ptCount val="3"/>
                <c:pt idx="0">
                  <c:v>DAG</c:v>
                </c:pt>
                <c:pt idx="1">
                  <c:v>DIPLAP</c:v>
                </c:pt>
                <c:pt idx="2">
                  <c:v>Gab Subse</c:v>
                </c:pt>
              </c:strCache>
            </c:strRef>
          </c:cat>
          <c:val>
            <c:numRef>
              <c:f>data_panel!$D$4:$D$6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21-4A8E-ADAB-905BB57D8B88}"/>
            </c:ext>
          </c:extLst>
        </c:ser>
        <c:ser>
          <c:idx val="2"/>
          <c:order val="2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data_panel!$B$4:$B$6</c:f>
              <c:strCache>
                <c:ptCount val="3"/>
                <c:pt idx="0">
                  <c:v>DAG</c:v>
                </c:pt>
                <c:pt idx="1">
                  <c:v>DIPLAP</c:v>
                </c:pt>
                <c:pt idx="2">
                  <c:v>Gab Subse</c:v>
                </c:pt>
              </c:strCache>
            </c:strRef>
          </c:cat>
          <c:val>
            <c:numRef>
              <c:f>data_panel!$E$4:$E$6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21-4A8E-ADAB-905BB57D8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249269760"/>
        <c:axId val="249277248"/>
      </c:barChart>
      <c:catAx>
        <c:axId val="24926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9277248"/>
        <c:crosses val="autoZero"/>
        <c:auto val="1"/>
        <c:lblAlgn val="ctr"/>
        <c:lblOffset val="100"/>
        <c:noMultiLvlLbl val="0"/>
      </c:catAx>
      <c:valAx>
        <c:axId val="2492772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4926976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n>
            <a:noFill/>
          </a:ln>
          <a:solidFill>
            <a:schemeClr val="tx1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697242247427557E-2"/>
          <c:y val="4.35432955180617E-2"/>
          <c:w val="0.92309393052529887"/>
          <c:h val="0.82541157245617158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data_panel!$B$13:$B$20</c:f>
              <c:strCache>
                <c:ptCount val="8"/>
                <c:pt idx="0">
                  <c:v>CPEIP</c:v>
                </c:pt>
                <c:pt idx="1">
                  <c:v>DAG</c:v>
                </c:pt>
                <c:pt idx="2">
                  <c:v>DEG</c:v>
                </c:pt>
                <c:pt idx="3">
                  <c:v>Jurídica</c:v>
                </c:pt>
                <c:pt idx="4">
                  <c:v>DIPLAP</c:v>
                </c:pt>
                <c:pt idx="5">
                  <c:v>Gab Ministro</c:v>
                </c:pt>
                <c:pt idx="6">
                  <c:v>Gab Subse</c:v>
                </c:pt>
                <c:pt idx="7">
                  <c:v>UCE</c:v>
                </c:pt>
              </c:strCache>
            </c:strRef>
          </c:cat>
          <c:val>
            <c:numRef>
              <c:f>data_panel!$C$13:$C$20</c:f>
              <c:numCache>
                <c:formatCode>General</c:formatCode>
                <c:ptCount val="8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7</c:v>
                </c:pt>
                <c:pt idx="4">
                  <c:v>6</c:v>
                </c:pt>
                <c:pt idx="5">
                  <c:v>3</c:v>
                </c:pt>
                <c:pt idx="6">
                  <c:v>3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0A-454E-A01B-D41AB729B9DB}"/>
            </c:ext>
          </c:extLst>
        </c:ser>
        <c:ser>
          <c:idx val="1"/>
          <c:order val="1"/>
          <c:spPr>
            <a:solidFill>
              <a:srgbClr val="F4EE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data_panel!$B$13:$B$20</c:f>
              <c:strCache>
                <c:ptCount val="8"/>
                <c:pt idx="0">
                  <c:v>CPEIP</c:v>
                </c:pt>
                <c:pt idx="1">
                  <c:v>DAG</c:v>
                </c:pt>
                <c:pt idx="2">
                  <c:v>DEG</c:v>
                </c:pt>
                <c:pt idx="3">
                  <c:v>Jurídica</c:v>
                </c:pt>
                <c:pt idx="4">
                  <c:v>DIPLAP</c:v>
                </c:pt>
                <c:pt idx="5">
                  <c:v>Gab Ministro</c:v>
                </c:pt>
                <c:pt idx="6">
                  <c:v>Gab Subse</c:v>
                </c:pt>
                <c:pt idx="7">
                  <c:v>UCE</c:v>
                </c:pt>
              </c:strCache>
            </c:strRef>
          </c:cat>
          <c:val>
            <c:numRef>
              <c:f>data_panel!$D$13:$D$20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0A-454E-A01B-D41AB729B9DB}"/>
            </c:ext>
          </c:extLst>
        </c:ser>
        <c:ser>
          <c:idx val="2"/>
          <c:order val="2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data_panel!$B$13:$B$20</c:f>
              <c:strCache>
                <c:ptCount val="8"/>
                <c:pt idx="0">
                  <c:v>CPEIP</c:v>
                </c:pt>
                <c:pt idx="1">
                  <c:v>DAG</c:v>
                </c:pt>
                <c:pt idx="2">
                  <c:v>DEG</c:v>
                </c:pt>
                <c:pt idx="3">
                  <c:v>Jurídica</c:v>
                </c:pt>
                <c:pt idx="4">
                  <c:v>DIPLAP</c:v>
                </c:pt>
                <c:pt idx="5">
                  <c:v>Gab Ministro</c:v>
                </c:pt>
                <c:pt idx="6">
                  <c:v>Gab Subse</c:v>
                </c:pt>
                <c:pt idx="7">
                  <c:v>UCE</c:v>
                </c:pt>
              </c:strCache>
            </c:strRef>
          </c:cat>
          <c:val>
            <c:numRef>
              <c:f>data_panel!$E$13:$E$20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0A-454E-A01B-D41AB729B9D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100"/>
        <c:axId val="1414806752"/>
        <c:axId val="1414797184"/>
      </c:barChart>
      <c:catAx>
        <c:axId val="141480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 Light" panose="020F0302020204030204" pitchFamily="34" charset="0"/>
                <a:ea typeface="+mn-ea"/>
                <a:cs typeface="Calibri Light" panose="020F0302020204030204" pitchFamily="34" charset="0"/>
              </a:defRPr>
            </a:pPr>
            <a:endParaRPr lang="es-CL"/>
          </a:p>
        </c:txPr>
        <c:crossAx val="1414797184"/>
        <c:crosses val="autoZero"/>
        <c:auto val="1"/>
        <c:lblAlgn val="ctr"/>
        <c:lblOffset val="100"/>
        <c:noMultiLvlLbl val="0"/>
      </c:catAx>
      <c:valAx>
        <c:axId val="1414797184"/>
        <c:scaling>
          <c:orientation val="minMax"/>
          <c:max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1480675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709163395433994E-2"/>
          <c:y val="8.1435337294087626E-2"/>
          <c:w val="0.91295668860039247"/>
          <c:h val="0.50058903342837968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data_panel!$B$25:$B$40</c:f>
              <c:strCache>
                <c:ptCount val="16"/>
                <c:pt idx="0">
                  <c:v>Antofagasta</c:v>
                </c:pt>
                <c:pt idx="1">
                  <c:v>Arica y Parinacota</c:v>
                </c:pt>
                <c:pt idx="2">
                  <c:v>Atacama</c:v>
                </c:pt>
                <c:pt idx="3">
                  <c:v>Aysén</c:v>
                </c:pt>
                <c:pt idx="4">
                  <c:v>Biobío</c:v>
                </c:pt>
                <c:pt idx="5">
                  <c:v>Coquimbo</c:v>
                </c:pt>
                <c:pt idx="6">
                  <c:v>La Araucanía</c:v>
                </c:pt>
                <c:pt idx="7">
                  <c:v>Los Lagos</c:v>
                </c:pt>
                <c:pt idx="8">
                  <c:v>Los Ríos</c:v>
                </c:pt>
                <c:pt idx="9">
                  <c:v>Magallanes</c:v>
                </c:pt>
                <c:pt idx="10">
                  <c:v>Maule</c:v>
                </c:pt>
                <c:pt idx="11">
                  <c:v>Metropolitana</c:v>
                </c:pt>
                <c:pt idx="12">
                  <c:v>O'Higgins</c:v>
                </c:pt>
                <c:pt idx="13">
                  <c:v>Tarapacá</c:v>
                </c:pt>
                <c:pt idx="14">
                  <c:v>Valparaíso</c:v>
                </c:pt>
                <c:pt idx="15">
                  <c:v>Ñuble</c:v>
                </c:pt>
              </c:strCache>
            </c:strRef>
          </c:cat>
          <c:val>
            <c:numRef>
              <c:f>data_panel!$C$25:$C$40</c:f>
              <c:numCache>
                <c:formatCode>General</c:formatCode>
                <c:ptCount val="1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F-447D-B67C-8F8ECC1C294E}"/>
            </c:ext>
          </c:extLst>
        </c:ser>
        <c:ser>
          <c:idx val="1"/>
          <c:order val="1"/>
          <c:spPr>
            <a:solidFill>
              <a:srgbClr val="F4EE00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cat>
            <c:strRef>
              <c:f>data_panel!$B$25:$B$40</c:f>
              <c:strCache>
                <c:ptCount val="16"/>
                <c:pt idx="0">
                  <c:v>Antofagasta</c:v>
                </c:pt>
                <c:pt idx="1">
                  <c:v>Arica y Parinacota</c:v>
                </c:pt>
                <c:pt idx="2">
                  <c:v>Atacama</c:v>
                </c:pt>
                <c:pt idx="3">
                  <c:v>Aysén</c:v>
                </c:pt>
                <c:pt idx="4">
                  <c:v>Biobío</c:v>
                </c:pt>
                <c:pt idx="5">
                  <c:v>Coquimbo</c:v>
                </c:pt>
                <c:pt idx="6">
                  <c:v>La Araucanía</c:v>
                </c:pt>
                <c:pt idx="7">
                  <c:v>Los Lagos</c:v>
                </c:pt>
                <c:pt idx="8">
                  <c:v>Los Ríos</c:v>
                </c:pt>
                <c:pt idx="9">
                  <c:v>Magallanes</c:v>
                </c:pt>
                <c:pt idx="10">
                  <c:v>Maule</c:v>
                </c:pt>
                <c:pt idx="11">
                  <c:v>Metropolitana</c:v>
                </c:pt>
                <c:pt idx="12">
                  <c:v>O'Higgins</c:v>
                </c:pt>
                <c:pt idx="13">
                  <c:v>Tarapacá</c:v>
                </c:pt>
                <c:pt idx="14">
                  <c:v>Valparaíso</c:v>
                </c:pt>
                <c:pt idx="15">
                  <c:v>Ñuble</c:v>
                </c:pt>
              </c:strCache>
            </c:strRef>
          </c:cat>
          <c:val>
            <c:numRef>
              <c:f>data_panel!$D$25:$D$40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BF-447D-B67C-8F8ECC1C294E}"/>
            </c:ext>
          </c:extLst>
        </c:ser>
        <c:ser>
          <c:idx val="2"/>
          <c:order val="2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data_panel!$B$25:$B$40</c:f>
              <c:strCache>
                <c:ptCount val="16"/>
                <c:pt idx="0">
                  <c:v>Antofagasta</c:v>
                </c:pt>
                <c:pt idx="1">
                  <c:v>Arica y Parinacota</c:v>
                </c:pt>
                <c:pt idx="2">
                  <c:v>Atacama</c:v>
                </c:pt>
                <c:pt idx="3">
                  <c:v>Aysén</c:v>
                </c:pt>
                <c:pt idx="4">
                  <c:v>Biobío</c:v>
                </c:pt>
                <c:pt idx="5">
                  <c:v>Coquimbo</c:v>
                </c:pt>
                <c:pt idx="6">
                  <c:v>La Araucanía</c:v>
                </c:pt>
                <c:pt idx="7">
                  <c:v>Los Lagos</c:v>
                </c:pt>
                <c:pt idx="8">
                  <c:v>Los Ríos</c:v>
                </c:pt>
                <c:pt idx="9">
                  <c:v>Magallanes</c:v>
                </c:pt>
                <c:pt idx="10">
                  <c:v>Maule</c:v>
                </c:pt>
                <c:pt idx="11">
                  <c:v>Metropolitana</c:v>
                </c:pt>
                <c:pt idx="12">
                  <c:v>O'Higgins</c:v>
                </c:pt>
                <c:pt idx="13">
                  <c:v>Tarapacá</c:v>
                </c:pt>
                <c:pt idx="14">
                  <c:v>Valparaíso</c:v>
                </c:pt>
                <c:pt idx="15">
                  <c:v>Ñuble</c:v>
                </c:pt>
              </c:strCache>
            </c:strRef>
          </c:cat>
          <c:val>
            <c:numRef>
              <c:f>data_panel!$E$25:$E$40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BF-447D-B67C-8F8ECC1C2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2039469696"/>
        <c:axId val="2039466784"/>
      </c:barChart>
      <c:catAx>
        <c:axId val="203946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 Light" panose="020F0302020204030204" pitchFamily="34" charset="0"/>
                <a:ea typeface="+mn-ea"/>
                <a:cs typeface="Calibri Light" panose="020F0302020204030204" pitchFamily="34" charset="0"/>
              </a:defRPr>
            </a:pPr>
            <a:endParaRPr lang="es-CL"/>
          </a:p>
        </c:txPr>
        <c:crossAx val="2039466784"/>
        <c:crosses val="autoZero"/>
        <c:auto val="1"/>
        <c:lblAlgn val="ctr"/>
        <c:lblOffset val="100"/>
        <c:noMultiLvlLbl val="0"/>
      </c:catAx>
      <c:valAx>
        <c:axId val="2039466784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3946969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5934856307378159E-2"/>
          <c:y val="3.4142142488755474E-2"/>
          <c:w val="0.95857805199716217"/>
          <c:h val="0.83839320742381174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data_panel!$C$7</c:f>
              <c:strCache>
                <c:ptCount val="1"/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data_panel!$B$8:$B$11</c:f>
              <c:strCache>
                <c:ptCount val="3"/>
                <c:pt idx="0">
                  <c:v>CPEIP</c:v>
                </c:pt>
                <c:pt idx="1">
                  <c:v>DEG</c:v>
                </c:pt>
                <c:pt idx="2">
                  <c:v>UCE</c:v>
                </c:pt>
              </c:strCache>
            </c:strRef>
          </c:cat>
          <c:val>
            <c:numRef>
              <c:f>data_panel!$C$8:$C$11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04-4D31-BB1A-9F118D16F6D0}"/>
            </c:ext>
          </c:extLst>
        </c:ser>
        <c:ser>
          <c:idx val="1"/>
          <c:order val="1"/>
          <c:tx>
            <c:strRef>
              <c:f>data_panel!$D$7</c:f>
              <c:strCache>
                <c:ptCount val="1"/>
              </c:strCache>
            </c:strRef>
          </c:tx>
          <c:spPr>
            <a:solidFill>
              <a:srgbClr val="F4EE00"/>
            </a:solidFill>
            <a:ln>
              <a:noFill/>
              <a:prstDash val="solid"/>
            </a:ln>
            <a:effectLst/>
          </c:spPr>
          <c:invertIfNegative val="0"/>
          <c:dLbls>
            <c:delete val="1"/>
          </c:dLbls>
          <c:cat>
            <c:strRef>
              <c:f>data_panel!$B$8:$B$11</c:f>
              <c:strCache>
                <c:ptCount val="3"/>
                <c:pt idx="0">
                  <c:v>CPEIP</c:v>
                </c:pt>
                <c:pt idx="1">
                  <c:v>DEG</c:v>
                </c:pt>
                <c:pt idx="2">
                  <c:v>UCE</c:v>
                </c:pt>
              </c:strCache>
            </c:strRef>
          </c:cat>
          <c:val>
            <c:numRef>
              <c:f>data_panel!$D$8:$D$11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04-4D31-BB1A-9F118D16F6D0}"/>
            </c:ext>
          </c:extLst>
        </c:ser>
        <c:ser>
          <c:idx val="2"/>
          <c:order val="2"/>
          <c:tx>
            <c:strRef>
              <c:f>data_panel!$E$7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284-4D22-BD3E-3936ED402D58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3FF-426D-88AC-58D3D2E4116F}"/>
              </c:ext>
            </c:extLst>
          </c:dPt>
          <c:dLbls>
            <c:delete val="1"/>
          </c:dLbls>
          <c:cat>
            <c:strRef>
              <c:f>data_panel!$B$8:$B$11</c:f>
              <c:strCache>
                <c:ptCount val="3"/>
                <c:pt idx="0">
                  <c:v>CPEIP</c:v>
                </c:pt>
                <c:pt idx="1">
                  <c:v>DEG</c:v>
                </c:pt>
                <c:pt idx="2">
                  <c:v>UCE</c:v>
                </c:pt>
              </c:strCache>
            </c:strRef>
          </c:cat>
          <c:val>
            <c:numRef>
              <c:f>data_panel!$E$8:$E$11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04-4D31-BB1A-9F118D16F6D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100"/>
        <c:axId val="1960716143"/>
        <c:axId val="317602463"/>
      </c:barChart>
      <c:catAx>
        <c:axId val="19607161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17602463"/>
        <c:crosses val="autoZero"/>
        <c:auto val="1"/>
        <c:lblAlgn val="ctr"/>
        <c:lblOffset val="100"/>
        <c:noMultiLvlLbl val="0"/>
      </c:catAx>
      <c:valAx>
        <c:axId val="31760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6071614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800"/>
      </a:pPr>
      <a:endParaRPr lang="es-CL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609300519049465E-2"/>
          <c:y val="6.8870691163604544E-2"/>
          <c:w val="0.88619783513607897"/>
          <c:h val="0.87575870516185494"/>
        </c:manualLayout>
      </c:layout>
      <c:bubbleChart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6">
                  <a:tint val="36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4FB-41E2-BECA-3D85BCAB0AC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tint val="41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4FB-41E2-BECA-3D85BCAB0AC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tint val="47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4FB-41E2-BECA-3D85BCAB0AC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tint val="52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4FB-41E2-BECA-3D85BCAB0AC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tint val="57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4FB-41E2-BECA-3D85BCAB0AC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tint val="63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4FB-41E2-BECA-3D85BCAB0AC5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tint val="68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44FB-41E2-BECA-3D85BCAB0AC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>
                  <a:tint val="74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44FB-41E2-BECA-3D85BCAB0AC5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tint val="79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44FB-41E2-BECA-3D85BCAB0AC5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>
                  <a:tint val="84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44FB-41E2-BECA-3D85BCAB0AC5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>
                  <a:tint val="90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44FB-41E2-BECA-3D85BCAB0AC5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tint val="95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44FB-41E2-BECA-3D85BCAB0AC5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6"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44FB-41E2-BECA-3D85BCAB0AC5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6">
                  <a:shade val="94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44FB-41E2-BECA-3D85BCAB0AC5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6">
                  <a:shade val="89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44FB-41E2-BECA-3D85BCAB0AC5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6">
                  <a:shade val="83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44FB-41E2-BECA-3D85BCAB0AC5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6">
                  <a:shade val="78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44FB-41E2-BECA-3D85BCAB0AC5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6">
                  <a:shade val="73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44FB-41E2-BECA-3D85BCAB0AC5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6">
                  <a:shade val="67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44FB-41E2-BECA-3D85BCAB0AC5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6">
                  <a:shade val="62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44FB-41E2-BECA-3D85BCAB0AC5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6">
                  <a:shade val="56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44FB-41E2-BECA-3D85BCAB0AC5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6">
                  <a:shade val="51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44FB-41E2-BECA-3D85BCAB0AC5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6">
                  <a:shade val="46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44FB-41E2-BECA-3D85BCAB0AC5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6">
                  <a:shade val="40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44FB-41E2-BECA-3D85BCAB0AC5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6">
                  <a:shade val="35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44FB-41E2-BECA-3D85BCAB0A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data_riesgos!$D$15:$D$39</c:f>
              <c:numCache>
                <c:formatCode>General</c:formatCode>
                <c:ptCount val="2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</c:numCache>
            </c:numRef>
          </c:xVal>
          <c:yVal>
            <c:numRef>
              <c:f>data_riesgos!$C$15:$C$39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  <c:pt idx="19">
                  <c:v>5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yVal>
          <c:bubbleSize>
            <c:numRef>
              <c:f>data_riesgos!$E$15:$E$39</c:f>
              <c:numCache>
                <c:formatCode>General</c:formatCode>
                <c:ptCount val="25"/>
                <c:pt idx="0">
                  <c:v>29</c:v>
                </c:pt>
                <c:pt idx="1">
                  <c:v>11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22</c:v>
                </c:pt>
                <c:pt idx="6">
                  <c:v>55</c:v>
                </c:pt>
                <c:pt idx="7">
                  <c:v>33</c:v>
                </c:pt>
                <c:pt idx="8">
                  <c:v>14</c:v>
                </c:pt>
                <c:pt idx="9">
                  <c:v>0</c:v>
                </c:pt>
                <c:pt idx="10">
                  <c:v>25</c:v>
                </c:pt>
                <c:pt idx="11">
                  <c:v>72</c:v>
                </c:pt>
                <c:pt idx="12">
                  <c:v>96</c:v>
                </c:pt>
                <c:pt idx="13">
                  <c:v>21</c:v>
                </c:pt>
                <c:pt idx="14">
                  <c:v>2</c:v>
                </c:pt>
                <c:pt idx="15">
                  <c:v>22</c:v>
                </c:pt>
                <c:pt idx="16">
                  <c:v>31</c:v>
                </c:pt>
                <c:pt idx="17">
                  <c:v>45</c:v>
                </c:pt>
                <c:pt idx="18">
                  <c:v>18</c:v>
                </c:pt>
                <c:pt idx="19">
                  <c:v>0</c:v>
                </c:pt>
                <c:pt idx="20">
                  <c:v>14</c:v>
                </c:pt>
                <c:pt idx="21">
                  <c:v>10</c:v>
                </c:pt>
                <c:pt idx="22">
                  <c:v>2</c:v>
                </c:pt>
                <c:pt idx="23">
                  <c:v>0</c:v>
                </c:pt>
                <c:pt idx="24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32-44FB-41E2-BECA-3D85BCAB0AC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1627749823"/>
        <c:axId val="1627750783"/>
      </c:bubbleChart>
      <c:valAx>
        <c:axId val="1627749823"/>
        <c:scaling>
          <c:orientation val="minMax"/>
          <c:max val="5.0999999999999996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Impacto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7750783"/>
        <c:crosses val="autoZero"/>
        <c:crossBetween val="midCat"/>
      </c:valAx>
      <c:valAx>
        <c:axId val="1627750783"/>
        <c:scaling>
          <c:orientation val="minMax"/>
          <c:max val="5.2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Probabilidad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7749823"/>
        <c:crosses val="autoZero"/>
        <c:crossBetween val="midCat"/>
        <c:majorUnit val="1"/>
        <c:minorUnit val="1"/>
      </c:valAx>
      <c:spPr>
        <a:gradFill flip="none" rotWithShape="1">
          <a:gsLst>
            <a:gs pos="36000">
              <a:srgbClr val="92D050"/>
            </a:gs>
            <a:gs pos="41000">
              <a:srgbClr val="FFFF00"/>
            </a:gs>
            <a:gs pos="81000">
              <a:srgbClr val="FF0000"/>
            </a:gs>
            <a:gs pos="70000">
              <a:srgbClr val="FFC000"/>
            </a:gs>
          </a:gsLst>
          <a:path path="circle">
            <a:fillToRect t="100000" r="100000"/>
          </a:path>
          <a:tileRect l="-100000" b="-10000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472865583635636"/>
          <c:y val="0.12220397089119202"/>
          <c:w val="0.86826055833929849"/>
          <c:h val="0.80020322896761109"/>
        </c:manualLayout>
      </c:layout>
      <c:bubbleChart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6">
                  <a:tint val="36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5DF-4D7E-B3A4-478999DBFA0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tint val="41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5DF-4D7E-B3A4-478999DBFA0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tint val="47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5DF-4D7E-B3A4-478999DBFA0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tint val="52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5DF-4D7E-B3A4-478999DBFA0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tint val="57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5DF-4D7E-B3A4-478999DBFA0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tint val="63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5DF-4D7E-B3A4-478999DBFA0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tint val="68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15DF-4D7E-B3A4-478999DBFA0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>
                  <a:tint val="74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15DF-4D7E-B3A4-478999DBFA0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tint val="79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15DF-4D7E-B3A4-478999DBFA0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>
                  <a:tint val="84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15DF-4D7E-B3A4-478999DBFA0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>
                  <a:tint val="90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15DF-4D7E-B3A4-478999DBFA0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tint val="95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15DF-4D7E-B3A4-478999DBFA02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6"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15DF-4D7E-B3A4-478999DBFA02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6">
                  <a:shade val="94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15DF-4D7E-B3A4-478999DBFA02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6">
                  <a:shade val="89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15DF-4D7E-B3A4-478999DBFA02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6">
                  <a:shade val="83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15DF-4D7E-B3A4-478999DBFA02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6">
                  <a:shade val="78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15DF-4D7E-B3A4-478999DBFA02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6">
                  <a:shade val="73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15DF-4D7E-B3A4-478999DBFA02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6">
                  <a:shade val="67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15DF-4D7E-B3A4-478999DBFA02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6">
                  <a:shade val="62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15DF-4D7E-B3A4-478999DBFA02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6">
                  <a:shade val="56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15DF-4D7E-B3A4-478999DBFA02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6">
                  <a:shade val="51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15DF-4D7E-B3A4-478999DBFA02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6">
                  <a:shade val="46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15DF-4D7E-B3A4-478999DBFA02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6">
                  <a:shade val="40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15DF-4D7E-B3A4-478999DBFA02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6">
                  <a:shade val="35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15DF-4D7E-B3A4-478999DBFA0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data_riesgos!$D$15:$D$39</c:f>
              <c:numCache>
                <c:formatCode>General</c:formatCode>
                <c:ptCount val="2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</c:numCache>
            </c:numRef>
          </c:xVal>
          <c:yVal>
            <c:numRef>
              <c:f>data_riesgos!$C$15:$C$39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  <c:pt idx="19">
                  <c:v>5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yVal>
          <c:bubbleSize>
            <c:numRef>
              <c:f>data_riesgos!$E$15:$E$39</c:f>
              <c:numCache>
                <c:formatCode>General</c:formatCode>
                <c:ptCount val="25"/>
                <c:pt idx="0">
                  <c:v>29</c:v>
                </c:pt>
                <c:pt idx="1">
                  <c:v>11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22</c:v>
                </c:pt>
                <c:pt idx="6">
                  <c:v>55</c:v>
                </c:pt>
                <c:pt idx="7">
                  <c:v>33</c:v>
                </c:pt>
                <c:pt idx="8">
                  <c:v>14</c:v>
                </c:pt>
                <c:pt idx="9">
                  <c:v>0</c:v>
                </c:pt>
                <c:pt idx="10">
                  <c:v>25</c:v>
                </c:pt>
                <c:pt idx="11">
                  <c:v>72</c:v>
                </c:pt>
                <c:pt idx="12">
                  <c:v>96</c:v>
                </c:pt>
                <c:pt idx="13">
                  <c:v>21</c:v>
                </c:pt>
                <c:pt idx="14">
                  <c:v>2</c:v>
                </c:pt>
                <c:pt idx="15">
                  <c:v>22</c:v>
                </c:pt>
                <c:pt idx="16">
                  <c:v>31</c:v>
                </c:pt>
                <c:pt idx="17">
                  <c:v>45</c:v>
                </c:pt>
                <c:pt idx="18">
                  <c:v>18</c:v>
                </c:pt>
                <c:pt idx="19">
                  <c:v>0</c:v>
                </c:pt>
                <c:pt idx="20">
                  <c:v>14</c:v>
                </c:pt>
                <c:pt idx="21">
                  <c:v>10</c:v>
                </c:pt>
                <c:pt idx="22">
                  <c:v>2</c:v>
                </c:pt>
                <c:pt idx="23">
                  <c:v>0</c:v>
                </c:pt>
                <c:pt idx="24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38-3E20-4FA0-B6FB-21FE697C8C8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1627749823"/>
        <c:axId val="1627750783"/>
      </c:bubbleChart>
      <c:valAx>
        <c:axId val="1627749823"/>
        <c:scaling>
          <c:orientation val="minMax"/>
          <c:max val="5.0999999999999996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Impacto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7750783"/>
        <c:crosses val="autoZero"/>
        <c:crossBetween val="midCat"/>
      </c:valAx>
      <c:valAx>
        <c:axId val="1627750783"/>
        <c:scaling>
          <c:orientation val="minMax"/>
          <c:max val="5.2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Probabilidad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7749823"/>
        <c:crosses val="autoZero"/>
        <c:crossBetween val="midCat"/>
        <c:majorUnit val="1"/>
        <c:minorUnit val="1"/>
      </c:valAx>
      <c:spPr>
        <a:gradFill flip="none" rotWithShape="1">
          <a:gsLst>
            <a:gs pos="36000">
              <a:srgbClr val="92D050"/>
            </a:gs>
            <a:gs pos="41000">
              <a:srgbClr val="FFFF00"/>
            </a:gs>
            <a:gs pos="81000">
              <a:srgbClr val="FF0000"/>
            </a:gs>
            <a:gs pos="70000">
              <a:srgbClr val="FFC000"/>
            </a:gs>
          </a:gsLst>
          <a:path path="circle">
            <a:fillToRect t="100000" r="100000"/>
          </a:path>
          <a:tileRect l="-100000" b="-10000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493321955538824E-2"/>
          <c:y val="0"/>
          <c:w val="0.9865853932585964"/>
          <c:h val="0.99589499676216309"/>
        </c:manualLayout>
      </c:layout>
      <c:bubbleChart>
        <c:varyColors val="1"/>
        <c:ser>
          <c:idx val="0"/>
          <c:order val="0"/>
          <c:spPr>
            <a:solidFill>
              <a:schemeClr val="bg1">
                <a:lumMod val="85000"/>
                <a:alpha val="48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6A0-46CC-AE6B-AE6864BA229C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6A0-46CC-AE6B-AE6864BA229C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6A0-46CC-AE6B-AE6864BA229C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6A0-46CC-AE6B-AE6864BA229C}"/>
              </c:ext>
            </c:extLst>
          </c:dPt>
          <c:dPt>
            <c:idx val="4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6A0-46CC-AE6B-AE6864BA229C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6A0-46CC-AE6B-AE6864BA229C}"/>
              </c:ext>
            </c:extLst>
          </c:dPt>
          <c:dPt>
            <c:idx val="6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6A0-46CC-AE6B-AE6864BA229C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86A0-46CC-AE6B-AE6864BA229C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86A0-46CC-AE6B-AE6864BA229C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86A0-46CC-AE6B-AE6864BA229C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86A0-46CC-AE6B-AE6864BA229C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86A0-46CC-AE6B-AE6864BA229C}"/>
              </c:ext>
            </c:extLst>
          </c:dPt>
          <c:dPt>
            <c:idx val="12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86A0-46CC-AE6B-AE6864BA229C}"/>
              </c:ext>
            </c:extLst>
          </c:dPt>
          <c:dPt>
            <c:idx val="13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86A0-46CC-AE6B-AE6864BA229C}"/>
              </c:ext>
            </c:extLst>
          </c:dPt>
          <c:dPt>
            <c:idx val="14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86A0-46CC-AE6B-AE6864BA229C}"/>
              </c:ext>
            </c:extLst>
          </c:dPt>
          <c:dPt>
            <c:idx val="15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86A0-46CC-AE6B-AE6864BA229C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86A0-46CC-AE6B-AE6864BA229C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86A0-46CC-AE6B-AE6864BA229C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86A0-46CC-AE6B-AE6864BA229C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86A0-46CC-AE6B-AE6864BA229C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86A0-46CC-AE6B-AE6864BA229C}"/>
              </c:ext>
            </c:extLst>
          </c:dPt>
          <c:dPt>
            <c:idx val="21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86A0-46CC-AE6B-AE6864BA229C}"/>
              </c:ext>
            </c:extLst>
          </c:dPt>
          <c:dPt>
            <c:idx val="22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86A0-46CC-AE6B-AE6864BA229C}"/>
              </c:ext>
            </c:extLst>
          </c:dPt>
          <c:dPt>
            <c:idx val="23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86A0-46CC-AE6B-AE6864BA229C}"/>
              </c:ext>
            </c:extLst>
          </c:dPt>
          <c:dPt>
            <c:idx val="24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86A0-46CC-AE6B-AE6864BA229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DLaM Display" panose="020F0502020204030204" pitchFamily="2" charset="0"/>
                    <a:cs typeface="Arial" panose="020B0604020202020204" pitchFamily="34" charset="0"/>
                  </a:defRPr>
                </a:pPr>
                <a:endParaRPr lang="es-CL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2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2</c:v>
              </c:pt>
              <c:pt idx="6">
                <c:v>2</c:v>
              </c:pt>
              <c:pt idx="7">
                <c:v>2</c:v>
              </c:pt>
              <c:pt idx="8">
                <c:v>2</c:v>
              </c:pt>
              <c:pt idx="9">
                <c:v>2</c:v>
              </c:pt>
              <c:pt idx="10">
                <c:v>3</c:v>
              </c:pt>
              <c:pt idx="11">
                <c:v>3</c:v>
              </c:pt>
              <c:pt idx="12">
                <c:v>3</c:v>
              </c:pt>
              <c:pt idx="13">
                <c:v>3</c:v>
              </c:pt>
              <c:pt idx="14">
                <c:v>3</c:v>
              </c:pt>
              <c:pt idx="15">
                <c:v>4</c:v>
              </c:pt>
              <c:pt idx="16">
                <c:v>4</c:v>
              </c:pt>
              <c:pt idx="17">
                <c:v>4</c:v>
              </c:pt>
              <c:pt idx="18">
                <c:v>4</c:v>
              </c:pt>
              <c:pt idx="19">
                <c:v>4</c:v>
              </c:pt>
              <c:pt idx="20">
                <c:v>5</c:v>
              </c:pt>
              <c:pt idx="21">
                <c:v>5</c:v>
              </c:pt>
              <c:pt idx="22">
                <c:v>5</c:v>
              </c:pt>
              <c:pt idx="23">
                <c:v>5</c:v>
              </c:pt>
              <c:pt idx="24">
                <c:v>5</c:v>
              </c:pt>
            </c:numLit>
          </c:xVal>
          <c:yVal>
            <c:numLit>
              <c:formatCode>General</c:formatCode>
              <c:ptCount val="2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1</c:v>
              </c:pt>
              <c:pt idx="6">
                <c:v>2</c:v>
              </c:pt>
              <c:pt idx="7">
                <c:v>3</c:v>
              </c:pt>
              <c:pt idx="8">
                <c:v>4</c:v>
              </c:pt>
              <c:pt idx="9">
                <c:v>5</c:v>
              </c:pt>
              <c:pt idx="10">
                <c:v>1</c:v>
              </c:pt>
              <c:pt idx="11">
                <c:v>2</c:v>
              </c:pt>
              <c:pt idx="12">
                <c:v>3</c:v>
              </c:pt>
              <c:pt idx="13">
                <c:v>4</c:v>
              </c:pt>
              <c:pt idx="14">
                <c:v>5</c:v>
              </c:pt>
              <c:pt idx="15">
                <c:v>1</c:v>
              </c:pt>
              <c:pt idx="16">
                <c:v>2</c:v>
              </c:pt>
              <c:pt idx="17">
                <c:v>3</c:v>
              </c:pt>
              <c:pt idx="18">
                <c:v>4</c:v>
              </c:pt>
              <c:pt idx="19">
                <c:v>5</c:v>
              </c:pt>
              <c:pt idx="20">
                <c:v>1</c:v>
              </c:pt>
              <c:pt idx="21">
                <c:v>2</c:v>
              </c:pt>
              <c:pt idx="22">
                <c:v>3</c:v>
              </c:pt>
              <c:pt idx="23">
                <c:v>4</c:v>
              </c:pt>
              <c:pt idx="24">
                <c:v>5</c:v>
              </c:pt>
            </c:numLit>
          </c:yVal>
          <c:bubbleSize>
            <c:numLit>
              <c:formatCode>General</c:formatCode>
              <c:ptCount val="25"/>
              <c:pt idx="0">
                <c:v>35</c:v>
              </c:pt>
              <c:pt idx="1">
                <c:v>12</c:v>
              </c:pt>
              <c:pt idx="2">
                <c:v>3</c:v>
              </c:pt>
              <c:pt idx="3">
                <c:v>2</c:v>
              </c:pt>
              <c:pt idx="5">
                <c:v>19</c:v>
              </c:pt>
              <c:pt idx="6">
                <c:v>58</c:v>
              </c:pt>
              <c:pt idx="7">
                <c:v>32</c:v>
              </c:pt>
              <c:pt idx="10">
                <c:v>25</c:v>
              </c:pt>
              <c:pt idx="11">
                <c:v>70</c:v>
              </c:pt>
              <c:pt idx="12">
                <c:v>86</c:v>
              </c:pt>
              <c:pt idx="13">
                <c:v>22</c:v>
              </c:pt>
              <c:pt idx="14">
                <c:v>2</c:v>
              </c:pt>
              <c:pt idx="15">
                <c:v>21</c:v>
              </c:pt>
              <c:pt idx="16">
                <c:v>31</c:v>
              </c:pt>
              <c:pt idx="17">
                <c:v>48</c:v>
              </c:pt>
              <c:pt idx="18">
                <c:v>19</c:v>
              </c:pt>
              <c:pt idx="20">
                <c:v>16</c:v>
              </c:pt>
              <c:pt idx="21">
                <c:v>11</c:v>
              </c:pt>
              <c:pt idx="22">
                <c:v>2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32-86A0-46CC-AE6B-AE6864BA2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627749823"/>
        <c:axId val="1627750783"/>
      </c:bubbleChart>
      <c:valAx>
        <c:axId val="16277498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7750783"/>
        <c:crosses val="autoZero"/>
        <c:crossBetween val="midCat"/>
      </c:valAx>
      <c:valAx>
        <c:axId val="162775078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27749823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5.5485724260529812E-4"/>
          <c:w val="1"/>
          <c:h val="0.99944525218387836"/>
        </c:manualLayout>
      </c:layout>
      <c:lineChart>
        <c:grouping val="standard"/>
        <c:varyColors val="0"/>
        <c:ser>
          <c:idx val="1"/>
          <c:order val="1"/>
          <c:tx>
            <c:strRef>
              <c:f>datos_graficos!$D$2</c:f>
              <c:strCache>
                <c:ptCount val="1"/>
                <c:pt idx="0">
                  <c:v>EJE</c:v>
                </c:pt>
              </c:strCache>
            </c:strRef>
          </c:tx>
          <c:spPr>
            <a:ln w="2857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75000"/>
                  <a:lumOff val="25000"/>
                </a:schemeClr>
              </a:solidFill>
              <a:ln w="9525">
                <a:solidFill>
                  <a:schemeClr val="accent4">
                    <a:tint val="77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tx2">
                    <a:lumMod val="75000"/>
                    <a:lumOff val="25000"/>
                  </a:schemeClr>
                </a:solidFill>
                <a:ln w="9525">
                  <a:solidFill>
                    <a:schemeClr val="accent4">
                      <a:tint val="77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tint val="77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800B-48A3-B694-03BD4409CB6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CD6B819-5F97-49BD-93F7-0DE070135543}" type="CELLRANGE">
                      <a:rPr lang="es-CL"/>
                      <a:pPr/>
                      <a:t>[CELLRANGE]</a:t>
                    </a:fld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00B-48A3-B694-03BD4409CB6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67B819C-BA42-4C65-B436-1873ABA3056E}" type="CELLRANGE">
                      <a:rPr lang="es-CL"/>
                      <a:pPr/>
                      <a:t>[CELLRANGE]</a:t>
                    </a:fld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00B-48A3-B694-03BD4409CB6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7FA550B-1095-4CF5-BB53-FA1999361121}" type="CELLRANGE">
                      <a:rPr lang="es-CL"/>
                      <a:pPr/>
                      <a:t>[CELLRANGE]</a:t>
                    </a:fld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800B-48A3-B694-03BD4409CB6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C71E436-4AC0-47B4-885D-20936710E05B}" type="CELLRANGE">
                      <a:rPr lang="es-CL"/>
                      <a:pPr/>
                      <a:t>[CELLRANGE]</a:t>
                    </a:fld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00B-48A3-B694-03BD4409CB6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A67CA99-4164-435C-A0F8-4E5BBCB27955}" type="CELLRANGE">
                      <a:rPr lang="es-CL"/>
                      <a:pPr/>
                      <a:t>[CELLRANGE]</a:t>
                    </a:fld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800B-48A3-B694-03BD4409CB6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F237791-D919-47FC-B01A-FCE535D5BD1C}" type="CELLRANGE">
                      <a:rPr lang="es-CL"/>
                      <a:pPr/>
                      <a:t>[CELLRANGE]</a:t>
                    </a:fld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800B-48A3-B694-03BD4409CB6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CF7F87B-2512-4981-92A1-CAD322C31ACE}" type="CELLRANGE">
                      <a:rPr lang="es-CL"/>
                      <a:pPr/>
                      <a:t>[CELLRANGE]</a:t>
                    </a:fld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800B-48A3-B694-03BD4409CB6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71F1425-338E-440B-81E8-DC40B035A6A1}" type="CELLRANGE">
                      <a:rPr lang="es-CL"/>
                      <a:pPr/>
                      <a:t>[CELLRANGE]</a:t>
                    </a:fld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800B-48A3-B694-03BD4409CB6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EA5E96E-3207-44BF-B9A5-17463A142990}" type="CELLRANGE">
                      <a:rPr lang="es-CL"/>
                      <a:pPr/>
                      <a:t>[CELLRANGE]</a:t>
                    </a:fld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800B-48A3-B694-03BD4409CB6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88B2F6C-A25C-4BF9-A946-CE68033310EB}" type="CELLRANGE">
                      <a:rPr lang="es-CL"/>
                      <a:pPr/>
                      <a:t>[CELLRANGE]</a:t>
                    </a:fld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800B-48A3-B694-03BD4409CB6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DA238F8-F72B-40A3-953D-634968B0A1D6}" type="CELLRANGE">
                      <a:rPr lang="es-CL"/>
                      <a:pPr/>
                      <a:t>[CELLRANGE]</a:t>
                    </a:fld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800B-48A3-B694-03BD4409CB6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6389615-6C49-4F1F-9784-BCC99FBA059E}" type="CELLRANGE">
                      <a:rPr lang="es-CL"/>
                      <a:pPr/>
                      <a:t>[CELLRANGE]</a:t>
                    </a:fld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800B-48A3-B694-03BD4409CB64}"/>
                </c:ext>
              </c:extLst>
            </c:dLbl>
            <c:spPr>
              <a:solidFill>
                <a:schemeClr val="accent4"/>
              </a:solidFill>
              <a:ln w="25400" cap="flat" cmpd="sng" algn="ctr">
                <a:solidFill>
                  <a:schemeClr val="lt1"/>
                </a:solidFill>
                <a:prstDash val="solid"/>
                <a:miter lim="800000"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cat>
            <c:multiLvlStrRef>
              <c:f>datos_graficos!$A$3:$B$14</c:f>
              <c:multiLvlStrCache>
                <c:ptCount val="12"/>
                <c:lvl>
                  <c:pt idx="0">
                    <c:v>Inicio Monitoreo 2024
ejecución año t-1</c:v>
                  </c:pt>
                  <c:pt idx="1">
                    <c:v>Envío de orientaciones 
a contrapartes internas</c:v>
                  </c:pt>
                  <c:pt idx="2">
                    <c:v>Reporte en 
plataforma</c:v>
                  </c:pt>
                  <c:pt idx="3">
                    <c:v>Evaluación
MDSyF</c:v>
                  </c:pt>
                  <c:pt idx="4">
                    <c:v>Publicación
de informes
de monitoreo</c:v>
                  </c:pt>
                  <c:pt idx="5">
                    <c:v>Inicio Ex ante</c:v>
                  </c:pt>
                  <c:pt idx="6">
                    <c:v>Envío de 
lineamientos 
internos</c:v>
                  </c:pt>
                  <c:pt idx="7">
                    <c:v>Iteración 1</c:v>
                  </c:pt>
                  <c:pt idx="8">
                    <c:v>Iteración 2</c:v>
                  </c:pt>
                  <c:pt idx="9">
                    <c:v>Iteración 3</c:v>
                  </c:pt>
                  <c:pt idx="10">
                    <c:v>Iteración 4</c:v>
                  </c:pt>
                  <c:pt idx="11">
                    <c:v>Cierre
ex ante</c:v>
                  </c:pt>
                </c:lvl>
                <c:lvl>
                  <c:pt idx="0">
                    <c:v>20-12-2024</c:v>
                  </c:pt>
                  <c:pt idx="1">
                    <c:v>03-ene</c:v>
                  </c:pt>
                  <c:pt idx="2">
                    <c:v>26-ene</c:v>
                  </c:pt>
                  <c:pt idx="3">
                    <c:v>20-ene</c:v>
                  </c:pt>
                  <c:pt idx="4">
                    <c:v>01-abr</c:v>
                  </c:pt>
                  <c:pt idx="5">
                    <c:v>19-may</c:v>
                  </c:pt>
                  <c:pt idx="6">
                    <c:v>20-may</c:v>
                  </c:pt>
                  <c:pt idx="7">
                    <c:v>23-may</c:v>
                  </c:pt>
                  <c:pt idx="8">
                    <c:v>30-may</c:v>
                  </c:pt>
                  <c:pt idx="9">
                    <c:v>06-jun</c:v>
                  </c:pt>
                  <c:pt idx="10">
                    <c:v>13-jun</c:v>
                  </c:pt>
                  <c:pt idx="11">
                    <c:v>20-jun</c:v>
                  </c:pt>
                </c:lvl>
              </c:multiLvlStrCache>
            </c:multiLvlStrRef>
          </c:cat>
          <c:val>
            <c:numRef>
              <c:f>datos_graficos!$D$3:$D$14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datalabelsRange>
                <c15:f>datos_graficos!$A$3:$A$14</c15:f>
                <c15:dlblRangeCache>
                  <c:ptCount val="12"/>
                  <c:pt idx="0">
                    <c:v>20-12-2024</c:v>
                  </c:pt>
                  <c:pt idx="1">
                    <c:v>03-ene</c:v>
                  </c:pt>
                  <c:pt idx="2">
                    <c:v>26-ene</c:v>
                  </c:pt>
                  <c:pt idx="3">
                    <c:v>20-ene</c:v>
                  </c:pt>
                  <c:pt idx="4">
                    <c:v>01-abr</c:v>
                  </c:pt>
                  <c:pt idx="5">
                    <c:v>19-may</c:v>
                  </c:pt>
                  <c:pt idx="6">
                    <c:v>20-may</c:v>
                  </c:pt>
                  <c:pt idx="7">
                    <c:v>23-may</c:v>
                  </c:pt>
                  <c:pt idx="8">
                    <c:v>30-may</c:v>
                  </c:pt>
                  <c:pt idx="9">
                    <c:v>06-jun</c:v>
                  </c:pt>
                  <c:pt idx="10">
                    <c:v>13-jun</c:v>
                  </c:pt>
                  <c:pt idx="11">
                    <c:v>20-jun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A-800B-48A3-B694-03BD4409C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1967439"/>
        <c:axId val="684485663"/>
      </c:lineChart>
      <c:lineChart>
        <c:grouping val="standard"/>
        <c:varyColors val="0"/>
        <c:ser>
          <c:idx val="0"/>
          <c:order val="0"/>
          <c:tx>
            <c:strRef>
              <c:f>datos_graficos!$C$2</c:f>
              <c:strCache>
                <c:ptCount val="1"/>
                <c:pt idx="0">
                  <c:v>POSICIÓN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75000"/>
                  <a:lumOff val="25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6245167666039477E-2"/>
                  <c:y val="4.4496481858428666E-2"/>
                </c:manualLayout>
              </c:layout>
              <c:tx>
                <c:rich>
                  <a:bodyPr/>
                  <a:lstStyle/>
                  <a:p>
                    <a:fld id="{C1F7EDFA-CF84-47CE-AFC0-13931C126617}" type="CELLRANGE">
                      <a:rPr lang="en-US"/>
                      <a:pPr/>
                      <a:t>[CELLRANGE]</a:t>
                    </a:fld>
                    <a:endParaRPr lang="es-CL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800B-48A3-B694-03BD4409CB64}"/>
                </c:ext>
              </c:extLst>
            </c:dLbl>
            <c:dLbl>
              <c:idx val="1"/>
              <c:layout>
                <c:manualLayout>
                  <c:x val="-7.3452447068452151E-2"/>
                  <c:y val="-7.3811760822160025E-2"/>
                </c:manualLayout>
              </c:layout>
              <c:tx>
                <c:rich>
                  <a:bodyPr/>
                  <a:lstStyle/>
                  <a:p>
                    <a:fld id="{070C19C6-44C3-4031-B1DF-F99C189D2EC7}" type="CELLRANGE">
                      <a:rPr lang="en-US"/>
                      <a:pPr/>
                      <a:t>[CELLRANGE]</a:t>
                    </a:fld>
                    <a:endParaRPr lang="es-CL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800B-48A3-B694-03BD4409CB64}"/>
                </c:ext>
              </c:extLst>
            </c:dLbl>
            <c:dLbl>
              <c:idx val="2"/>
              <c:layout>
                <c:manualLayout>
                  <c:x val="-4.8792641017219765E-2"/>
                  <c:y val="-9.4163851555766481E-3"/>
                </c:manualLayout>
              </c:layout>
              <c:tx>
                <c:rich>
                  <a:bodyPr/>
                  <a:lstStyle/>
                  <a:p>
                    <a:fld id="{B877A485-532C-4D99-8A4B-78BF0E5579EF}" type="CELLRANGE">
                      <a:rPr lang="en-US"/>
                      <a:pPr/>
                      <a:t>[CELLRANGE]</a:t>
                    </a:fld>
                    <a:endParaRPr lang="es-CL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800B-48A3-B694-03BD4409CB64}"/>
                </c:ext>
              </c:extLst>
            </c:dLbl>
            <c:dLbl>
              <c:idx val="3"/>
              <c:layout>
                <c:manualLayout>
                  <c:x val="-4.5017561182955884E-2"/>
                  <c:y val="-4.1088154381095962E-2"/>
                </c:manualLayout>
              </c:layout>
              <c:tx>
                <c:rich>
                  <a:bodyPr/>
                  <a:lstStyle/>
                  <a:p>
                    <a:fld id="{161E5CEC-39EF-4EB1-ACB2-84AFCE35ADAC}" type="CELLRANGE">
                      <a:rPr lang="en-US"/>
                      <a:pPr/>
                      <a:t>[CELLRANGE]</a:t>
                    </a:fld>
                    <a:endParaRPr lang="es-CL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800B-48A3-B694-03BD4409CB64}"/>
                </c:ext>
              </c:extLst>
            </c:dLbl>
            <c:dLbl>
              <c:idx val="4"/>
              <c:layout>
                <c:manualLayout>
                  <c:x val="-5.6278713465467263E-2"/>
                  <c:y val="-5.7540772319761152E-2"/>
                </c:manualLayout>
              </c:layout>
              <c:tx>
                <c:rich>
                  <a:bodyPr rot="0" spcFirstLastPara="1" vertOverflow="clip" horzOverflow="clip" vert="horz" wrap="none" lIns="144000" tIns="180000" rIns="144000" bIns="0" anchor="ctr" anchorCtr="0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244A4D6-5126-4AEE-A9A3-1A5CB70ACB87}" type="CELLRANGE">
                      <a:rPr lang="en-US"/>
                      <a:pPr>
                        <a:defRPr sz="1400">
                          <a:solidFill>
                            <a:schemeClr val="lt1"/>
                          </a:solidFill>
                        </a:defRPr>
                      </a:pPr>
                      <a:t>[CELLRANGE]</a:t>
                    </a:fld>
                    <a:endParaRPr lang="es-CL"/>
                  </a:p>
                </c:rich>
              </c:tx>
              <c:spPr>
                <a:solidFill>
                  <a:schemeClr val="accent1"/>
                </a:solidFill>
                <a:ln w="25400" cap="flat" cmpd="sng" algn="ctr">
                  <a:solidFill>
                    <a:schemeClr val="lt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clip" horzOverflow="clip" vert="horz" wrap="none" lIns="144000" tIns="180000" rIns="144000" bIns="0" anchor="ctr" anchorCtr="0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800B-48A3-B694-03BD4409CB64}"/>
                </c:ext>
              </c:extLst>
            </c:dLbl>
            <c:dLbl>
              <c:idx val="5"/>
              <c:layout>
                <c:manualLayout>
                  <c:x val="-4.0510424610904094E-2"/>
                  <c:y val="-5.7691568218312034E-2"/>
                </c:manualLayout>
              </c:layout>
              <c:tx>
                <c:rich>
                  <a:bodyPr rot="0" spcFirstLastPara="1" vertOverflow="clip" horzOverflow="clip" vert="horz" wrap="none" lIns="144000" tIns="180000" rIns="144000" bIns="0" anchor="ctr" anchorCtr="0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086D2EA-B5EF-4FBA-9550-10F0040C6E17}" type="CELLRANGE">
                      <a:rPr lang="en-US"/>
                      <a:pPr>
                        <a:defRPr sz="1400">
                          <a:solidFill>
                            <a:schemeClr val="lt1"/>
                          </a:solidFill>
                        </a:defRPr>
                      </a:pPr>
                      <a:t>[CELLRANGE]</a:t>
                    </a:fld>
                    <a:endParaRPr lang="es-CL"/>
                  </a:p>
                </c:rich>
              </c:tx>
              <c:spPr>
                <a:solidFill>
                  <a:schemeClr val="accent1"/>
                </a:solidFill>
                <a:ln w="25400" cap="flat" cmpd="sng" algn="ctr">
                  <a:solidFill>
                    <a:schemeClr val="lt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clip" horzOverflow="clip" vert="horz" wrap="none" lIns="144000" tIns="180000" rIns="144000" bIns="0" anchor="ctr" anchorCtr="0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800B-48A3-B694-03BD4409CB64}"/>
                </c:ext>
              </c:extLst>
            </c:dLbl>
            <c:dLbl>
              <c:idx val="6"/>
              <c:layout>
                <c:manualLayout>
                  <c:x val="-3.195754200246443E-2"/>
                  <c:y val="-0.10166255256733102"/>
                </c:manualLayout>
              </c:layout>
              <c:tx>
                <c:rich>
                  <a:bodyPr rot="0" spcFirstLastPara="1" vertOverflow="clip" horzOverflow="clip" vert="horz" wrap="none" lIns="144000" tIns="180000" rIns="144000" bIns="0" anchor="ctr" anchorCtr="0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2DAC156-6CF6-4D35-924C-D05A33A5EA72}" type="CELLRANGE">
                      <a:rPr lang="en-US"/>
                      <a:pPr>
                        <a:defRPr sz="1400">
                          <a:solidFill>
                            <a:schemeClr val="lt1"/>
                          </a:solidFill>
                        </a:defRPr>
                      </a:pPr>
                      <a:t>[CELLRANGE]</a:t>
                    </a:fld>
                    <a:endParaRPr lang="es-CL"/>
                  </a:p>
                </c:rich>
              </c:tx>
              <c:spPr>
                <a:solidFill>
                  <a:schemeClr val="accent1"/>
                </a:solidFill>
                <a:ln w="25400" cap="flat" cmpd="sng" algn="ctr">
                  <a:solidFill>
                    <a:schemeClr val="lt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clip" horzOverflow="clip" vert="horz" wrap="none" lIns="144000" tIns="180000" rIns="144000" bIns="0" anchor="ctr" anchorCtr="0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800B-48A3-B694-03BD4409CB64}"/>
                </c:ext>
              </c:extLst>
            </c:dLbl>
            <c:dLbl>
              <c:idx val="7"/>
              <c:layout>
                <c:manualLayout>
                  <c:x val="-4.5015673424156202E-2"/>
                  <c:y val="4.3202281860632075E-2"/>
                </c:manualLayout>
              </c:layout>
              <c:tx>
                <c:rich>
                  <a:bodyPr rot="0" spcFirstLastPara="1" vertOverflow="clip" horzOverflow="clip" vert="horz" wrap="none" lIns="144000" tIns="180000" rIns="144000" bIns="0" anchor="ctr" anchorCtr="0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E9CA356-DD66-4349-801B-7FC05950038A}" type="CELLRANGE">
                      <a:rPr lang="en-US"/>
                      <a:pPr>
                        <a:defRPr sz="1400">
                          <a:solidFill>
                            <a:schemeClr val="lt1"/>
                          </a:solidFill>
                        </a:defRPr>
                      </a:pPr>
                      <a:t>[CELLRANGE]</a:t>
                    </a:fld>
                    <a:endParaRPr lang="es-CL"/>
                  </a:p>
                </c:rich>
              </c:tx>
              <c:spPr>
                <a:solidFill>
                  <a:schemeClr val="accent1"/>
                </a:solidFill>
                <a:ln w="25400" cap="flat" cmpd="sng" algn="ctr">
                  <a:solidFill>
                    <a:schemeClr val="lt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clip" horzOverflow="clip" vert="horz" wrap="none" lIns="144000" tIns="180000" rIns="144000" bIns="0" anchor="ctr" anchorCtr="0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800B-48A3-B694-03BD4409CB64}"/>
                </c:ext>
              </c:extLst>
            </c:dLbl>
            <c:dLbl>
              <c:idx val="8"/>
              <c:layout>
                <c:manualLayout>
                  <c:x val="-4.7432505128990603E-2"/>
                  <c:y val="4.068047043057673E-2"/>
                </c:manualLayout>
              </c:layout>
              <c:tx>
                <c:rich>
                  <a:bodyPr rot="0" spcFirstLastPara="1" vertOverflow="clip" horzOverflow="clip" vert="horz" wrap="none" lIns="144000" tIns="180000" rIns="144000" bIns="0" anchor="ctr" anchorCtr="0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24499F8-87C0-4A1B-9A58-E8CBD786183A}" type="CELLRANGE">
                      <a:rPr lang="en-US"/>
                      <a:pPr>
                        <a:defRPr sz="1400">
                          <a:solidFill>
                            <a:schemeClr val="lt1"/>
                          </a:solidFill>
                        </a:defRPr>
                      </a:pPr>
                      <a:t>[CELLRANGE]</a:t>
                    </a:fld>
                    <a:endParaRPr lang="es-CL"/>
                  </a:p>
                </c:rich>
              </c:tx>
              <c:spPr>
                <a:solidFill>
                  <a:schemeClr val="accent1"/>
                </a:solidFill>
                <a:ln w="25400" cap="flat" cmpd="sng" algn="ctr">
                  <a:solidFill>
                    <a:schemeClr val="lt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clip" horzOverflow="clip" vert="horz" wrap="none" lIns="144000" tIns="180000" rIns="144000" bIns="0" anchor="ctr" anchorCtr="0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800B-48A3-B694-03BD4409CB64}"/>
                </c:ext>
              </c:extLst>
            </c:dLbl>
            <c:dLbl>
              <c:idx val="9"/>
              <c:layout>
                <c:manualLayout>
                  <c:x val="-3.9095773569145759E-2"/>
                  <c:y val="3.6279226149580034E-2"/>
                </c:manualLayout>
              </c:layout>
              <c:tx>
                <c:rich>
                  <a:bodyPr rot="0" spcFirstLastPara="1" vertOverflow="clip" horzOverflow="clip" vert="horz" wrap="none" lIns="144000" tIns="180000" rIns="144000" bIns="0" anchor="ctr" anchorCtr="0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029FF19-F393-4041-BB7B-1EF9752B0464}" type="CELLRANGE">
                      <a:rPr lang="en-US"/>
                      <a:pPr>
                        <a:defRPr sz="1400">
                          <a:solidFill>
                            <a:schemeClr val="lt1"/>
                          </a:solidFill>
                        </a:defRPr>
                      </a:pPr>
                      <a:t>[CELLRANGE]</a:t>
                    </a:fld>
                    <a:endParaRPr lang="es-CL"/>
                  </a:p>
                </c:rich>
              </c:tx>
              <c:spPr>
                <a:solidFill>
                  <a:schemeClr val="accent1"/>
                </a:solidFill>
                <a:ln w="25400" cap="flat" cmpd="sng" algn="ctr">
                  <a:solidFill>
                    <a:schemeClr val="lt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clip" horzOverflow="clip" vert="horz" wrap="none" lIns="144000" tIns="180000" rIns="144000" bIns="0" anchor="ctr" anchorCtr="0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800B-48A3-B694-03BD4409CB64}"/>
                </c:ext>
              </c:extLst>
            </c:dLbl>
            <c:dLbl>
              <c:idx val="10"/>
              <c:layout>
                <c:manualLayout>
                  <c:x val="-2.4817169437332896E-2"/>
                  <c:y val="-3.6382578313794177E-2"/>
                </c:manualLayout>
              </c:layout>
              <c:tx>
                <c:rich>
                  <a:bodyPr rot="0" spcFirstLastPara="1" vertOverflow="clip" horzOverflow="clip" vert="horz" wrap="none" lIns="144000" tIns="180000" rIns="144000" bIns="0" anchor="ctr" anchorCtr="0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5876905-A4EF-474F-A94E-2721E70E8C31}" type="CELLRANGE">
                      <a:rPr lang="en-US"/>
                      <a:pPr>
                        <a:defRPr sz="1400">
                          <a:solidFill>
                            <a:schemeClr val="lt1"/>
                          </a:solidFill>
                        </a:defRPr>
                      </a:pPr>
                      <a:t>[CELLRANGE]</a:t>
                    </a:fld>
                    <a:endParaRPr lang="es-CL"/>
                  </a:p>
                </c:rich>
              </c:tx>
              <c:spPr>
                <a:solidFill>
                  <a:schemeClr val="accent1"/>
                </a:solidFill>
                <a:ln w="25400" cap="flat" cmpd="sng" algn="ctr">
                  <a:solidFill>
                    <a:schemeClr val="lt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clip" horzOverflow="clip" vert="horz" wrap="none" lIns="144000" tIns="180000" rIns="144000" bIns="0" anchor="ctr" anchorCtr="0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800B-48A3-B694-03BD4409CB6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FA65433-7AD6-4E20-B324-E65D8CB1B5CF}" type="CELLRANGE">
                      <a:rPr lang="es-CL"/>
                      <a:pPr/>
                      <a:t>[CELLRANGE]</a:t>
                    </a:fld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00B-48A3-B694-03BD4409CB64}"/>
                </c:ext>
              </c:extLst>
            </c:dLbl>
            <c:spPr>
              <a:solidFill>
                <a:schemeClr val="accent5"/>
              </a:solidFill>
              <a:ln w="25400" cap="flat" cmpd="sng" algn="ctr">
                <a:solidFill>
                  <a:schemeClr val="lt1"/>
                </a:solidFill>
                <a:prstDash val="solid"/>
                <a:miter lim="800000"/>
              </a:ln>
              <a:effectLst/>
            </c:spPr>
            <c:txPr>
              <a:bodyPr rot="0" spcFirstLastPara="1" vertOverflow="clip" horzOverflow="clip" vert="horz" wrap="none" lIns="144000" tIns="180000" rIns="144000" bIns="0" anchor="ctr" anchorCtr="0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errBars>
            <c:errDir val="y"/>
            <c:errBarType val="minus"/>
            <c:errValType val="percentage"/>
            <c:noEndCap val="1"/>
            <c:val val="100"/>
            <c:spPr>
              <a:noFill/>
              <a:ln w="53975" cap="flat" cmpd="sng" algn="ctr">
                <a:solidFill>
                  <a:schemeClr val="accent1">
                    <a:lumMod val="60000"/>
                    <a:lumOff val="40000"/>
                  </a:schemeClr>
                </a:solidFill>
                <a:prstDash val="sysDot"/>
                <a:round/>
              </a:ln>
              <a:effectLst/>
            </c:spPr>
          </c:errBars>
          <c:cat>
            <c:multiLvlStrRef>
              <c:f>datos_graficos!$A$3:$B$14</c:f>
              <c:multiLvlStrCache>
                <c:ptCount val="12"/>
                <c:lvl>
                  <c:pt idx="0">
                    <c:v>Inicio Monitoreo 2024
ejecución año t-1</c:v>
                  </c:pt>
                  <c:pt idx="1">
                    <c:v>Envío de orientaciones 
a contrapartes internas</c:v>
                  </c:pt>
                  <c:pt idx="2">
                    <c:v>Reporte en 
plataforma</c:v>
                  </c:pt>
                  <c:pt idx="3">
                    <c:v>Evaluación
MDSyF</c:v>
                  </c:pt>
                  <c:pt idx="4">
                    <c:v>Publicación
de informes
de monitoreo</c:v>
                  </c:pt>
                  <c:pt idx="5">
                    <c:v>Inicio Ex ante</c:v>
                  </c:pt>
                  <c:pt idx="6">
                    <c:v>Envío de 
lineamientos 
internos</c:v>
                  </c:pt>
                  <c:pt idx="7">
                    <c:v>Iteración 1</c:v>
                  </c:pt>
                  <c:pt idx="8">
                    <c:v>Iteración 2</c:v>
                  </c:pt>
                  <c:pt idx="9">
                    <c:v>Iteración 3</c:v>
                  </c:pt>
                  <c:pt idx="10">
                    <c:v>Iteración 4</c:v>
                  </c:pt>
                  <c:pt idx="11">
                    <c:v>Cierre
ex ante</c:v>
                  </c:pt>
                </c:lvl>
                <c:lvl>
                  <c:pt idx="0">
                    <c:v>20-12-2024</c:v>
                  </c:pt>
                  <c:pt idx="1">
                    <c:v>03-ene</c:v>
                  </c:pt>
                  <c:pt idx="2">
                    <c:v>26-ene</c:v>
                  </c:pt>
                  <c:pt idx="3">
                    <c:v>20-ene</c:v>
                  </c:pt>
                  <c:pt idx="4">
                    <c:v>01-abr</c:v>
                  </c:pt>
                  <c:pt idx="5">
                    <c:v>19-may</c:v>
                  </c:pt>
                  <c:pt idx="6">
                    <c:v>20-may</c:v>
                  </c:pt>
                  <c:pt idx="7">
                    <c:v>23-may</c:v>
                  </c:pt>
                  <c:pt idx="8">
                    <c:v>30-may</c:v>
                  </c:pt>
                  <c:pt idx="9">
                    <c:v>06-jun</c:v>
                  </c:pt>
                  <c:pt idx="10">
                    <c:v>13-jun</c:v>
                  </c:pt>
                  <c:pt idx="11">
                    <c:v>20-jun</c:v>
                  </c:pt>
                </c:lvl>
              </c:multiLvlStrCache>
            </c:multiLvlStrRef>
          </c:cat>
          <c:val>
            <c:numRef>
              <c:f>datos_graficos!$C$3:$C$14</c:f>
              <c:numCache>
                <c:formatCode>General</c:formatCode>
                <c:ptCount val="12"/>
                <c:pt idx="0">
                  <c:v>2</c:v>
                </c:pt>
                <c:pt idx="1">
                  <c:v>-1</c:v>
                </c:pt>
                <c:pt idx="2">
                  <c:v>1.5</c:v>
                </c:pt>
                <c:pt idx="3">
                  <c:v>-1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datos_graficos!$B$3:$B$14</c15:f>
                <c15:dlblRangeCache>
                  <c:ptCount val="12"/>
                  <c:pt idx="0">
                    <c:v>Inicio Monitoreo 2024
ejecución año t-1</c:v>
                  </c:pt>
                  <c:pt idx="1">
                    <c:v>Envío de orientaciones 
a contrapartes internas</c:v>
                  </c:pt>
                  <c:pt idx="2">
                    <c:v>Reporte en 
plataforma</c:v>
                  </c:pt>
                  <c:pt idx="3">
                    <c:v>Evaluación
MDSyF</c:v>
                  </c:pt>
                  <c:pt idx="4">
                    <c:v>Publicación
de informes
de monitoreo</c:v>
                  </c:pt>
                  <c:pt idx="5">
                    <c:v>Inicio Ex ante</c:v>
                  </c:pt>
                  <c:pt idx="6">
                    <c:v>Envío de 
lineamientos 
internos</c:v>
                  </c:pt>
                  <c:pt idx="7">
                    <c:v>Iteración 1</c:v>
                  </c:pt>
                  <c:pt idx="8">
                    <c:v>Iteración 2</c:v>
                  </c:pt>
                  <c:pt idx="9">
                    <c:v>Iteración 3</c:v>
                  </c:pt>
                  <c:pt idx="10">
                    <c:v>Iteración 4</c:v>
                  </c:pt>
                  <c:pt idx="11">
                    <c:v>Cierre
ex ante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800B-48A3-B694-03BD4409C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3805136"/>
        <c:axId val="813812816"/>
      </c:lineChart>
      <c:catAx>
        <c:axId val="8719674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84485663"/>
        <c:crosses val="autoZero"/>
        <c:auto val="1"/>
        <c:lblAlgn val="ctr"/>
        <c:lblOffset val="100"/>
        <c:noMultiLvlLbl val="0"/>
      </c:catAx>
      <c:valAx>
        <c:axId val="6844856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71967439"/>
        <c:crosses val="autoZero"/>
        <c:crossBetween val="between"/>
      </c:valAx>
      <c:valAx>
        <c:axId val="8138128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13805136"/>
        <c:crosses val="max"/>
        <c:crossBetween val="between"/>
      </c:valAx>
      <c:catAx>
        <c:axId val="813805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138128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 paperSize="5"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'programas sociales'!$H$12</c:f>
              <c:strCache>
                <c:ptCount val="1"/>
                <c:pt idx="0">
                  <c:v>MONITOREO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142-464C-A490-380670E6407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142-464C-A490-380670E6407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142-464C-A490-380670E6407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142-464C-A490-380670E6407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142-464C-A490-380670E6407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142-464C-A490-380670E640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effectLst>
                      <a:outerShdw blurRad="50800" dist="50800" dir="600000" algn="ctr" rotWithShape="0">
                        <a:srgbClr val="000000">
                          <a:alpha val="43137"/>
                        </a:srgb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'programas sociales'!$E$13:$E$18</c:f>
              <c:strCache>
                <c:ptCount val="6"/>
                <c:pt idx="0">
                  <c:v>Dirección de Educación Pública</c:v>
                </c:pt>
                <c:pt idx="1">
                  <c:v>Junta Nacional de Auxilio Escolar y Becas</c:v>
                </c:pt>
                <c:pt idx="2">
                  <c:v>Junta Nacional de Jardines Infantiles</c:v>
                </c:pt>
                <c:pt idx="3">
                  <c:v>Subsecretaria de Educación</c:v>
                </c:pt>
                <c:pt idx="4">
                  <c:v>Subsecretaría Educación Parvularia</c:v>
                </c:pt>
                <c:pt idx="5">
                  <c:v>Subsecretaría Educación Superior</c:v>
                </c:pt>
              </c:strCache>
            </c:strRef>
          </c:cat>
          <c:val>
            <c:numRef>
              <c:f>'programas sociales'!$H$13:$H$18</c:f>
              <c:numCache>
                <c:formatCode>General</c:formatCode>
                <c:ptCount val="6"/>
                <c:pt idx="0">
                  <c:v>2</c:v>
                </c:pt>
                <c:pt idx="1">
                  <c:v>26</c:v>
                </c:pt>
                <c:pt idx="2">
                  <c:v>5</c:v>
                </c:pt>
                <c:pt idx="3">
                  <c:v>29</c:v>
                </c:pt>
                <c:pt idx="4">
                  <c:v>6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41F-47AB-B4E9-1D434AAFE7B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449791332080515"/>
          <c:y val="6.4585547031653492E-2"/>
          <c:w val="0.40451454264563541"/>
          <c:h val="0.85711548120040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emf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emf"/><Relationship Id="rId3" Type="http://schemas.openxmlformats.org/officeDocument/2006/relationships/image" Target="../media/image5.emf"/><Relationship Id="rId7" Type="http://schemas.openxmlformats.org/officeDocument/2006/relationships/image" Target="../media/image9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6" Type="http://schemas.openxmlformats.org/officeDocument/2006/relationships/image" Target="../media/image8.emf"/><Relationship Id="rId5" Type="http://schemas.openxmlformats.org/officeDocument/2006/relationships/image" Target="../media/image7.emf"/><Relationship Id="rId4" Type="http://schemas.openxmlformats.org/officeDocument/2006/relationships/image" Target="../media/image6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png"/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2" Type="http://schemas.microsoft.com/office/2007/relationships/hdphoto" Target="../media/hdphoto1.wdp"/><Relationship Id="rId1" Type="http://schemas.openxmlformats.org/officeDocument/2006/relationships/image" Target="../media/image20.png"/><Relationship Id="rId6" Type="http://schemas.openxmlformats.org/officeDocument/2006/relationships/image" Target="../media/image24.png"/><Relationship Id="rId11" Type="http://schemas.openxmlformats.org/officeDocument/2006/relationships/chart" Target="../charts/chart5.xml"/><Relationship Id="rId5" Type="http://schemas.openxmlformats.org/officeDocument/2006/relationships/image" Target="../media/image23.png"/><Relationship Id="rId10" Type="http://schemas.openxmlformats.org/officeDocument/2006/relationships/image" Target="../media/image28.png"/><Relationship Id="rId4" Type="http://schemas.openxmlformats.org/officeDocument/2006/relationships/image" Target="../media/image22.png"/><Relationship Id="rId9" Type="http://schemas.openxmlformats.org/officeDocument/2006/relationships/image" Target="../media/image27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image" Target="../media/image30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png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image" Target="../media/image34.png"/><Relationship Id="rId5" Type="http://schemas.openxmlformats.org/officeDocument/2006/relationships/image" Target="../media/image33.png"/><Relationship Id="rId4" Type="http://schemas.openxmlformats.org/officeDocument/2006/relationships/image" Target="../media/image32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8.emf"/><Relationship Id="rId3" Type="http://schemas.openxmlformats.org/officeDocument/2006/relationships/image" Target="../media/image13.emf"/><Relationship Id="rId7" Type="http://schemas.openxmlformats.org/officeDocument/2006/relationships/image" Target="../media/image17.emf"/><Relationship Id="rId2" Type="http://schemas.openxmlformats.org/officeDocument/2006/relationships/image" Target="../media/image12.emf"/><Relationship Id="rId1" Type="http://schemas.openxmlformats.org/officeDocument/2006/relationships/image" Target="../media/image11.emf"/><Relationship Id="rId6" Type="http://schemas.openxmlformats.org/officeDocument/2006/relationships/image" Target="../media/image16.emf"/><Relationship Id="rId5" Type="http://schemas.openxmlformats.org/officeDocument/2006/relationships/image" Target="../media/image15.emf"/><Relationship Id="rId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</xdr:colOff>
      <xdr:row>1</xdr:row>
      <xdr:rowOff>180976</xdr:rowOff>
    </xdr:from>
    <xdr:to>
      <xdr:col>4</xdr:col>
      <xdr:colOff>160557</xdr:colOff>
      <xdr:row>10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8EC3979-55FE-5D37-732A-F393C2291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1577" y="371476"/>
          <a:ext cx="1684555" cy="16287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353788</xdr:colOff>
      <xdr:row>14</xdr:row>
      <xdr:rowOff>363930</xdr:rowOff>
    </xdr:from>
    <xdr:to>
      <xdr:col>12</xdr:col>
      <xdr:colOff>367394</xdr:colOff>
      <xdr:row>15</xdr:row>
      <xdr:rowOff>316120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9FCF66B5-288D-4064-A08C-6072A2EB5C82}"/>
            </a:ext>
          </a:extLst>
        </xdr:cNvPr>
        <xdr:cNvSpPr/>
      </xdr:nvSpPr>
      <xdr:spPr>
        <a:xfrm>
          <a:off x="6657606" y="5628657"/>
          <a:ext cx="6248152" cy="437099"/>
        </a:xfrm>
        <a:prstGeom prst="rect">
          <a:avLst/>
        </a:prstGeom>
        <a:solidFill>
          <a:schemeClr val="bg1">
            <a:lumMod val="8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PMG</a:t>
          </a:r>
        </a:p>
      </xdr:txBody>
    </xdr:sp>
    <xdr:clientData/>
  </xdr:twoCellAnchor>
  <xdr:twoCellAnchor>
    <xdr:from>
      <xdr:col>12</xdr:col>
      <xdr:colOff>587581</xdr:colOff>
      <xdr:row>14</xdr:row>
      <xdr:rowOff>353244</xdr:rowOff>
    </xdr:from>
    <xdr:to>
      <xdr:col>18</xdr:col>
      <xdr:colOff>1</xdr:colOff>
      <xdr:row>15</xdr:row>
      <xdr:rowOff>288222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A705FC0-9012-42C8-8E0A-2B2C2949F07A}"/>
            </a:ext>
          </a:extLst>
        </xdr:cNvPr>
        <xdr:cNvSpPr/>
      </xdr:nvSpPr>
      <xdr:spPr>
        <a:xfrm>
          <a:off x="13125945" y="5617971"/>
          <a:ext cx="9664783" cy="419887"/>
        </a:xfrm>
        <a:prstGeom prst="rect">
          <a:avLst/>
        </a:prstGeom>
        <a:solidFill>
          <a:schemeClr val="bg1">
            <a:lumMod val="8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H (no</a:t>
          </a:r>
          <a:r>
            <a:rPr lang="es-ES" sz="2000" b="1" baseline="0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 afecto a incentivo)</a:t>
          </a:r>
          <a:endParaRPr lang="es-ES" sz="2000" b="1">
            <a:solidFill>
              <a:sysClr val="windowText" lastClr="000000"/>
            </a:solidFill>
            <a:latin typeface="Calibri Light" panose="020F0302020204030204" pitchFamily="34" charset="0"/>
            <a:cs typeface="Calibri Light" panose="020F0302020204030204" pitchFamily="34" charset="0"/>
          </a:endParaRPr>
        </a:p>
      </xdr:txBody>
    </xdr:sp>
    <xdr:clientData/>
  </xdr:twoCellAnchor>
  <xdr:twoCellAnchor>
    <xdr:from>
      <xdr:col>5</xdr:col>
      <xdr:colOff>332757</xdr:colOff>
      <xdr:row>32</xdr:row>
      <xdr:rowOff>126176</xdr:rowOff>
    </xdr:from>
    <xdr:to>
      <xdr:col>12</xdr:col>
      <xdr:colOff>421821</xdr:colOff>
      <xdr:row>34</xdr:row>
      <xdr:rowOff>126175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33399C13-A18C-4D11-8C9F-02F2DED2AE0C}"/>
            </a:ext>
          </a:extLst>
        </xdr:cNvPr>
        <xdr:cNvSpPr/>
      </xdr:nvSpPr>
      <xdr:spPr>
        <a:xfrm>
          <a:off x="6636575" y="10569040"/>
          <a:ext cx="6323610" cy="380999"/>
        </a:xfrm>
        <a:prstGeom prst="rect">
          <a:avLst/>
        </a:prstGeom>
        <a:solidFill>
          <a:schemeClr val="bg1">
            <a:lumMod val="8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CDC NIVEL CENTRAL</a:t>
          </a:r>
        </a:p>
      </xdr:txBody>
    </xdr:sp>
    <xdr:clientData/>
  </xdr:twoCellAnchor>
  <xdr:twoCellAnchor>
    <xdr:from>
      <xdr:col>12</xdr:col>
      <xdr:colOff>588818</xdr:colOff>
      <xdr:row>32</xdr:row>
      <xdr:rowOff>121228</xdr:rowOff>
    </xdr:from>
    <xdr:to>
      <xdr:col>18</xdr:col>
      <xdr:colOff>40822</xdr:colOff>
      <xdr:row>34</xdr:row>
      <xdr:rowOff>103910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887BFB1-D75F-42E8-9046-786570D35249}"/>
            </a:ext>
          </a:extLst>
        </xdr:cNvPr>
        <xdr:cNvSpPr/>
      </xdr:nvSpPr>
      <xdr:spPr>
        <a:xfrm>
          <a:off x="13127182" y="10564092"/>
          <a:ext cx="9704367" cy="363682"/>
        </a:xfrm>
        <a:prstGeom prst="rect">
          <a:avLst/>
        </a:prstGeom>
        <a:solidFill>
          <a:schemeClr val="bg1">
            <a:lumMod val="8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CDC REGIONES</a:t>
          </a:r>
        </a:p>
      </xdr:txBody>
    </xdr:sp>
    <xdr:clientData/>
  </xdr:twoCellAnchor>
  <xdr:twoCellAnchor>
    <xdr:from>
      <xdr:col>5</xdr:col>
      <xdr:colOff>345129</xdr:colOff>
      <xdr:row>16</xdr:row>
      <xdr:rowOff>105517</xdr:rowOff>
    </xdr:from>
    <xdr:to>
      <xdr:col>12</xdr:col>
      <xdr:colOff>354899</xdr:colOff>
      <xdr:row>30</xdr:row>
      <xdr:rowOff>144977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4E2487C-2124-4920-9A30-8D2BFFB00399}"/>
            </a:ext>
            <a:ext uri="{147F2762-F138-4A5C-976F-8EAC2B608ADB}">
              <a16:predDERef xmlns:a16="http://schemas.microsoft.com/office/drawing/2014/main" pred="{0887BFB1-D75F-42E8-9046-786570D35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329047</xdr:colOff>
      <xdr:row>35</xdr:row>
      <xdr:rowOff>34636</xdr:rowOff>
    </xdr:from>
    <xdr:to>
      <xdr:col>12</xdr:col>
      <xdr:colOff>415637</xdr:colOff>
      <xdr:row>47</xdr:row>
      <xdr:rowOff>294408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271037C-B523-4648-8F5D-01A662EF3E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610464</xdr:colOff>
      <xdr:row>35</xdr:row>
      <xdr:rowOff>49787</xdr:rowOff>
    </xdr:from>
    <xdr:to>
      <xdr:col>18</xdr:col>
      <xdr:colOff>34635</xdr:colOff>
      <xdr:row>47</xdr:row>
      <xdr:rowOff>294410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E5DC9B-EFF3-4F76-A7FB-63DE9EB448D4}"/>
            </a:ext>
            <a:ext uri="{147F2762-F138-4A5C-976F-8EAC2B608ADB}">
              <a16:predDERef xmlns:a16="http://schemas.microsoft.com/office/drawing/2014/main" pred="{A271037C-B523-4648-8F5D-01A662EF3E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602305</xdr:colOff>
      <xdr:row>16</xdr:row>
      <xdr:rowOff>145534</xdr:rowOff>
    </xdr:from>
    <xdr:to>
      <xdr:col>18</xdr:col>
      <xdr:colOff>7362</xdr:colOff>
      <xdr:row>30</xdr:row>
      <xdr:rowOff>90055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29CB9207-1B89-457E-94B4-59F8868DBEB1}"/>
            </a:ext>
            <a:ext uri="{147F2762-F138-4A5C-976F-8EAC2B608ADB}">
              <a16:predDERef xmlns:a16="http://schemas.microsoft.com/office/drawing/2014/main" pred="{00E5DC9B-EFF3-4F76-A7FB-63DE9EB448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403265</xdr:colOff>
      <xdr:row>8</xdr:row>
      <xdr:rowOff>19795</xdr:rowOff>
    </xdr:from>
    <xdr:to>
      <xdr:col>10</xdr:col>
      <xdr:colOff>628529</xdr:colOff>
      <xdr:row>8</xdr:row>
      <xdr:rowOff>242071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2153FC9D-528F-41A8-ADE5-0B5B29889960}"/>
            </a:ext>
          </a:extLst>
        </xdr:cNvPr>
        <xdr:cNvSpPr/>
      </xdr:nvSpPr>
      <xdr:spPr>
        <a:xfrm flipH="1">
          <a:off x="11084872" y="2319402"/>
          <a:ext cx="225264" cy="222276"/>
        </a:xfrm>
        <a:prstGeom prst="ellipse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CL" sz="1100"/>
        </a:p>
      </xdr:txBody>
    </xdr:sp>
    <xdr:clientData/>
  </xdr:twoCellAnchor>
  <xdr:twoCellAnchor>
    <xdr:from>
      <xdr:col>12</xdr:col>
      <xdr:colOff>489858</xdr:colOff>
      <xdr:row>7</xdr:row>
      <xdr:rowOff>580221</xdr:rowOff>
    </xdr:from>
    <xdr:to>
      <xdr:col>12</xdr:col>
      <xdr:colOff>706535</xdr:colOff>
      <xdr:row>8</xdr:row>
      <xdr:rowOff>217713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3B533013-990C-45C0-87FA-B6C90E2B4D7D}"/>
            </a:ext>
          </a:extLst>
        </xdr:cNvPr>
        <xdr:cNvSpPr/>
      </xdr:nvSpPr>
      <xdr:spPr>
        <a:xfrm flipH="1">
          <a:off x="13035644" y="2294721"/>
          <a:ext cx="216677" cy="222599"/>
        </a:xfrm>
        <a:prstGeom prst="ellipse">
          <a:avLst/>
        </a:prstGeom>
        <a:solidFill>
          <a:srgbClr val="F4EE00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CL" sz="1100">
            <a:solidFill>
              <a:srgbClr val="F4EE00"/>
            </a:solidFill>
          </a:endParaRPr>
        </a:p>
      </xdr:txBody>
    </xdr:sp>
    <xdr:clientData/>
  </xdr:twoCellAnchor>
  <xdr:twoCellAnchor>
    <xdr:from>
      <xdr:col>14</xdr:col>
      <xdr:colOff>471534</xdr:colOff>
      <xdr:row>8</xdr:row>
      <xdr:rowOff>7517</xdr:rowOff>
    </xdr:from>
    <xdr:to>
      <xdr:col>14</xdr:col>
      <xdr:colOff>696798</xdr:colOff>
      <xdr:row>8</xdr:row>
      <xdr:rowOff>220268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C6433131-931A-4530-A51C-7B5BD0AFB996}"/>
            </a:ext>
          </a:extLst>
        </xdr:cNvPr>
        <xdr:cNvSpPr/>
      </xdr:nvSpPr>
      <xdr:spPr>
        <a:xfrm flipH="1">
          <a:off x="14949534" y="2307124"/>
          <a:ext cx="225264" cy="212751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CL" sz="1100"/>
        </a:p>
      </xdr:txBody>
    </xdr:sp>
    <xdr:clientData/>
  </xdr:twoCellAnchor>
  <xdr:twoCellAnchor editAs="oneCell">
    <xdr:from>
      <xdr:col>1</xdr:col>
      <xdr:colOff>261937</xdr:colOff>
      <xdr:row>34</xdr:row>
      <xdr:rowOff>166687</xdr:rowOff>
    </xdr:from>
    <xdr:to>
      <xdr:col>5</xdr:col>
      <xdr:colOff>95250</xdr:colOff>
      <xdr:row>47</xdr:row>
      <xdr:rowOff>319055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EE098D8-5869-1D82-0E79-DB3C26EB4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1953875"/>
          <a:ext cx="6048375" cy="38194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379184</xdr:colOff>
      <xdr:row>34</xdr:row>
      <xdr:rowOff>64443</xdr:rowOff>
    </xdr:from>
    <xdr:to>
      <xdr:col>12</xdr:col>
      <xdr:colOff>333120</xdr:colOff>
      <xdr:row>42</xdr:row>
      <xdr:rowOff>190501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79191399-33C8-4196-95C0-4123684348DD}"/>
            </a:ext>
          </a:extLst>
        </xdr:cNvPr>
        <xdr:cNvSpPr/>
      </xdr:nvSpPr>
      <xdr:spPr>
        <a:xfrm>
          <a:off x="5304970" y="6963264"/>
          <a:ext cx="4539543" cy="175891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1750" cap="flat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20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CPEIP</a:t>
          </a:r>
        </a:p>
      </xdr:txBody>
    </xdr:sp>
    <xdr:clientData/>
  </xdr:twoCellAnchor>
  <xdr:twoCellAnchor>
    <xdr:from>
      <xdr:col>2</xdr:col>
      <xdr:colOff>1054346</xdr:colOff>
      <xdr:row>49</xdr:row>
      <xdr:rowOff>198053</xdr:rowOff>
    </xdr:from>
    <xdr:to>
      <xdr:col>9</xdr:col>
      <xdr:colOff>346362</xdr:colOff>
      <xdr:row>60</xdr:row>
      <xdr:rowOff>1020536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B21C26D0-BE00-4C67-9177-F60C41CBF155}"/>
            </a:ext>
          </a:extLst>
        </xdr:cNvPr>
        <xdr:cNvSpPr/>
      </xdr:nvSpPr>
      <xdr:spPr>
        <a:xfrm>
          <a:off x="1993239" y="10158482"/>
          <a:ext cx="5564909" cy="306766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1750" cap="flat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20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DIPLAP</a:t>
          </a:r>
        </a:p>
      </xdr:txBody>
    </xdr:sp>
    <xdr:clientData/>
  </xdr:twoCellAnchor>
  <xdr:twoCellAnchor>
    <xdr:from>
      <xdr:col>16</xdr:col>
      <xdr:colOff>698549</xdr:colOff>
      <xdr:row>34</xdr:row>
      <xdr:rowOff>8508</xdr:rowOff>
    </xdr:from>
    <xdr:to>
      <xdr:col>23</xdr:col>
      <xdr:colOff>714374</xdr:colOff>
      <xdr:row>44</xdr:row>
      <xdr:rowOff>68036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1E97BFDC-9588-48F6-9F1C-C599F9201E8D}"/>
            </a:ext>
          </a:extLst>
        </xdr:cNvPr>
        <xdr:cNvSpPr/>
      </xdr:nvSpPr>
      <xdr:spPr>
        <a:xfrm>
          <a:off x="13257942" y="6907329"/>
          <a:ext cx="5349825" cy="2100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1750" cap="flat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24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DAG</a:t>
          </a:r>
        </a:p>
      </xdr:txBody>
    </xdr:sp>
    <xdr:clientData/>
  </xdr:twoCellAnchor>
  <xdr:twoCellAnchor>
    <xdr:from>
      <xdr:col>11</xdr:col>
      <xdr:colOff>402684</xdr:colOff>
      <xdr:row>50</xdr:row>
      <xdr:rowOff>13244</xdr:rowOff>
    </xdr:from>
    <xdr:to>
      <xdr:col>18</xdr:col>
      <xdr:colOff>600025</xdr:colOff>
      <xdr:row>60</xdr:row>
      <xdr:rowOff>693964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C590C52D-26EC-4C15-A72F-D7D8227F3ABB}"/>
            </a:ext>
          </a:extLst>
        </xdr:cNvPr>
        <xdr:cNvSpPr/>
      </xdr:nvSpPr>
      <xdr:spPr>
        <a:xfrm>
          <a:off x="9138470" y="10177780"/>
          <a:ext cx="5544948" cy="272179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1750" cap="flat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24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UCE</a:t>
          </a:r>
        </a:p>
      </xdr:txBody>
    </xdr:sp>
    <xdr:clientData/>
  </xdr:twoCellAnchor>
  <xdr:twoCellAnchor>
    <xdr:from>
      <xdr:col>20</xdr:col>
      <xdr:colOff>346364</xdr:colOff>
      <xdr:row>50</xdr:row>
      <xdr:rowOff>8150</xdr:rowOff>
    </xdr:from>
    <xdr:to>
      <xdr:col>26</xdr:col>
      <xdr:colOff>1728519</xdr:colOff>
      <xdr:row>60</xdr:row>
      <xdr:rowOff>789215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18E23530-43DC-4145-AC8B-CEE4DCF4B15E}"/>
            </a:ext>
          </a:extLst>
        </xdr:cNvPr>
        <xdr:cNvSpPr/>
      </xdr:nvSpPr>
      <xdr:spPr>
        <a:xfrm>
          <a:off x="15953757" y="10172686"/>
          <a:ext cx="5954155" cy="282213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1750" cap="flat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24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División</a:t>
          </a:r>
          <a:r>
            <a:rPr lang="es-CL" sz="2400" b="1" baseline="0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 </a:t>
          </a:r>
          <a:r>
            <a:rPr lang="es-CL" sz="24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Jurídica</a:t>
          </a:r>
        </a:p>
      </xdr:txBody>
    </xdr:sp>
    <xdr:clientData/>
  </xdr:twoCellAnchor>
  <xdr:twoCellAnchor>
    <xdr:from>
      <xdr:col>0</xdr:col>
      <xdr:colOff>277229</xdr:colOff>
      <xdr:row>34</xdr:row>
      <xdr:rowOff>34247</xdr:rowOff>
    </xdr:from>
    <xdr:to>
      <xdr:col>5</xdr:col>
      <xdr:colOff>302559</xdr:colOff>
      <xdr:row>43</xdr:row>
      <xdr:rowOff>56030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8D6EA763-CDB6-4C93-A5F3-EF00047F78EC}"/>
            </a:ext>
          </a:extLst>
        </xdr:cNvPr>
        <xdr:cNvSpPr/>
      </xdr:nvSpPr>
      <xdr:spPr>
        <a:xfrm>
          <a:off x="277229" y="6933068"/>
          <a:ext cx="4189116" cy="185874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1750" cap="flat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24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DEG</a:t>
          </a:r>
        </a:p>
      </xdr:txBody>
    </xdr:sp>
    <xdr:clientData/>
  </xdr:twoCellAnchor>
  <xdr:twoCellAnchor>
    <xdr:from>
      <xdr:col>11</xdr:col>
      <xdr:colOff>316958</xdr:colOff>
      <xdr:row>3</xdr:row>
      <xdr:rowOff>102649</xdr:rowOff>
    </xdr:from>
    <xdr:to>
      <xdr:col>15</xdr:col>
      <xdr:colOff>305051</xdr:colOff>
      <xdr:row>8</xdr:row>
      <xdr:rowOff>142875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6AD3E408-0CC3-4168-A2FF-DAF0F164E18F}"/>
            </a:ext>
          </a:extLst>
        </xdr:cNvPr>
        <xdr:cNvSpPr/>
      </xdr:nvSpPr>
      <xdr:spPr>
        <a:xfrm>
          <a:off x="9032333" y="674149"/>
          <a:ext cx="3036093" cy="9927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1750" cap="flat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24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MINISTERIO DE EDUCACIÓN</a:t>
          </a:r>
        </a:p>
      </xdr:txBody>
    </xdr:sp>
    <xdr:clientData/>
  </xdr:twoCellAnchor>
  <xdr:twoCellAnchor>
    <xdr:from>
      <xdr:col>11</xdr:col>
      <xdr:colOff>327225</xdr:colOff>
      <xdr:row>15</xdr:row>
      <xdr:rowOff>2744</xdr:rowOff>
    </xdr:from>
    <xdr:to>
      <xdr:col>15</xdr:col>
      <xdr:colOff>339131</xdr:colOff>
      <xdr:row>20</xdr:row>
      <xdr:rowOff>61072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2C9F429B-1E41-491C-882F-D08EB8E12AC6}"/>
            </a:ext>
            <a:ext uri="{147F2762-F138-4A5C-976F-8EAC2B608ADB}">
              <a16:predDERef xmlns:a16="http://schemas.microsoft.com/office/drawing/2014/main" pred="{6AD3E408-0CC3-4168-A2FF-DAF0F164E18F}"/>
            </a:ext>
          </a:extLst>
        </xdr:cNvPr>
        <xdr:cNvSpPr/>
      </xdr:nvSpPr>
      <xdr:spPr>
        <a:xfrm>
          <a:off x="9056607" y="3005920"/>
          <a:ext cx="3071112" cy="106685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1750" cap="flat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24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SUBSECRETARÍA DE EDUCACIÓN</a:t>
          </a:r>
        </a:p>
      </xdr:txBody>
    </xdr:sp>
    <xdr:clientData/>
  </xdr:twoCellAnchor>
  <xdr:twoCellAnchor>
    <xdr:from>
      <xdr:col>18</xdr:col>
      <xdr:colOff>434118</xdr:colOff>
      <xdr:row>16</xdr:row>
      <xdr:rowOff>17318</xdr:rowOff>
    </xdr:from>
    <xdr:to>
      <xdr:col>25</xdr:col>
      <xdr:colOff>710046</xdr:colOff>
      <xdr:row>29</xdr:row>
      <xdr:rowOff>155863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10EFCE2F-6C54-4BF6-A3D8-E41BBC51CA9E}"/>
            </a:ext>
          </a:extLst>
        </xdr:cNvPr>
        <xdr:cNvSpPr/>
      </xdr:nvSpPr>
      <xdr:spPr>
        <a:xfrm>
          <a:off x="14513800" y="3290454"/>
          <a:ext cx="5609928" cy="284018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1750" cap="flat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24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Gabinete Subsecretaria</a:t>
          </a:r>
        </a:p>
      </xdr:txBody>
    </xdr:sp>
    <xdr:clientData/>
  </xdr:twoCellAnchor>
  <xdr:twoCellAnchor>
    <xdr:from>
      <xdr:col>2</xdr:col>
      <xdr:colOff>974912</xdr:colOff>
      <xdr:row>7</xdr:row>
      <xdr:rowOff>119291</xdr:rowOff>
    </xdr:from>
    <xdr:to>
      <xdr:col>7</xdr:col>
      <xdr:colOff>112059</xdr:colOff>
      <xdr:row>14</xdr:row>
      <xdr:rowOff>89646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BD710A27-465A-4AC6-9457-FCCAB6DFEF8E}"/>
            </a:ext>
            <a:ext uri="{147F2762-F138-4A5C-976F-8EAC2B608ADB}">
              <a16:predDERef xmlns:a16="http://schemas.microsoft.com/office/drawing/2014/main" pred="{10EFCE2F-6C54-4BF6-A3D8-E41BBC51CA9E}"/>
            </a:ext>
          </a:extLst>
        </xdr:cNvPr>
        <xdr:cNvSpPr/>
      </xdr:nvSpPr>
      <xdr:spPr>
        <a:xfrm>
          <a:off x="1916206" y="1508820"/>
          <a:ext cx="3877235" cy="138229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1750" cap="flat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24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Gabinete Ministro</a:t>
          </a:r>
        </a:p>
      </xdr:txBody>
    </xdr:sp>
    <xdr:clientData/>
  </xdr:twoCellAnchor>
  <xdr:twoCellAnchor>
    <xdr:from>
      <xdr:col>13</xdr:col>
      <xdr:colOff>305402</xdr:colOff>
      <xdr:row>8</xdr:row>
      <xdr:rowOff>142875</xdr:rowOff>
    </xdr:from>
    <xdr:to>
      <xdr:col>13</xdr:col>
      <xdr:colOff>327575</xdr:colOff>
      <xdr:row>15</xdr:row>
      <xdr:rowOff>2744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FE8CC05A-08EA-4B0F-88DF-81F8131E0B57}"/>
            </a:ext>
            <a:ext uri="{147F2762-F138-4A5C-976F-8EAC2B608ADB}">
              <a16:predDERef xmlns:a16="http://schemas.microsoft.com/office/drawing/2014/main" pred="{BD710A27-465A-4AC6-9457-FCCAB6DFEF8E}"/>
            </a:ext>
          </a:extLst>
        </xdr:cNvPr>
        <xdr:cNvCxnSpPr>
          <a:stCxn id="8" idx="2"/>
          <a:endCxn id="9" idx="0"/>
          <a:extLst>
            <a:ext uri="{5F17804C-33F3-41E3-A699-7DCFA2EF7971}">
              <a16:cxnDERefs xmlns:a16="http://schemas.microsoft.com/office/drawing/2014/main" st="{6AD3E408-0CC3-4168-A2FF-DAF0F164E18F}" end="{2C9F429B-1E41-491C-882F-D08EB8E12AC6}"/>
            </a:ext>
          </a:extLst>
        </xdr:cNvCxnSpPr>
      </xdr:nvCxnSpPr>
      <xdr:spPr>
        <a:xfrm>
          <a:off x="10569990" y="1734110"/>
          <a:ext cx="22173" cy="12718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1420586</xdr:colOff>
      <xdr:row>32</xdr:row>
      <xdr:rowOff>52552</xdr:rowOff>
    </xdr:from>
    <xdr:to>
      <xdr:col>24</xdr:col>
      <xdr:colOff>275897</xdr:colOff>
      <xdr:row>32</xdr:row>
      <xdr:rowOff>54428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E0FA50AC-DAC0-4E4D-8596-0B1F1D98AC3C}"/>
            </a:ext>
          </a:extLst>
        </xdr:cNvPr>
        <xdr:cNvCxnSpPr/>
      </xdr:nvCxnSpPr>
      <xdr:spPr>
        <a:xfrm flipV="1">
          <a:off x="2359948" y="6339052"/>
          <a:ext cx="16558673" cy="18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327575</xdr:colOff>
      <xdr:row>20</xdr:row>
      <xdr:rowOff>61072</xdr:rowOff>
    </xdr:from>
    <xdr:to>
      <xdr:col>13</xdr:col>
      <xdr:colOff>347383</xdr:colOff>
      <xdr:row>32</xdr:row>
      <xdr:rowOff>56030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703E19BE-5E1B-4212-A0A3-775EC8D3A0B8}"/>
            </a:ext>
            <a:ext uri="{147F2762-F138-4A5C-976F-8EAC2B608ADB}">
              <a16:predDERef xmlns:a16="http://schemas.microsoft.com/office/drawing/2014/main" pred="{E0FA50AC-DAC0-4E4D-8596-0B1F1D98AC3C}"/>
            </a:ext>
          </a:extLst>
        </xdr:cNvPr>
        <xdr:cNvCxnSpPr>
          <a:stCxn id="9" idx="2"/>
          <a:extLst>
            <a:ext uri="{5F17804C-33F3-41E3-A699-7DCFA2EF7971}">
              <a16:cxnDERefs xmlns:a16="http://schemas.microsoft.com/office/drawing/2014/main" st="{2C9F429B-1E41-491C-882F-D08EB8E12AC6}" end="{00000000-0000-0000-0000-000000000000}"/>
            </a:ext>
          </a:extLst>
        </xdr:cNvCxnSpPr>
      </xdr:nvCxnSpPr>
      <xdr:spPr>
        <a:xfrm>
          <a:off x="10592163" y="4072778"/>
          <a:ext cx="19808" cy="241542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329045</xdr:colOff>
      <xdr:row>22</xdr:row>
      <xdr:rowOff>190500</xdr:rowOff>
    </xdr:from>
    <xdr:to>
      <xdr:col>18</xdr:col>
      <xdr:colOff>434118</xdr:colOff>
      <xdr:row>23</xdr:row>
      <xdr:rowOff>0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14480BC0-4AAD-4899-833F-D4E4592AE272}"/>
            </a:ext>
          </a:extLst>
        </xdr:cNvPr>
        <xdr:cNvCxnSpPr>
          <a:endCxn id="10" idx="1"/>
        </xdr:cNvCxnSpPr>
      </xdr:nvCxnSpPr>
      <xdr:spPr>
        <a:xfrm flipV="1">
          <a:off x="10598727" y="4710545"/>
          <a:ext cx="3915073" cy="1731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112059</xdr:colOff>
      <xdr:row>10</xdr:row>
      <xdr:rowOff>190500</xdr:rowOff>
    </xdr:from>
    <xdr:to>
      <xdr:col>13</xdr:col>
      <xdr:colOff>302559</xdr:colOff>
      <xdr:row>11</xdr:row>
      <xdr:rowOff>3616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8519ABF6-0D9B-4E47-99FA-D3F176332DDA}"/>
            </a:ext>
            <a:ext uri="{147F2762-F138-4A5C-976F-8EAC2B608ADB}">
              <a16:predDERef xmlns:a16="http://schemas.microsoft.com/office/drawing/2014/main" pred="{14480BC0-4AAD-4899-833F-D4E4592AE272}"/>
            </a:ext>
          </a:extLst>
        </xdr:cNvPr>
        <xdr:cNvCxnSpPr>
          <a:stCxn id="11" idx="3"/>
          <a:extLst>
            <a:ext uri="{5F17804C-33F3-41E3-A699-7DCFA2EF7971}">
              <a16:cxnDERefs xmlns:a16="http://schemas.microsoft.com/office/drawing/2014/main" st="{BD710A27-465A-4AC6-9457-FCCAB6DFEF8E}" end="{00000000-0000-0000-0000-000000000000}"/>
            </a:ext>
          </a:extLst>
        </xdr:cNvCxnSpPr>
      </xdr:nvCxnSpPr>
      <xdr:spPr>
        <a:xfrm flipV="1">
          <a:off x="5793441" y="2185147"/>
          <a:ext cx="4773706" cy="1482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1427291</xdr:colOff>
      <xdr:row>32</xdr:row>
      <xdr:rowOff>44824</xdr:rowOff>
    </xdr:from>
    <xdr:to>
      <xdr:col>2</xdr:col>
      <xdr:colOff>1434353</xdr:colOff>
      <xdr:row>34</xdr:row>
      <xdr:rowOff>34247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73D659A6-613D-4AA2-989B-BABDC51936F1}"/>
            </a:ext>
          </a:extLst>
        </xdr:cNvPr>
        <xdr:cNvCxnSpPr>
          <a:endCxn id="7" idx="0"/>
        </xdr:cNvCxnSpPr>
      </xdr:nvCxnSpPr>
      <xdr:spPr>
        <a:xfrm flipH="1">
          <a:off x="2368585" y="6477000"/>
          <a:ext cx="7062" cy="39283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611908</xdr:colOff>
      <xdr:row>32</xdr:row>
      <xdr:rowOff>49696</xdr:rowOff>
    </xdr:from>
    <xdr:to>
      <xdr:col>5</xdr:col>
      <xdr:colOff>621195</xdr:colOff>
      <xdr:row>49</xdr:row>
      <xdr:rowOff>198053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F9587995-B93D-4B55-B473-B57E29DAF6B6}"/>
            </a:ext>
          </a:extLst>
        </xdr:cNvPr>
        <xdr:cNvCxnSpPr>
          <a:endCxn id="3" idx="0"/>
        </xdr:cNvCxnSpPr>
      </xdr:nvCxnSpPr>
      <xdr:spPr>
        <a:xfrm flipH="1">
          <a:off x="4775694" y="6540303"/>
          <a:ext cx="9287" cy="361817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321128</xdr:colOff>
      <xdr:row>32</xdr:row>
      <xdr:rowOff>38100</xdr:rowOff>
    </xdr:from>
    <xdr:to>
      <xdr:col>20</xdr:col>
      <xdr:colOff>325462</xdr:colOff>
      <xdr:row>34</xdr:row>
      <xdr:rowOff>8508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FBD71382-ABD9-4F0F-8FAA-0771D03C5A33}"/>
            </a:ext>
          </a:extLst>
        </xdr:cNvPr>
        <xdr:cNvCxnSpPr>
          <a:endCxn id="4" idx="0"/>
        </xdr:cNvCxnSpPr>
      </xdr:nvCxnSpPr>
      <xdr:spPr>
        <a:xfrm>
          <a:off x="15928521" y="6528707"/>
          <a:ext cx="4334" cy="37862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275442</xdr:colOff>
      <xdr:row>32</xdr:row>
      <xdr:rowOff>39414</xdr:rowOff>
    </xdr:from>
    <xdr:to>
      <xdr:col>24</xdr:col>
      <xdr:colOff>275897</xdr:colOff>
      <xdr:row>50</xdr:row>
      <xdr:rowOff>8150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553D29F5-ED66-4443-BE7A-15D71868467F}"/>
            </a:ext>
          </a:extLst>
        </xdr:cNvPr>
        <xdr:cNvCxnSpPr>
          <a:endCxn id="6" idx="0"/>
        </xdr:cNvCxnSpPr>
      </xdr:nvCxnSpPr>
      <xdr:spPr>
        <a:xfrm flipH="1">
          <a:off x="18930835" y="6530021"/>
          <a:ext cx="455" cy="36426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362956</xdr:colOff>
      <xdr:row>32</xdr:row>
      <xdr:rowOff>88366</xdr:rowOff>
    </xdr:from>
    <xdr:to>
      <xdr:col>9</xdr:col>
      <xdr:colOff>367233</xdr:colOff>
      <xdr:row>34</xdr:row>
      <xdr:rowOff>64443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A31AB616-701E-4D11-9637-C81D576D0072}"/>
            </a:ext>
          </a:extLst>
        </xdr:cNvPr>
        <xdr:cNvCxnSpPr>
          <a:endCxn id="2" idx="0"/>
        </xdr:cNvCxnSpPr>
      </xdr:nvCxnSpPr>
      <xdr:spPr>
        <a:xfrm flipH="1">
          <a:off x="7574742" y="6578973"/>
          <a:ext cx="4277" cy="3842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1079447</xdr:colOff>
          <xdr:row>10</xdr:row>
          <xdr:rowOff>2721</xdr:rowOff>
        </xdr:from>
        <xdr:to>
          <xdr:col>7</xdr:col>
          <xdr:colOff>38100</xdr:colOff>
          <xdr:row>13</xdr:row>
          <xdr:rowOff>97972</xdr:rowOff>
        </xdr:to>
        <xdr:pic>
          <xdr:nvPicPr>
            <xdr:cNvPr id="22" name="Imagen 21">
              <a:extLst>
                <a:ext uri="{FF2B5EF4-FFF2-40B4-BE49-F238E27FC236}">
                  <a16:creationId xmlns:a16="http://schemas.microsoft.com/office/drawing/2014/main" id="{391F0781-EFDA-4B00-B4A9-911BFB4F1B0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a_status_NC!C3:D5" spid="_x0000_s286697"/>
                </a:ext>
              </a:extLst>
            </xdr:cNvPicPr>
          </xdr:nvPicPr>
          <xdr:blipFill rotWithShape="1">
            <a:blip xmlns:r="http://schemas.openxmlformats.org/officeDocument/2006/relationships" r:embed="rId1"/>
            <a:srcRect r="9262"/>
            <a:stretch>
              <a:fillRect/>
            </a:stretch>
          </xdr:blipFill>
          <xdr:spPr bwMode="auto">
            <a:xfrm>
              <a:off x="2012897" y="1974396"/>
              <a:ext cx="3702103" cy="695326"/>
            </a:xfrm>
            <a:prstGeom prst="rect">
              <a:avLst/>
            </a:prstGeom>
            <a:noFill/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337254</xdr:colOff>
          <xdr:row>36</xdr:row>
          <xdr:rowOff>133350</xdr:rowOff>
        </xdr:from>
        <xdr:to>
          <xdr:col>5</xdr:col>
          <xdr:colOff>319733</xdr:colOff>
          <xdr:row>41</xdr:row>
          <xdr:rowOff>171450</xdr:rowOff>
        </xdr:to>
        <xdr:pic>
          <xdr:nvPicPr>
            <xdr:cNvPr id="23" name="Imagen 22">
              <a:extLst>
                <a:ext uri="{FF2B5EF4-FFF2-40B4-BE49-F238E27FC236}">
                  <a16:creationId xmlns:a16="http://schemas.microsoft.com/office/drawing/2014/main" id="{220077D2-3DEF-42C9-90EA-62AED3F314D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a_status_NC!C20:D24" spid="_x0000_s286698"/>
                </a:ext>
              </a:extLst>
            </xdr:cNvPicPr>
          </xdr:nvPicPr>
          <xdr:blipFill rotWithShape="1">
            <a:blip xmlns:r="http://schemas.openxmlformats.org/officeDocument/2006/relationships" r:embed="rId2"/>
            <a:srcRect r="8684"/>
            <a:stretch>
              <a:fillRect/>
            </a:stretch>
          </xdr:blipFill>
          <xdr:spPr bwMode="auto">
            <a:xfrm>
              <a:off x="337254" y="7440386"/>
              <a:ext cx="4146265" cy="105863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652084</xdr:colOff>
          <xdr:row>18</xdr:row>
          <xdr:rowOff>117223</xdr:rowOff>
        </xdr:from>
        <xdr:to>
          <xdr:col>25</xdr:col>
          <xdr:colOff>484909</xdr:colOff>
          <xdr:row>28</xdr:row>
          <xdr:rowOff>176892</xdr:rowOff>
        </xdr:to>
        <xdr:pic>
          <xdr:nvPicPr>
            <xdr:cNvPr id="24" name="Imagen 23">
              <a:extLst>
                <a:ext uri="{FF2B5EF4-FFF2-40B4-BE49-F238E27FC236}">
                  <a16:creationId xmlns:a16="http://schemas.microsoft.com/office/drawing/2014/main" id="{0C358C81-E735-4AF4-B9CE-05A0EACB4BC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a_status_NC!C7:D13" spid="_x0000_s286699"/>
                </a:ext>
              </a:extLst>
            </xdr:cNvPicPr>
          </xdr:nvPicPr>
          <xdr:blipFill rotWithShape="1">
            <a:blip xmlns:r="http://schemas.openxmlformats.org/officeDocument/2006/relationships" r:embed="rId3"/>
            <a:srcRect r="9677"/>
            <a:stretch>
              <a:fillRect/>
            </a:stretch>
          </xdr:blipFill>
          <xdr:spPr bwMode="auto">
            <a:xfrm>
              <a:off x="14735477" y="3750330"/>
              <a:ext cx="5316503" cy="210074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512091</xdr:colOff>
          <xdr:row>37</xdr:row>
          <xdr:rowOff>1</xdr:rowOff>
        </xdr:from>
        <xdr:to>
          <xdr:col>12</xdr:col>
          <xdr:colOff>294408</xdr:colOff>
          <xdr:row>41</xdr:row>
          <xdr:rowOff>149679</xdr:rowOff>
        </xdr:to>
        <xdr:pic>
          <xdr:nvPicPr>
            <xdr:cNvPr id="25" name="Imagen 24">
              <a:extLst>
                <a:ext uri="{FF2B5EF4-FFF2-40B4-BE49-F238E27FC236}">
                  <a16:creationId xmlns:a16="http://schemas.microsoft.com/office/drawing/2014/main" id="{9D87651F-7764-4A43-B6F9-C320F902BF9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a_status_NC!C15:D18" spid="_x0000_s286700"/>
                </a:ext>
              </a:extLst>
            </xdr:cNvPicPr>
          </xdr:nvPicPr>
          <xdr:blipFill rotWithShape="1">
            <a:blip xmlns:r="http://schemas.openxmlformats.org/officeDocument/2006/relationships" r:embed="rId4"/>
            <a:srcRect r="8546"/>
            <a:stretch>
              <a:fillRect/>
            </a:stretch>
          </xdr:blipFill>
          <xdr:spPr bwMode="auto">
            <a:xfrm>
              <a:off x="5437877" y="7511144"/>
              <a:ext cx="4367924" cy="96610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1391005</xdr:colOff>
          <xdr:row>52</xdr:row>
          <xdr:rowOff>191706</xdr:rowOff>
        </xdr:from>
        <xdr:to>
          <xdr:col>9</xdr:col>
          <xdr:colOff>163285</xdr:colOff>
          <xdr:row>60</xdr:row>
          <xdr:rowOff>830037</xdr:rowOff>
        </xdr:to>
        <xdr:pic>
          <xdr:nvPicPr>
            <xdr:cNvPr id="26" name="Imagen 25">
              <a:extLst>
                <a:ext uri="{FF2B5EF4-FFF2-40B4-BE49-F238E27FC236}">
                  <a16:creationId xmlns:a16="http://schemas.microsoft.com/office/drawing/2014/main" id="{D5A87241-E629-486B-A53A-03BF6F237D6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a_status_NC!C26:D33" spid="_x0000_s286701"/>
                </a:ext>
              </a:extLst>
            </xdr:cNvPicPr>
          </xdr:nvPicPr>
          <xdr:blipFill rotWithShape="1">
            <a:blip xmlns:r="http://schemas.openxmlformats.org/officeDocument/2006/relationships" r:embed="rId5"/>
            <a:srcRect r="9939"/>
            <a:stretch>
              <a:fillRect/>
            </a:stretch>
          </xdr:blipFill>
          <xdr:spPr bwMode="auto">
            <a:xfrm>
              <a:off x="2329898" y="10764456"/>
              <a:ext cx="5045173" cy="227118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167784</xdr:colOff>
          <xdr:row>37</xdr:row>
          <xdr:rowOff>18047</xdr:rowOff>
        </xdr:from>
        <xdr:to>
          <xdr:col>23</xdr:col>
          <xdr:colOff>383807</xdr:colOff>
          <xdr:row>43</xdr:row>
          <xdr:rowOff>136072</xdr:rowOff>
        </xdr:to>
        <xdr:pic>
          <xdr:nvPicPr>
            <xdr:cNvPr id="27" name="Imagen 26">
              <a:extLst>
                <a:ext uri="{FF2B5EF4-FFF2-40B4-BE49-F238E27FC236}">
                  <a16:creationId xmlns:a16="http://schemas.microsoft.com/office/drawing/2014/main" id="{5D721D99-C231-40FC-A4AE-89DCF8CA7A4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a_status_NC!C35:D39" spid="_x0000_s286702"/>
                </a:ext>
              </a:extLst>
            </xdr:cNvPicPr>
          </xdr:nvPicPr>
          <xdr:blipFill rotWithShape="1">
            <a:blip xmlns:r="http://schemas.openxmlformats.org/officeDocument/2006/relationships" r:embed="rId6"/>
            <a:srcRect r="9481"/>
            <a:stretch>
              <a:fillRect/>
            </a:stretch>
          </xdr:blipFill>
          <xdr:spPr bwMode="auto">
            <a:xfrm>
              <a:off x="13489177" y="7529190"/>
              <a:ext cx="4937701" cy="134266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610719</xdr:colOff>
          <xdr:row>53</xdr:row>
          <xdr:rowOff>33985</xdr:rowOff>
        </xdr:from>
        <xdr:to>
          <xdr:col>18</xdr:col>
          <xdr:colOff>456755</xdr:colOff>
          <xdr:row>60</xdr:row>
          <xdr:rowOff>476251</xdr:rowOff>
        </xdr:to>
        <xdr:pic>
          <xdr:nvPicPr>
            <xdr:cNvPr id="28" name="Imagen 27">
              <a:extLst>
                <a:ext uri="{FF2B5EF4-FFF2-40B4-BE49-F238E27FC236}">
                  <a16:creationId xmlns:a16="http://schemas.microsoft.com/office/drawing/2014/main" id="{9473013A-66B9-4250-A5FA-3BFE778915D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a_status_NC!C41:D46" spid="_x0000_s286703"/>
                </a:ext>
              </a:extLst>
            </xdr:cNvPicPr>
          </xdr:nvPicPr>
          <xdr:blipFill rotWithShape="1">
            <a:blip xmlns:r="http://schemas.openxmlformats.org/officeDocument/2006/relationships" r:embed="rId7"/>
            <a:srcRect r="9731"/>
            <a:stretch>
              <a:fillRect/>
            </a:stretch>
          </xdr:blipFill>
          <xdr:spPr bwMode="auto">
            <a:xfrm>
              <a:off x="9346505" y="10810842"/>
              <a:ext cx="5193643" cy="187101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550478</xdr:colOff>
          <xdr:row>53</xdr:row>
          <xdr:rowOff>47760</xdr:rowOff>
        </xdr:from>
        <xdr:to>
          <xdr:col>26</xdr:col>
          <xdr:colOff>1578427</xdr:colOff>
          <xdr:row>60</xdr:row>
          <xdr:rowOff>625929</xdr:rowOff>
        </xdr:to>
        <xdr:pic>
          <xdr:nvPicPr>
            <xdr:cNvPr id="29" name="Imagen 28">
              <a:extLst>
                <a:ext uri="{FF2B5EF4-FFF2-40B4-BE49-F238E27FC236}">
                  <a16:creationId xmlns:a16="http://schemas.microsoft.com/office/drawing/2014/main" id="{0BD8BBAE-A411-4EDA-8B37-99E18333D6A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a_status_NC!C48:D54" spid="_x0000_s286704"/>
                </a:ext>
              </a:extLst>
            </xdr:cNvPicPr>
          </xdr:nvPicPr>
          <xdr:blipFill rotWithShape="1">
            <a:blip xmlns:r="http://schemas.openxmlformats.org/officeDocument/2006/relationships" r:embed="rId8"/>
            <a:srcRect r="8242"/>
            <a:stretch>
              <a:fillRect/>
            </a:stretch>
          </xdr:blipFill>
          <xdr:spPr bwMode="auto">
            <a:xfrm>
              <a:off x="16157871" y="10824617"/>
              <a:ext cx="5599949" cy="200691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15</xdr:col>
      <xdr:colOff>85397</xdr:colOff>
      <xdr:row>32</xdr:row>
      <xdr:rowOff>45983</xdr:rowOff>
    </xdr:from>
    <xdr:to>
      <xdr:col>15</xdr:col>
      <xdr:colOff>113551</xdr:colOff>
      <xdr:row>50</xdr:row>
      <xdr:rowOff>13244</xdr:rowOff>
    </xdr:to>
    <xdr:cxnSp macro="">
      <xdr:nvCxnSpPr>
        <xdr:cNvPr id="30" name="Conector recto 29">
          <a:extLst>
            <a:ext uri="{FF2B5EF4-FFF2-40B4-BE49-F238E27FC236}">
              <a16:creationId xmlns:a16="http://schemas.microsoft.com/office/drawing/2014/main" id="{D05D420D-E99C-4412-8CB5-10A604A2D4D8}"/>
            </a:ext>
          </a:extLst>
        </xdr:cNvPr>
        <xdr:cNvCxnSpPr>
          <a:endCxn id="5" idx="0"/>
        </xdr:cNvCxnSpPr>
      </xdr:nvCxnSpPr>
      <xdr:spPr>
        <a:xfrm>
          <a:off x="11882790" y="6536590"/>
          <a:ext cx="28154" cy="36411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857250</xdr:colOff>
      <xdr:row>6</xdr:row>
      <xdr:rowOff>77824</xdr:rowOff>
    </xdr:from>
    <xdr:to>
      <xdr:col>13</xdr:col>
      <xdr:colOff>28575</xdr:colOff>
      <xdr:row>7</xdr:row>
      <xdr:rowOff>278325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D306E9A3-F9D6-41C3-B2FA-4E975B641C44}"/>
            </a:ext>
          </a:extLst>
        </xdr:cNvPr>
        <xdr:cNvSpPr/>
      </xdr:nvSpPr>
      <xdr:spPr>
        <a:xfrm>
          <a:off x="8610600" y="2097124"/>
          <a:ext cx="6238875" cy="295751"/>
        </a:xfrm>
        <a:prstGeom prst="rect">
          <a:avLst/>
        </a:prstGeom>
        <a:solidFill>
          <a:srgbClr val="002060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REGIONES</a:t>
          </a:r>
        </a:p>
      </xdr:txBody>
    </xdr:sp>
    <xdr:clientData/>
  </xdr:twoCellAnchor>
  <xdr:twoCellAnchor>
    <xdr:from>
      <xdr:col>1</xdr:col>
      <xdr:colOff>476249</xdr:colOff>
      <xdr:row>6</xdr:row>
      <xdr:rowOff>78358</xdr:rowOff>
    </xdr:from>
    <xdr:to>
      <xdr:col>6</xdr:col>
      <xdr:colOff>1314449</xdr:colOff>
      <xdr:row>7</xdr:row>
      <xdr:rowOff>271096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FDB5822F-4C01-4938-ADF5-11657BE7D0BC}"/>
            </a:ext>
          </a:extLst>
        </xdr:cNvPr>
        <xdr:cNvSpPr/>
      </xdr:nvSpPr>
      <xdr:spPr>
        <a:xfrm>
          <a:off x="714374" y="2097658"/>
          <a:ext cx="7038975" cy="287988"/>
        </a:xfrm>
        <a:prstGeom prst="rect">
          <a:avLst/>
        </a:prstGeom>
        <a:solidFill>
          <a:srgbClr val="002060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NIVEL CENTRAL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670098</xdr:colOff>
      <xdr:row>0</xdr:row>
      <xdr:rowOff>0</xdr:rowOff>
    </xdr:from>
    <xdr:to>
      <xdr:col>3</xdr:col>
      <xdr:colOff>148077</xdr:colOff>
      <xdr:row>4</xdr:row>
      <xdr:rowOff>77703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34262BA-5E96-B154-472B-1721A1598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098" y="0"/>
          <a:ext cx="4777343" cy="149779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67237</xdr:colOff>
      <xdr:row>5</xdr:row>
      <xdr:rowOff>56027</xdr:rowOff>
    </xdr:from>
    <xdr:to>
      <xdr:col>7</xdr:col>
      <xdr:colOff>224743</xdr:colOff>
      <xdr:row>7</xdr:row>
      <xdr:rowOff>168089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710767F-7EA1-428C-B99A-5B4466F02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45943" y="1344703"/>
          <a:ext cx="863476" cy="818033"/>
        </a:xfrm>
        <a:prstGeom prst="rect">
          <a:avLst/>
        </a:prstGeom>
      </xdr:spPr>
    </xdr:pic>
    <xdr:clientData/>
  </xdr:twoCellAnchor>
  <xdr:twoCellAnchor editAs="oneCell">
    <xdr:from>
      <xdr:col>12</xdr:col>
      <xdr:colOff>89648</xdr:colOff>
      <xdr:row>5</xdr:row>
      <xdr:rowOff>67234</xdr:rowOff>
    </xdr:from>
    <xdr:to>
      <xdr:col>13</xdr:col>
      <xdr:colOff>534701</xdr:colOff>
      <xdr:row>7</xdr:row>
      <xdr:rowOff>168088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E266B73B-8A91-49A4-8173-CD05EC5B4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20736" y="1344705"/>
          <a:ext cx="848466" cy="806823"/>
        </a:xfrm>
        <a:prstGeom prst="rect">
          <a:avLst/>
        </a:prstGeom>
      </xdr:spPr>
    </xdr:pic>
    <xdr:clientData/>
  </xdr:twoCellAnchor>
  <xdr:twoCellAnchor editAs="oneCell">
    <xdr:from>
      <xdr:col>17</xdr:col>
      <xdr:colOff>89648</xdr:colOff>
      <xdr:row>5</xdr:row>
      <xdr:rowOff>78440</xdr:rowOff>
    </xdr:from>
    <xdr:to>
      <xdr:col>17</xdr:col>
      <xdr:colOff>840442</xdr:colOff>
      <xdr:row>7</xdr:row>
      <xdr:rowOff>133274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CA5DF901-1BD5-4C05-95C8-EF7A9E418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057530" y="1367116"/>
          <a:ext cx="750794" cy="760805"/>
        </a:xfrm>
        <a:prstGeom prst="rect">
          <a:avLst/>
        </a:prstGeom>
      </xdr:spPr>
    </xdr:pic>
    <xdr:clientData/>
  </xdr:twoCellAnchor>
  <xdr:twoCellAnchor editAs="oneCell">
    <xdr:from>
      <xdr:col>21</xdr:col>
      <xdr:colOff>246528</xdr:colOff>
      <xdr:row>5</xdr:row>
      <xdr:rowOff>67236</xdr:rowOff>
    </xdr:from>
    <xdr:to>
      <xdr:col>23</xdr:col>
      <xdr:colOff>168088</xdr:colOff>
      <xdr:row>7</xdr:row>
      <xdr:rowOff>201706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ED2878BD-81F3-4D68-B769-9834A05B2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870204" y="1355912"/>
          <a:ext cx="997326" cy="840441"/>
        </a:xfrm>
        <a:prstGeom prst="rect">
          <a:avLst/>
        </a:prstGeom>
      </xdr:spPr>
    </xdr:pic>
    <xdr:clientData/>
  </xdr:twoCellAnchor>
  <xdr:twoCellAnchor editAs="oneCell">
    <xdr:from>
      <xdr:col>6</xdr:col>
      <xdr:colOff>59926</xdr:colOff>
      <xdr:row>25</xdr:row>
      <xdr:rowOff>63825</xdr:rowOff>
    </xdr:from>
    <xdr:to>
      <xdr:col>7</xdr:col>
      <xdr:colOff>128293</xdr:colOff>
      <xdr:row>27</xdr:row>
      <xdr:rowOff>10350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5E5D39A3-4675-421C-9418-5D3B57F11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503796" y="7774934"/>
          <a:ext cx="772389" cy="832645"/>
        </a:xfrm>
        <a:prstGeom prst="rect">
          <a:avLst/>
        </a:prstGeom>
      </xdr:spPr>
    </xdr:pic>
    <xdr:clientData/>
  </xdr:twoCellAnchor>
  <xdr:twoCellAnchor editAs="oneCell">
    <xdr:from>
      <xdr:col>6</xdr:col>
      <xdr:colOff>63395</xdr:colOff>
      <xdr:row>30</xdr:row>
      <xdr:rowOff>81644</xdr:rowOff>
    </xdr:from>
    <xdr:to>
      <xdr:col>7</xdr:col>
      <xdr:colOff>136071</xdr:colOff>
      <xdr:row>33</xdr:row>
      <xdr:rowOff>147442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D6D091CE-84A5-400A-A0F7-83E6538FF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90074" y="8259537"/>
          <a:ext cx="780248" cy="950262"/>
        </a:xfrm>
        <a:prstGeom prst="rect">
          <a:avLst/>
        </a:prstGeom>
      </xdr:spPr>
    </xdr:pic>
    <xdr:clientData/>
  </xdr:twoCellAnchor>
  <xdr:twoCellAnchor editAs="oneCell">
    <xdr:from>
      <xdr:col>6</xdr:col>
      <xdr:colOff>58350</xdr:colOff>
      <xdr:row>36</xdr:row>
      <xdr:rowOff>100280</xdr:rowOff>
    </xdr:from>
    <xdr:to>
      <xdr:col>7</xdr:col>
      <xdr:colOff>231320</xdr:colOff>
      <xdr:row>40</xdr:row>
      <xdr:rowOff>71038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9A122AFB-5ECA-4371-8246-7CCE8296D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85029" y="9693316"/>
          <a:ext cx="880542" cy="868830"/>
        </a:xfrm>
        <a:prstGeom prst="rect">
          <a:avLst/>
        </a:prstGeom>
      </xdr:spPr>
    </xdr:pic>
    <xdr:clientData/>
  </xdr:twoCellAnchor>
  <xdr:twoCellAnchor editAs="oneCell">
    <xdr:from>
      <xdr:col>6</xdr:col>
      <xdr:colOff>42943</xdr:colOff>
      <xdr:row>42</xdr:row>
      <xdr:rowOff>217714</xdr:rowOff>
    </xdr:from>
    <xdr:to>
      <xdr:col>7</xdr:col>
      <xdr:colOff>354831</xdr:colOff>
      <xdr:row>46</xdr:row>
      <xdr:rowOff>36443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B02E3C5-9192-4FDE-AE7E-09E40DD69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669622" y="11021785"/>
          <a:ext cx="1019460" cy="866479"/>
        </a:xfrm>
        <a:prstGeom prst="rect">
          <a:avLst/>
        </a:prstGeom>
      </xdr:spPr>
    </xdr:pic>
    <xdr:clientData/>
  </xdr:twoCellAnchor>
  <xdr:twoCellAnchor editAs="oneCell">
    <xdr:from>
      <xdr:col>11</xdr:col>
      <xdr:colOff>147312</xdr:colOff>
      <xdr:row>42</xdr:row>
      <xdr:rowOff>258535</xdr:rowOff>
    </xdr:from>
    <xdr:to>
      <xdr:col>14</xdr:col>
      <xdr:colOff>217715</xdr:colOff>
      <xdr:row>46</xdr:row>
      <xdr:rowOff>142840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239DA952-8B3B-4535-95CB-CA49A0099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345741" y="11062606"/>
          <a:ext cx="1240618" cy="932055"/>
        </a:xfrm>
        <a:prstGeom prst="rect">
          <a:avLst/>
        </a:prstGeom>
      </xdr:spPr>
    </xdr:pic>
    <xdr:clientData/>
  </xdr:twoCellAnchor>
  <xdr:twoCellAnchor>
    <xdr:from>
      <xdr:col>0</xdr:col>
      <xdr:colOff>161925</xdr:colOff>
      <xdr:row>23</xdr:row>
      <xdr:rowOff>149678</xdr:rowOff>
    </xdr:from>
    <xdr:to>
      <xdr:col>5</xdr:col>
      <xdr:colOff>38100</xdr:colOff>
      <xdr:row>46</xdr:row>
      <xdr:rowOff>242206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A231206B-12F9-43B2-AE62-4B9426FB12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390524</xdr:colOff>
      <xdr:row>0</xdr:row>
      <xdr:rowOff>157161</xdr:rowOff>
    </xdr:from>
    <xdr:to>
      <xdr:col>15</xdr:col>
      <xdr:colOff>476249</xdr:colOff>
      <xdr:row>22</xdr:row>
      <xdr:rowOff>28574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6AFEBE4-97CF-4C91-8135-5CF1484AE3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28575</xdr:colOff>
      <xdr:row>25</xdr:row>
      <xdr:rowOff>19050</xdr:rowOff>
    </xdr:from>
    <xdr:to>
      <xdr:col>9</xdr:col>
      <xdr:colOff>352425</xdr:colOff>
      <xdr:row>29</xdr:row>
      <xdr:rowOff>152400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E6F9721C-0AFE-485C-941C-083E5EE22103}"/>
            </a:ext>
          </a:extLst>
        </xdr:cNvPr>
        <xdr:cNvSpPr/>
      </xdr:nvSpPr>
      <xdr:spPr>
        <a:xfrm>
          <a:off x="11134725" y="4781550"/>
          <a:ext cx="1085850" cy="89535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14</xdr:col>
      <xdr:colOff>85725</xdr:colOff>
      <xdr:row>25</xdr:row>
      <xdr:rowOff>19050</xdr:rowOff>
    </xdr:from>
    <xdr:to>
      <xdr:col>15</xdr:col>
      <xdr:colOff>409575</xdr:colOff>
      <xdr:row>29</xdr:row>
      <xdr:rowOff>152400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C88C6617-3CA0-41D6-83E9-2C8D8BAEAB3D}"/>
            </a:ext>
          </a:extLst>
        </xdr:cNvPr>
        <xdr:cNvSpPr/>
      </xdr:nvSpPr>
      <xdr:spPr>
        <a:xfrm>
          <a:off x="15763875" y="4781550"/>
          <a:ext cx="1085850" cy="8953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12</xdr:col>
      <xdr:colOff>457200</xdr:colOff>
      <xdr:row>25</xdr:row>
      <xdr:rowOff>19050</xdr:rowOff>
    </xdr:from>
    <xdr:to>
      <xdr:col>14</xdr:col>
      <xdr:colOff>19050</xdr:colOff>
      <xdr:row>29</xdr:row>
      <xdr:rowOff>152400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25DE157E-92B7-45FA-B1E6-E43EEA74BF0B}"/>
            </a:ext>
          </a:extLst>
        </xdr:cNvPr>
        <xdr:cNvSpPr/>
      </xdr:nvSpPr>
      <xdr:spPr>
        <a:xfrm>
          <a:off x="14611350" y="4781550"/>
          <a:ext cx="1085850" cy="8953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11</xdr:col>
      <xdr:colOff>66675</xdr:colOff>
      <xdr:row>25</xdr:row>
      <xdr:rowOff>19050</xdr:rowOff>
    </xdr:from>
    <xdr:to>
      <xdr:col>12</xdr:col>
      <xdr:colOff>390525</xdr:colOff>
      <xdr:row>29</xdr:row>
      <xdr:rowOff>152400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5745AB06-2228-48F4-85CC-8157CEACE498}"/>
            </a:ext>
          </a:extLst>
        </xdr:cNvPr>
        <xdr:cNvSpPr/>
      </xdr:nvSpPr>
      <xdr:spPr>
        <a:xfrm>
          <a:off x="13458825" y="4781550"/>
          <a:ext cx="1085850" cy="8953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9</xdr:col>
      <xdr:colOff>428625</xdr:colOff>
      <xdr:row>25</xdr:row>
      <xdr:rowOff>19050</xdr:rowOff>
    </xdr:from>
    <xdr:to>
      <xdr:col>10</xdr:col>
      <xdr:colOff>752475</xdr:colOff>
      <xdr:row>29</xdr:row>
      <xdr:rowOff>152400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51BA4027-9376-4515-AAE9-5159BA69C71C}"/>
            </a:ext>
          </a:extLst>
        </xdr:cNvPr>
        <xdr:cNvSpPr/>
      </xdr:nvSpPr>
      <xdr:spPr>
        <a:xfrm>
          <a:off x="12296775" y="4781550"/>
          <a:ext cx="1085850" cy="89535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8</xdr:col>
      <xdr:colOff>47625</xdr:colOff>
      <xdr:row>30</xdr:row>
      <xdr:rowOff>47625</xdr:rowOff>
    </xdr:from>
    <xdr:to>
      <xdr:col>9</xdr:col>
      <xdr:colOff>371475</xdr:colOff>
      <xdr:row>34</xdr:row>
      <xdr:rowOff>180975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F702B556-E9CA-4E44-83A3-F6BCCD71673E}"/>
            </a:ext>
          </a:extLst>
        </xdr:cNvPr>
        <xdr:cNvSpPr/>
      </xdr:nvSpPr>
      <xdr:spPr>
        <a:xfrm>
          <a:off x="11153775" y="5762625"/>
          <a:ext cx="1085850" cy="89535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14</xdr:col>
      <xdr:colOff>104775</xdr:colOff>
      <xdr:row>30</xdr:row>
      <xdr:rowOff>47625</xdr:rowOff>
    </xdr:from>
    <xdr:to>
      <xdr:col>15</xdr:col>
      <xdr:colOff>428625</xdr:colOff>
      <xdr:row>34</xdr:row>
      <xdr:rowOff>180975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B5133DC1-EEB0-4F0B-A47C-EA74B4B48D58}"/>
            </a:ext>
          </a:extLst>
        </xdr:cNvPr>
        <xdr:cNvSpPr/>
      </xdr:nvSpPr>
      <xdr:spPr>
        <a:xfrm>
          <a:off x="15782925" y="5762625"/>
          <a:ext cx="1085850" cy="8953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12</xdr:col>
      <xdr:colOff>476250</xdr:colOff>
      <xdr:row>30</xdr:row>
      <xdr:rowOff>47625</xdr:rowOff>
    </xdr:from>
    <xdr:to>
      <xdr:col>14</xdr:col>
      <xdr:colOff>38100</xdr:colOff>
      <xdr:row>34</xdr:row>
      <xdr:rowOff>180975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E5E98052-D3C6-46BA-AF1E-624754A63133}"/>
            </a:ext>
          </a:extLst>
        </xdr:cNvPr>
        <xdr:cNvSpPr/>
      </xdr:nvSpPr>
      <xdr:spPr>
        <a:xfrm>
          <a:off x="14630400" y="5762625"/>
          <a:ext cx="1085850" cy="8953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11</xdr:col>
      <xdr:colOff>85725</xdr:colOff>
      <xdr:row>30</xdr:row>
      <xdr:rowOff>47625</xdr:rowOff>
    </xdr:from>
    <xdr:to>
      <xdr:col>12</xdr:col>
      <xdr:colOff>409575</xdr:colOff>
      <xdr:row>34</xdr:row>
      <xdr:rowOff>180975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AD13550B-F7AD-42DD-AFA8-A4313AA7750E}"/>
            </a:ext>
          </a:extLst>
        </xdr:cNvPr>
        <xdr:cNvSpPr/>
      </xdr:nvSpPr>
      <xdr:spPr>
        <a:xfrm>
          <a:off x="13477875" y="5762625"/>
          <a:ext cx="1085850" cy="89535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9</xdr:col>
      <xdr:colOff>447675</xdr:colOff>
      <xdr:row>30</xdr:row>
      <xdr:rowOff>47625</xdr:rowOff>
    </xdr:from>
    <xdr:to>
      <xdr:col>11</xdr:col>
      <xdr:colOff>9525</xdr:colOff>
      <xdr:row>34</xdr:row>
      <xdr:rowOff>180975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D46717E2-C714-40F8-9D9A-C74308C36C50}"/>
            </a:ext>
          </a:extLst>
        </xdr:cNvPr>
        <xdr:cNvSpPr/>
      </xdr:nvSpPr>
      <xdr:spPr>
        <a:xfrm>
          <a:off x="12315825" y="5762625"/>
          <a:ext cx="1085850" cy="89535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8</xdr:col>
      <xdr:colOff>57150</xdr:colOff>
      <xdr:row>35</xdr:row>
      <xdr:rowOff>66675</xdr:rowOff>
    </xdr:from>
    <xdr:to>
      <xdr:col>9</xdr:col>
      <xdr:colOff>381000</xdr:colOff>
      <xdr:row>40</xdr:row>
      <xdr:rowOff>9525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2CBD14C1-4353-4DCE-BC38-75E3F87180C9}"/>
            </a:ext>
          </a:extLst>
        </xdr:cNvPr>
        <xdr:cNvSpPr/>
      </xdr:nvSpPr>
      <xdr:spPr>
        <a:xfrm>
          <a:off x="11163300" y="6734175"/>
          <a:ext cx="1085850" cy="89535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14</xdr:col>
      <xdr:colOff>114300</xdr:colOff>
      <xdr:row>35</xdr:row>
      <xdr:rowOff>66675</xdr:rowOff>
    </xdr:from>
    <xdr:to>
      <xdr:col>15</xdr:col>
      <xdr:colOff>438150</xdr:colOff>
      <xdr:row>40</xdr:row>
      <xdr:rowOff>9525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D4B2107A-8AD2-41B5-8FED-F29FA4B070FE}"/>
            </a:ext>
          </a:extLst>
        </xdr:cNvPr>
        <xdr:cNvSpPr/>
      </xdr:nvSpPr>
      <xdr:spPr>
        <a:xfrm>
          <a:off x="15792450" y="6734175"/>
          <a:ext cx="1085850" cy="8953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12</xdr:col>
      <xdr:colOff>485775</xdr:colOff>
      <xdr:row>35</xdr:row>
      <xdr:rowOff>66675</xdr:rowOff>
    </xdr:from>
    <xdr:to>
      <xdr:col>14</xdr:col>
      <xdr:colOff>47625</xdr:colOff>
      <xdr:row>40</xdr:row>
      <xdr:rowOff>9525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D153BCEE-3F75-44EE-B90F-68240903C9CE}"/>
            </a:ext>
          </a:extLst>
        </xdr:cNvPr>
        <xdr:cNvSpPr/>
      </xdr:nvSpPr>
      <xdr:spPr>
        <a:xfrm>
          <a:off x="14639925" y="6734175"/>
          <a:ext cx="1085850" cy="8953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11</xdr:col>
      <xdr:colOff>95250</xdr:colOff>
      <xdr:row>35</xdr:row>
      <xdr:rowOff>66675</xdr:rowOff>
    </xdr:from>
    <xdr:to>
      <xdr:col>12</xdr:col>
      <xdr:colOff>419100</xdr:colOff>
      <xdr:row>40</xdr:row>
      <xdr:rowOff>9525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F415B48F-5F3E-4C4C-BA95-F014EF185969}"/>
            </a:ext>
          </a:extLst>
        </xdr:cNvPr>
        <xdr:cNvSpPr/>
      </xdr:nvSpPr>
      <xdr:spPr>
        <a:xfrm>
          <a:off x="13487400" y="6734175"/>
          <a:ext cx="1085850" cy="89535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9</xdr:col>
      <xdr:colOff>457200</xdr:colOff>
      <xdr:row>35</xdr:row>
      <xdr:rowOff>66675</xdr:rowOff>
    </xdr:from>
    <xdr:to>
      <xdr:col>11</xdr:col>
      <xdr:colOff>19050</xdr:colOff>
      <xdr:row>40</xdr:row>
      <xdr:rowOff>9525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149C856A-0CEE-4366-A439-538335CB8F7C}"/>
            </a:ext>
          </a:extLst>
        </xdr:cNvPr>
        <xdr:cNvSpPr/>
      </xdr:nvSpPr>
      <xdr:spPr>
        <a:xfrm>
          <a:off x="12325350" y="6734175"/>
          <a:ext cx="1085850" cy="89535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8</xdr:col>
      <xdr:colOff>47625</xdr:colOff>
      <xdr:row>40</xdr:row>
      <xdr:rowOff>76200</xdr:rowOff>
    </xdr:from>
    <xdr:to>
      <xdr:col>9</xdr:col>
      <xdr:colOff>371475</xdr:colOff>
      <xdr:row>45</xdr:row>
      <xdr:rowOff>19050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50F6CE07-C2C5-42AF-9AD1-E58DD63FEE14}"/>
            </a:ext>
          </a:extLst>
        </xdr:cNvPr>
        <xdr:cNvSpPr/>
      </xdr:nvSpPr>
      <xdr:spPr>
        <a:xfrm>
          <a:off x="11153775" y="7696200"/>
          <a:ext cx="1085850" cy="89535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14</xdr:col>
      <xdr:colOff>104775</xdr:colOff>
      <xdr:row>40</xdr:row>
      <xdr:rowOff>76200</xdr:rowOff>
    </xdr:from>
    <xdr:to>
      <xdr:col>15</xdr:col>
      <xdr:colOff>428625</xdr:colOff>
      <xdr:row>45</xdr:row>
      <xdr:rowOff>19050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6CE7472A-B473-460C-BA54-3734D1B695B3}"/>
            </a:ext>
          </a:extLst>
        </xdr:cNvPr>
        <xdr:cNvSpPr/>
      </xdr:nvSpPr>
      <xdr:spPr>
        <a:xfrm>
          <a:off x="15782925" y="7696200"/>
          <a:ext cx="1085850" cy="8953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12</xdr:col>
      <xdr:colOff>476250</xdr:colOff>
      <xdr:row>40</xdr:row>
      <xdr:rowOff>76200</xdr:rowOff>
    </xdr:from>
    <xdr:to>
      <xdr:col>14</xdr:col>
      <xdr:colOff>38100</xdr:colOff>
      <xdr:row>45</xdr:row>
      <xdr:rowOff>19050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10BDC5AE-9233-4912-8456-596CED24C42E}"/>
            </a:ext>
          </a:extLst>
        </xdr:cNvPr>
        <xdr:cNvSpPr/>
      </xdr:nvSpPr>
      <xdr:spPr>
        <a:xfrm>
          <a:off x="14630400" y="7696200"/>
          <a:ext cx="1085850" cy="89535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11</xdr:col>
      <xdr:colOff>85725</xdr:colOff>
      <xdr:row>40</xdr:row>
      <xdr:rowOff>76200</xdr:rowOff>
    </xdr:from>
    <xdr:to>
      <xdr:col>12</xdr:col>
      <xdr:colOff>409575</xdr:colOff>
      <xdr:row>45</xdr:row>
      <xdr:rowOff>19050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9982F325-ED85-4E95-94DA-E9335BED9EFF}"/>
            </a:ext>
          </a:extLst>
        </xdr:cNvPr>
        <xdr:cNvSpPr/>
      </xdr:nvSpPr>
      <xdr:spPr>
        <a:xfrm>
          <a:off x="13477875" y="7696200"/>
          <a:ext cx="1085850" cy="89535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9</xdr:col>
      <xdr:colOff>447675</xdr:colOff>
      <xdr:row>40</xdr:row>
      <xdr:rowOff>76200</xdr:rowOff>
    </xdr:from>
    <xdr:to>
      <xdr:col>11</xdr:col>
      <xdr:colOff>9525</xdr:colOff>
      <xdr:row>45</xdr:row>
      <xdr:rowOff>19050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DF800606-FEB1-4C8D-8BEF-CE5B06DA241D}"/>
            </a:ext>
          </a:extLst>
        </xdr:cNvPr>
        <xdr:cNvSpPr/>
      </xdr:nvSpPr>
      <xdr:spPr>
        <a:xfrm>
          <a:off x="12315825" y="7696200"/>
          <a:ext cx="1085850" cy="89535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8</xdr:col>
      <xdr:colOff>47625</xdr:colOff>
      <xdr:row>45</xdr:row>
      <xdr:rowOff>76200</xdr:rowOff>
    </xdr:from>
    <xdr:to>
      <xdr:col>9</xdr:col>
      <xdr:colOff>371475</xdr:colOff>
      <xdr:row>50</xdr:row>
      <xdr:rowOff>19050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7D0C9F43-BAAE-41AE-A452-F9FEBF810482}"/>
            </a:ext>
          </a:extLst>
        </xdr:cNvPr>
        <xdr:cNvSpPr/>
      </xdr:nvSpPr>
      <xdr:spPr>
        <a:xfrm>
          <a:off x="11153775" y="8648700"/>
          <a:ext cx="1085850" cy="89535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14</xdr:col>
      <xdr:colOff>104775</xdr:colOff>
      <xdr:row>45</xdr:row>
      <xdr:rowOff>76200</xdr:rowOff>
    </xdr:from>
    <xdr:to>
      <xdr:col>15</xdr:col>
      <xdr:colOff>428625</xdr:colOff>
      <xdr:row>50</xdr:row>
      <xdr:rowOff>19050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7330DC1B-16D6-4EFF-8EF0-82581967D48D}"/>
            </a:ext>
          </a:extLst>
        </xdr:cNvPr>
        <xdr:cNvSpPr/>
      </xdr:nvSpPr>
      <xdr:spPr>
        <a:xfrm>
          <a:off x="15782925" y="8648700"/>
          <a:ext cx="1085850" cy="89535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12</xdr:col>
      <xdr:colOff>476250</xdr:colOff>
      <xdr:row>45</xdr:row>
      <xdr:rowOff>76200</xdr:rowOff>
    </xdr:from>
    <xdr:to>
      <xdr:col>14</xdr:col>
      <xdr:colOff>38100</xdr:colOff>
      <xdr:row>50</xdr:row>
      <xdr:rowOff>19050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ED4A3860-9C6D-4681-B0EF-EB7122FA9F70}"/>
            </a:ext>
          </a:extLst>
        </xdr:cNvPr>
        <xdr:cNvSpPr/>
      </xdr:nvSpPr>
      <xdr:spPr>
        <a:xfrm>
          <a:off x="14630400" y="8648700"/>
          <a:ext cx="1085850" cy="89535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11</xdr:col>
      <xdr:colOff>85725</xdr:colOff>
      <xdr:row>45</xdr:row>
      <xdr:rowOff>76200</xdr:rowOff>
    </xdr:from>
    <xdr:to>
      <xdr:col>12</xdr:col>
      <xdr:colOff>409575</xdr:colOff>
      <xdr:row>50</xdr:row>
      <xdr:rowOff>19050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4D5B3147-0970-4E4F-A515-EF4E3C7991E5}"/>
            </a:ext>
          </a:extLst>
        </xdr:cNvPr>
        <xdr:cNvSpPr/>
      </xdr:nvSpPr>
      <xdr:spPr>
        <a:xfrm>
          <a:off x="13477875" y="8648700"/>
          <a:ext cx="1085850" cy="89535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9</xdr:col>
      <xdr:colOff>447675</xdr:colOff>
      <xdr:row>45</xdr:row>
      <xdr:rowOff>76200</xdr:rowOff>
    </xdr:from>
    <xdr:to>
      <xdr:col>11</xdr:col>
      <xdr:colOff>9525</xdr:colOff>
      <xdr:row>50</xdr:row>
      <xdr:rowOff>19050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83314471-AA11-4E66-B42C-1D042222A329}"/>
            </a:ext>
          </a:extLst>
        </xdr:cNvPr>
        <xdr:cNvSpPr/>
      </xdr:nvSpPr>
      <xdr:spPr>
        <a:xfrm>
          <a:off x="12315825" y="8648700"/>
          <a:ext cx="1085850" cy="89535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7</xdr:col>
      <xdr:colOff>313265</xdr:colOff>
      <xdr:row>23</xdr:row>
      <xdr:rowOff>35980</xdr:rowOff>
    </xdr:from>
    <xdr:to>
      <xdr:col>16</xdr:col>
      <xdr:colOff>318557</xdr:colOff>
      <xdr:row>52</xdr:row>
      <xdr:rowOff>121707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FD8F6977-8B74-46B9-A8E5-C1748A61C7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7</xdr:col>
      <xdr:colOff>504823</xdr:colOff>
      <xdr:row>51</xdr:row>
      <xdr:rowOff>161924</xdr:rowOff>
    </xdr:from>
    <xdr:ext cx="6181614" cy="1718734"/>
    <xdr:pic>
      <xdr:nvPicPr>
        <xdr:cNvPr id="29" name="Imagen 28">
          <a:extLst>
            <a:ext uri="{FF2B5EF4-FFF2-40B4-BE49-F238E27FC236}">
              <a16:creationId xmlns:a16="http://schemas.microsoft.com/office/drawing/2014/main" id="{52A1F368-F784-45BD-A2C1-A492C51935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4623" r="22288"/>
        <a:stretch/>
      </xdr:blipFill>
      <xdr:spPr>
        <a:xfrm rot="5400000">
          <a:off x="13080413" y="7645984"/>
          <a:ext cx="1718734" cy="6181614"/>
        </a:xfrm>
        <a:prstGeom prst="rect">
          <a:avLst/>
        </a:prstGeom>
      </xdr:spPr>
    </xdr:pic>
    <xdr:clientData/>
  </xdr:oneCellAnchor>
  <xdr:oneCellAnchor>
    <xdr:from>
      <xdr:col>9</xdr:col>
      <xdr:colOff>314876</xdr:colOff>
      <xdr:row>56</xdr:row>
      <xdr:rowOff>74082</xdr:rowOff>
    </xdr:from>
    <xdr:ext cx="3972479" cy="1005419"/>
    <xdr:pic>
      <xdr:nvPicPr>
        <xdr:cNvPr id="30" name="Imagen 29">
          <a:extLst>
            <a:ext uri="{FF2B5EF4-FFF2-40B4-BE49-F238E27FC236}">
              <a16:creationId xmlns:a16="http://schemas.microsoft.com/office/drawing/2014/main" id="{F869D31B-9936-447C-8BCF-D857C662C8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44917" r="31733"/>
        <a:stretch/>
      </xdr:blipFill>
      <xdr:spPr>
        <a:xfrm rot="5400000">
          <a:off x="13666556" y="9258552"/>
          <a:ext cx="1005419" cy="3972479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106216</xdr:colOff>
      <xdr:row>3</xdr:row>
      <xdr:rowOff>1</xdr:rowOff>
    </xdr:from>
    <xdr:to>
      <xdr:col>7</xdr:col>
      <xdr:colOff>2721428</xdr:colOff>
      <xdr:row>9</xdr:row>
      <xdr:rowOff>1056409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4B516FE-AA36-4440-B24E-4518F0C695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38202</xdr:colOff>
      <xdr:row>10</xdr:row>
      <xdr:rowOff>69273</xdr:rowOff>
    </xdr:from>
    <xdr:to>
      <xdr:col>3</xdr:col>
      <xdr:colOff>2286000</xdr:colOff>
      <xdr:row>17</xdr:row>
      <xdr:rowOff>535845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CC13406-E709-4EAF-AB5C-1E777FD2AE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246700</xdr:colOff>
      <xdr:row>20</xdr:row>
      <xdr:rowOff>43413</xdr:rowOff>
    </xdr:from>
    <xdr:to>
      <xdr:col>4</xdr:col>
      <xdr:colOff>1147440</xdr:colOff>
      <xdr:row>22</xdr:row>
      <xdr:rowOff>441108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B1A0CE6-D7D8-D5DC-0352-FDA38FBFF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671" y="11025178"/>
          <a:ext cx="900740" cy="89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89649</xdr:colOff>
      <xdr:row>21</xdr:row>
      <xdr:rowOff>56029</xdr:rowOff>
    </xdr:from>
    <xdr:to>
      <xdr:col>7</xdr:col>
      <xdr:colOff>672354</xdr:colOff>
      <xdr:row>22</xdr:row>
      <xdr:rowOff>311728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D69634E-DD6E-1EBF-1EAC-9D2C2846C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65090" y="10107705"/>
          <a:ext cx="582705" cy="705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205781</xdr:colOff>
      <xdr:row>25</xdr:row>
      <xdr:rowOff>154846</xdr:rowOff>
    </xdr:from>
    <xdr:to>
      <xdr:col>7</xdr:col>
      <xdr:colOff>946159</xdr:colOff>
      <xdr:row>26</xdr:row>
      <xdr:rowOff>343888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B7FD0CB-86F7-FE2D-4922-0A9F03792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29008" y="12883710"/>
          <a:ext cx="740378" cy="745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195304</xdr:colOff>
      <xdr:row>25</xdr:row>
      <xdr:rowOff>69709</xdr:rowOff>
    </xdr:from>
    <xdr:to>
      <xdr:col>4</xdr:col>
      <xdr:colOff>911678</xdr:colOff>
      <xdr:row>26</xdr:row>
      <xdr:rowOff>236518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5FF8353-5A8F-1AA3-7588-D0EF889F2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3483" y="12561066"/>
          <a:ext cx="716374" cy="7271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2C5F27-4ECE-41D4-B69D-721F29C3337F}" name="Tabla3" displayName="Tabla3" ref="B20:C27" totalsRowShown="0" headerRowDxfId="17" dataDxfId="15" totalsRowDxfId="13" headerRowBorderDxfId="16" tableBorderDxfId="14" totalsRowBorderDxfId="12">
  <tableColumns count="2">
    <tableColumn id="1" xr3:uid="{59BD1EC2-C3BB-43E8-A6F6-E914B455E7BB}" name="SUBSECRETARÍA/SERVICIO" dataDxfId="11" totalsRowDxfId="10"/>
    <tableColumn id="2" xr3:uid="{DF4BB275-2D51-45F7-8197-42C7331CDF0B}" name="NÚMERO DE PROGRAMAS 2024" dataDxfId="9" totalsRowDxfId="8"/>
  </tableColumns>
  <tableStyleInfo name="TableStyleLight12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65EEA-66AE-44DA-95D8-327185FBB35D}">
  <dimension ref="A1:X41"/>
  <sheetViews>
    <sheetView topLeftCell="A7" zoomScaleNormal="100" workbookViewId="0">
      <selection activeCell="G11" sqref="G11:H11"/>
    </sheetView>
  </sheetViews>
  <sheetFormatPr baseColWidth="10" defaultRowHeight="15"/>
  <cols>
    <col min="1" max="1" width="6.140625" customWidth="1"/>
    <col min="6" max="6" width="84.5703125" customWidth="1"/>
    <col min="7" max="7" width="11.42578125" customWidth="1"/>
    <col min="9" max="9" width="13.7109375" customWidth="1"/>
    <col min="10" max="10" width="8.5703125" customWidth="1"/>
  </cols>
  <sheetData>
    <row r="1" spans="1:24">
      <c r="A1" s="90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</row>
    <row r="2" spans="1:24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</row>
    <row r="3" spans="1:24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</row>
    <row r="4" spans="1:24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</row>
    <row r="5" spans="1:24">
      <c r="A5" s="90"/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</row>
    <row r="6" spans="1:24">
      <c r="A6" s="90"/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</row>
    <row r="7" spans="1:24">
      <c r="A7" s="90"/>
      <c r="B7" s="87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</row>
    <row r="8" spans="1:24">
      <c r="A8" s="90"/>
      <c r="B8" s="87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88"/>
      <c r="Q8" s="90"/>
      <c r="R8" s="90"/>
      <c r="S8" s="90"/>
      <c r="T8" s="90"/>
      <c r="U8" s="90"/>
      <c r="V8" s="90"/>
      <c r="W8" s="90"/>
      <c r="X8" s="90"/>
    </row>
    <row r="9" spans="1:24">
      <c r="A9" s="90"/>
      <c r="B9" s="87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88"/>
      <c r="Q9" s="90"/>
      <c r="R9" s="90"/>
      <c r="S9" s="90"/>
      <c r="T9" s="90"/>
      <c r="U9" s="90"/>
      <c r="V9" s="90"/>
      <c r="W9" s="90"/>
      <c r="X9" s="90"/>
    </row>
    <row r="10" spans="1:24">
      <c r="A10" s="90"/>
      <c r="B10" s="87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88"/>
      <c r="Q10" s="90"/>
      <c r="R10" s="90"/>
      <c r="S10" s="90"/>
      <c r="T10" s="90"/>
      <c r="U10" s="90"/>
      <c r="V10" s="90"/>
      <c r="W10" s="90"/>
      <c r="X10" s="90"/>
    </row>
    <row r="11" spans="1:24" ht="39.75" customHeight="1">
      <c r="A11" s="90"/>
      <c r="B11" s="87"/>
      <c r="C11" s="261"/>
      <c r="D11" s="261"/>
      <c r="E11" s="266"/>
      <c r="F11" s="267" t="s">
        <v>190</v>
      </c>
      <c r="G11" s="460">
        <v>2025</v>
      </c>
      <c r="H11" s="460"/>
      <c r="I11" s="90"/>
      <c r="J11" s="90"/>
      <c r="K11" s="90"/>
      <c r="L11" s="90"/>
      <c r="M11" s="90"/>
      <c r="N11" s="90"/>
      <c r="O11" s="90"/>
      <c r="P11" s="88"/>
      <c r="Q11" s="90"/>
      <c r="R11" s="90"/>
      <c r="S11" s="90"/>
      <c r="T11" s="90"/>
      <c r="U11" s="90"/>
      <c r="V11" s="90"/>
      <c r="W11" s="90"/>
      <c r="X11" s="90"/>
    </row>
    <row r="12" spans="1:24" ht="26.25" customHeight="1">
      <c r="A12" s="90"/>
      <c r="B12" s="87"/>
      <c r="C12" s="90"/>
      <c r="D12" s="90"/>
      <c r="E12" s="268"/>
      <c r="F12" s="461" t="s">
        <v>221</v>
      </c>
      <c r="G12" s="462"/>
      <c r="H12" s="90"/>
      <c r="I12" s="90"/>
      <c r="J12" s="90"/>
      <c r="K12" s="90"/>
      <c r="L12" s="90"/>
      <c r="M12" s="90"/>
      <c r="N12" s="90"/>
      <c r="O12" s="90"/>
      <c r="P12" s="88"/>
      <c r="Q12" s="90"/>
      <c r="R12" s="90"/>
      <c r="S12" s="90"/>
      <c r="T12" s="90"/>
      <c r="U12" s="90"/>
      <c r="V12" s="90"/>
      <c r="W12" s="90"/>
      <c r="X12" s="90"/>
    </row>
    <row r="13" spans="1:24" ht="53.25" customHeight="1">
      <c r="A13" s="90"/>
      <c r="B13" s="87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88"/>
      <c r="Q13" s="90"/>
      <c r="R13" s="90"/>
      <c r="S13" s="90"/>
      <c r="T13" s="90"/>
      <c r="U13" s="90"/>
      <c r="V13" s="90"/>
      <c r="W13" s="90"/>
      <c r="X13" s="90"/>
    </row>
    <row r="14" spans="1:24">
      <c r="A14" s="90"/>
      <c r="B14" s="87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88"/>
      <c r="Q14" s="90"/>
      <c r="R14" s="90"/>
      <c r="S14" s="90"/>
      <c r="T14" s="90"/>
      <c r="U14" s="90"/>
      <c r="V14" s="90"/>
      <c r="W14" s="90"/>
      <c r="X14" s="90"/>
    </row>
    <row r="15" spans="1:24" ht="18.75">
      <c r="A15" s="90"/>
      <c r="B15" s="87"/>
      <c r="C15" s="90"/>
      <c r="D15" s="90"/>
      <c r="E15" s="265"/>
      <c r="F15" s="458" t="s">
        <v>191</v>
      </c>
      <c r="G15" s="458"/>
      <c r="H15" s="90"/>
      <c r="I15" s="90"/>
      <c r="J15" s="90"/>
      <c r="K15" s="90"/>
      <c r="L15" s="90"/>
      <c r="M15" s="90"/>
      <c r="N15" s="90"/>
      <c r="O15" s="90"/>
      <c r="P15" s="88"/>
      <c r="Q15" s="90"/>
      <c r="R15" s="90"/>
      <c r="S15" s="90"/>
      <c r="T15" s="90"/>
      <c r="U15" s="90"/>
      <c r="V15" s="90"/>
      <c r="W15" s="90"/>
      <c r="X15" s="90"/>
    </row>
    <row r="16" spans="1:24" ht="18.75">
      <c r="A16" s="90"/>
      <c r="B16" s="87"/>
      <c r="C16" s="90"/>
      <c r="D16" s="90"/>
      <c r="E16" s="265"/>
      <c r="F16" s="458" t="s">
        <v>192</v>
      </c>
      <c r="G16" s="458"/>
      <c r="H16" s="90"/>
      <c r="I16" s="90"/>
      <c r="J16" s="90"/>
      <c r="K16" s="90"/>
      <c r="L16" s="90"/>
      <c r="M16" s="90"/>
      <c r="N16" s="90"/>
      <c r="O16" s="90"/>
      <c r="P16" s="88"/>
      <c r="Q16" s="90"/>
      <c r="R16" s="90"/>
      <c r="S16" s="90"/>
      <c r="T16" s="90"/>
      <c r="U16" s="90"/>
      <c r="V16" s="90"/>
      <c r="W16" s="90"/>
      <c r="X16" s="90"/>
    </row>
    <row r="17" spans="1:24" ht="21" customHeight="1">
      <c r="A17" s="90"/>
      <c r="B17" s="87"/>
      <c r="C17" s="90"/>
      <c r="D17" s="90"/>
      <c r="E17" s="262"/>
      <c r="F17" s="263"/>
      <c r="G17" s="263"/>
      <c r="H17" s="90"/>
      <c r="I17" s="90"/>
      <c r="J17" s="90"/>
      <c r="K17" s="90"/>
      <c r="L17" s="90"/>
      <c r="M17" s="90"/>
      <c r="N17" s="90"/>
      <c r="O17" s="90"/>
      <c r="P17" s="88"/>
      <c r="Q17" s="90"/>
      <c r="R17" s="90"/>
      <c r="S17" s="90"/>
      <c r="T17" s="90"/>
      <c r="U17" s="90"/>
      <c r="V17" s="90"/>
      <c r="W17" s="90"/>
      <c r="X17" s="90"/>
    </row>
    <row r="18" spans="1:24" ht="18.75">
      <c r="A18" s="90"/>
      <c r="B18" s="87"/>
      <c r="C18" s="90"/>
      <c r="D18" s="90"/>
      <c r="E18" s="264"/>
      <c r="F18" s="459" t="s">
        <v>193</v>
      </c>
      <c r="G18" s="459"/>
      <c r="H18" s="90"/>
      <c r="I18" s="90"/>
      <c r="J18" s="90"/>
      <c r="K18" s="90"/>
      <c r="L18" s="90"/>
      <c r="M18" s="90"/>
      <c r="N18" s="90"/>
      <c r="O18" s="90"/>
      <c r="P18" s="88"/>
      <c r="Q18" s="90"/>
      <c r="R18" s="90"/>
      <c r="S18" s="90"/>
      <c r="T18" s="90"/>
      <c r="U18" s="90"/>
      <c r="V18" s="90"/>
      <c r="W18" s="90"/>
      <c r="X18" s="90"/>
    </row>
    <row r="19" spans="1:24">
      <c r="A19" s="90"/>
      <c r="B19" s="87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88"/>
      <c r="Q19" s="90"/>
      <c r="R19" s="90"/>
      <c r="S19" s="90"/>
      <c r="T19" s="90"/>
      <c r="U19" s="90"/>
      <c r="V19" s="90"/>
      <c r="W19" s="90"/>
      <c r="X19" s="90"/>
    </row>
    <row r="20" spans="1:24">
      <c r="A20" s="90"/>
      <c r="B20" s="87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88"/>
      <c r="Q20" s="90"/>
      <c r="R20" s="90"/>
      <c r="S20" s="90"/>
      <c r="T20" s="90"/>
      <c r="U20" s="90"/>
      <c r="V20" s="90"/>
      <c r="W20" s="90"/>
      <c r="X20" s="90"/>
    </row>
    <row r="21" spans="1:24">
      <c r="A21" s="90"/>
      <c r="B21" s="87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88"/>
      <c r="Q21" s="90"/>
      <c r="R21" s="90"/>
      <c r="S21" s="90"/>
      <c r="T21" s="90"/>
      <c r="U21" s="90"/>
      <c r="V21" s="90"/>
      <c r="W21" s="90"/>
      <c r="X21" s="90"/>
    </row>
    <row r="22" spans="1:24">
      <c r="A22" s="90"/>
      <c r="B22" s="87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88"/>
      <c r="Q22" s="90"/>
      <c r="R22" s="90"/>
      <c r="S22" s="90"/>
      <c r="T22" s="90"/>
      <c r="U22" s="90"/>
      <c r="V22" s="90"/>
      <c r="W22" s="90"/>
      <c r="X22" s="90"/>
    </row>
    <row r="23" spans="1:24">
      <c r="A23" s="90"/>
      <c r="B23" s="87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88"/>
      <c r="Q23" s="90"/>
      <c r="R23" s="90"/>
      <c r="S23" s="90"/>
      <c r="T23" s="90"/>
      <c r="U23" s="90"/>
      <c r="V23" s="90"/>
      <c r="W23" s="90"/>
      <c r="X23" s="90"/>
    </row>
    <row r="24" spans="1:24">
      <c r="A24" s="90"/>
      <c r="B24" s="87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88"/>
      <c r="Q24" s="90"/>
      <c r="R24" s="90"/>
      <c r="S24" s="90"/>
      <c r="T24" s="90"/>
      <c r="U24" s="90"/>
      <c r="V24" s="90"/>
      <c r="W24" s="90"/>
      <c r="X24" s="90"/>
    </row>
    <row r="25" spans="1:24">
      <c r="A25" s="90"/>
      <c r="B25" s="87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88"/>
      <c r="Q25" s="90"/>
      <c r="R25" s="90"/>
      <c r="S25" s="90"/>
      <c r="T25" s="90"/>
      <c r="U25" s="90"/>
      <c r="V25" s="90"/>
      <c r="W25" s="90"/>
      <c r="X25" s="90"/>
    </row>
    <row r="26" spans="1:24">
      <c r="A26" s="90"/>
      <c r="B26" s="87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88"/>
      <c r="Q26" s="90"/>
      <c r="R26" s="90"/>
      <c r="S26" s="90"/>
      <c r="T26" s="90"/>
      <c r="U26" s="90"/>
      <c r="V26" s="90"/>
      <c r="W26" s="90"/>
      <c r="X26" s="90"/>
    </row>
    <row r="27" spans="1:24">
      <c r="A27" s="90"/>
      <c r="B27" s="87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88"/>
      <c r="Q27" s="90"/>
      <c r="R27" s="90"/>
      <c r="S27" s="90"/>
      <c r="T27" s="90"/>
      <c r="U27" s="90"/>
      <c r="V27" s="90"/>
      <c r="W27" s="90"/>
      <c r="X27" s="90"/>
    </row>
    <row r="28" spans="1:24">
      <c r="A28" s="90"/>
      <c r="B28" s="87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88"/>
      <c r="Q28" s="90"/>
      <c r="R28" s="90"/>
      <c r="S28" s="90"/>
      <c r="T28" s="90"/>
      <c r="U28" s="90"/>
      <c r="V28" s="90"/>
      <c r="W28" s="90"/>
      <c r="X28" s="90"/>
    </row>
    <row r="29" spans="1:24">
      <c r="A29" s="90"/>
      <c r="B29" s="87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88"/>
      <c r="Q29" s="90"/>
      <c r="R29" s="90"/>
      <c r="S29" s="90"/>
      <c r="T29" s="90"/>
      <c r="U29" s="90"/>
      <c r="V29" s="90"/>
      <c r="W29" s="90"/>
      <c r="X29" s="90"/>
    </row>
    <row r="30" spans="1:24">
      <c r="A30" s="90"/>
      <c r="B30" s="87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88"/>
      <c r="Q30" s="90"/>
      <c r="R30" s="90"/>
      <c r="S30" s="90"/>
      <c r="T30" s="90"/>
      <c r="U30" s="90"/>
      <c r="V30" s="90"/>
      <c r="W30" s="90"/>
      <c r="X30" s="90"/>
    </row>
    <row r="31" spans="1:24">
      <c r="A31" s="90"/>
      <c r="B31" s="87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88"/>
      <c r="Q31" s="90"/>
      <c r="R31" s="90"/>
      <c r="S31" s="90"/>
      <c r="T31" s="90"/>
      <c r="U31" s="90"/>
      <c r="V31" s="90"/>
      <c r="W31" s="90"/>
      <c r="X31" s="90"/>
    </row>
    <row r="32" spans="1:24">
      <c r="A32" s="90"/>
      <c r="B32" s="87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88"/>
      <c r="Q32" s="90"/>
      <c r="R32" s="90"/>
      <c r="S32" s="90"/>
      <c r="T32" s="90"/>
      <c r="U32" s="90"/>
      <c r="V32" s="90"/>
      <c r="W32" s="90"/>
      <c r="X32" s="90"/>
    </row>
    <row r="33" spans="1:24" ht="23.25" customHeight="1">
      <c r="A33" s="90"/>
      <c r="B33" s="87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88"/>
      <c r="Q33" s="90"/>
      <c r="R33" s="90"/>
      <c r="S33" s="90"/>
      <c r="T33" s="90"/>
      <c r="U33" s="90"/>
      <c r="V33" s="90"/>
      <c r="W33" s="90"/>
      <c r="X33" s="90"/>
    </row>
    <row r="34" spans="1:24">
      <c r="A34" s="90"/>
      <c r="B34" s="87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88"/>
      <c r="Q34" s="90"/>
      <c r="R34" s="90"/>
      <c r="S34" s="90"/>
      <c r="T34" s="90"/>
      <c r="U34" s="90"/>
      <c r="V34" s="90"/>
      <c r="W34" s="90"/>
      <c r="X34" s="90"/>
    </row>
    <row r="35" spans="1:24">
      <c r="A35" s="90"/>
      <c r="B35" s="87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88"/>
      <c r="Q35" s="90"/>
      <c r="R35" s="90"/>
      <c r="S35" s="90"/>
      <c r="T35" s="90"/>
      <c r="U35" s="90"/>
      <c r="V35" s="90"/>
      <c r="W35" s="90"/>
      <c r="X35" s="90"/>
    </row>
    <row r="36" spans="1:24">
      <c r="A36" s="90"/>
      <c r="B36" s="87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88"/>
      <c r="Q36" s="90"/>
      <c r="R36" s="90"/>
      <c r="S36" s="90"/>
      <c r="T36" s="90"/>
      <c r="U36" s="90"/>
      <c r="V36" s="90"/>
      <c r="W36" s="90"/>
      <c r="X36" s="90"/>
    </row>
    <row r="37" spans="1:24">
      <c r="A37" s="90"/>
      <c r="B37" s="87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88"/>
      <c r="Q37" s="90"/>
      <c r="R37" s="90"/>
      <c r="S37" s="90"/>
      <c r="T37" s="90"/>
      <c r="U37" s="90"/>
      <c r="V37" s="90"/>
      <c r="W37" s="90"/>
      <c r="X37" s="90"/>
    </row>
    <row r="38" spans="1:24">
      <c r="A38" s="90"/>
      <c r="B38" s="87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88"/>
      <c r="Q38" s="90"/>
      <c r="R38" s="90"/>
      <c r="S38" s="90"/>
      <c r="T38" s="90"/>
      <c r="U38" s="90"/>
      <c r="V38" s="90"/>
      <c r="W38" s="90"/>
      <c r="X38" s="90"/>
    </row>
    <row r="39" spans="1:24">
      <c r="A39" s="90"/>
      <c r="B39" s="87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88"/>
      <c r="Q39" s="90"/>
      <c r="R39" s="90"/>
      <c r="S39" s="90"/>
      <c r="T39" s="90"/>
      <c r="U39" s="90"/>
      <c r="V39" s="90"/>
      <c r="W39" s="90"/>
      <c r="X39" s="90"/>
    </row>
    <row r="40" spans="1:24"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</row>
    <row r="41" spans="1:24">
      <c r="I41" s="115"/>
      <c r="J41" s="115"/>
      <c r="K41" s="115"/>
      <c r="L41" s="115"/>
      <c r="M41" s="115"/>
      <c r="N41" s="115"/>
      <c r="O41" s="90"/>
    </row>
  </sheetData>
  <mergeCells count="5">
    <mergeCell ref="F16:G16"/>
    <mergeCell ref="F18:G18"/>
    <mergeCell ref="G11:H11"/>
    <mergeCell ref="F12:G12"/>
    <mergeCell ref="F15:G15"/>
  </mergeCells>
  <printOptions horizontalCentered="1" verticalCentered="1"/>
  <pageMargins left="0" right="0" top="0" bottom="0" header="0" footer="0"/>
  <pageSetup paperSize="5" scale="9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4981C-632E-4676-90EF-3ACEA2D0BFEA}">
  <sheetPr>
    <tabColor rgb="FF92D050"/>
    <pageSetUpPr fitToPage="1"/>
  </sheetPr>
  <dimension ref="A1:AU85"/>
  <sheetViews>
    <sheetView showGridLines="0" view="pageBreakPreview" topLeftCell="A6" zoomScale="40" zoomScaleNormal="70" zoomScaleSheetLayoutView="40" zoomScalePageLayoutView="25" workbookViewId="0">
      <selection activeCell="O13" sqref="O13"/>
    </sheetView>
  </sheetViews>
  <sheetFormatPr baseColWidth="10" defaultColWidth="11.42578125" defaultRowHeight="15"/>
  <cols>
    <col min="1" max="1" width="1" customWidth="1"/>
    <col min="2" max="2" width="4.42578125" customWidth="1"/>
    <col min="3" max="3" width="50.85546875" customWidth="1"/>
    <col min="4" max="4" width="29.28515625" customWidth="1"/>
    <col min="5" max="5" width="8.85546875" customWidth="1"/>
    <col min="6" max="6" width="7.140625" customWidth="1"/>
    <col min="7" max="7" width="13" customWidth="1"/>
    <col min="8" max="8" width="17.28515625" customWidth="1"/>
    <col min="9" max="9" width="9.7109375" customWidth="1"/>
    <col min="10" max="10" width="18.28515625" customWidth="1"/>
    <col min="11" max="11" width="14.85546875" customWidth="1"/>
    <col min="12" max="12" width="13.140625" customWidth="1"/>
    <col min="13" max="13" width="17.85546875" customWidth="1"/>
    <col min="14" max="14" width="11" customWidth="1"/>
    <col min="15" max="15" width="17.7109375" customWidth="1"/>
    <col min="16" max="16" width="12.28515625" customWidth="1"/>
    <col min="17" max="17" width="10.140625" customWidth="1"/>
    <col min="18" max="18" width="85" customWidth="1"/>
    <col min="19" max="19" width="3.5703125" customWidth="1"/>
    <col min="20" max="20" width="27" customWidth="1"/>
    <col min="21" max="21" width="29.7109375" customWidth="1"/>
    <col min="22" max="22" width="10.28515625" customWidth="1"/>
  </cols>
  <sheetData>
    <row r="1" spans="1:19" ht="6.6" customHeight="1">
      <c r="A1" s="33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27"/>
    </row>
    <row r="2" spans="1:19" ht="37.35" customHeight="1">
      <c r="A2" s="29"/>
      <c r="B2" s="308"/>
      <c r="C2" s="308"/>
      <c r="D2" s="308"/>
      <c r="E2" s="308"/>
      <c r="F2" s="308"/>
      <c r="G2" s="308"/>
      <c r="H2" s="308"/>
      <c r="I2" s="308"/>
      <c r="J2" s="474" t="s">
        <v>203</v>
      </c>
      <c r="K2" s="474"/>
      <c r="L2" s="474"/>
      <c r="M2" s="474"/>
      <c r="N2" s="474"/>
      <c r="O2" s="474"/>
      <c r="P2" s="308"/>
      <c r="Q2" s="308"/>
      <c r="R2" s="308"/>
      <c r="S2" s="28"/>
    </row>
    <row r="3" spans="1:19" ht="7.35" customHeight="1">
      <c r="A3" s="29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28"/>
    </row>
    <row r="4" spans="1:19" ht="33" customHeight="1">
      <c r="A4" s="29"/>
      <c r="B4" s="309" t="s">
        <v>200</v>
      </c>
      <c r="C4" s="309"/>
      <c r="D4" s="309"/>
      <c r="E4" s="309"/>
      <c r="F4" s="309"/>
      <c r="G4" s="309"/>
      <c r="H4" s="309"/>
      <c r="I4" s="309" t="s">
        <v>201</v>
      </c>
      <c r="J4" s="473" t="s">
        <v>202</v>
      </c>
      <c r="K4" s="473"/>
      <c r="L4" s="473"/>
      <c r="M4" s="473"/>
      <c r="N4" s="473"/>
      <c r="O4" s="473"/>
      <c r="P4" s="227"/>
      <c r="Q4" s="227"/>
      <c r="R4" s="228"/>
      <c r="S4" s="28"/>
    </row>
    <row r="5" spans="1:19" ht="29.25" customHeight="1">
      <c r="A5" s="29"/>
      <c r="B5" s="310"/>
      <c r="C5" s="310"/>
      <c r="D5" s="310"/>
      <c r="E5" s="310"/>
      <c r="F5" s="310"/>
      <c r="G5" s="310"/>
      <c r="H5" s="310"/>
      <c r="I5" s="312"/>
      <c r="J5" s="466" t="s">
        <v>174</v>
      </c>
      <c r="K5" s="466"/>
      <c r="L5" s="466"/>
      <c r="M5" s="466"/>
      <c r="N5" s="478" t="s">
        <v>221</v>
      </c>
      <c r="O5" s="478"/>
      <c r="P5" s="478"/>
      <c r="Q5" s="311"/>
      <c r="R5" s="311"/>
      <c r="S5" s="28"/>
    </row>
    <row r="6" spans="1:19" ht="23.25" customHeight="1" thickBot="1">
      <c r="A6" s="29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28"/>
    </row>
    <row r="7" spans="1:19" ht="12.75" hidden="1" customHeight="1">
      <c r="A7" s="29"/>
    </row>
    <row r="8" spans="1:19" ht="45.75" customHeight="1" thickBot="1">
      <c r="A8" s="29"/>
      <c r="C8" s="469" t="str">
        <f>_xlfn.CONCAT("PERIODO ", N5)</f>
        <v>PERIODO ABRIL - 2025</v>
      </c>
      <c r="D8" s="470"/>
      <c r="E8" s="471"/>
      <c r="G8" s="64" t="s">
        <v>1</v>
      </c>
      <c r="H8" s="48"/>
      <c r="I8" s="48"/>
      <c r="J8" s="48"/>
      <c r="K8" s="49" t="s">
        <v>2</v>
      </c>
      <c r="L8" s="48"/>
      <c r="M8" s="49" t="s">
        <v>3</v>
      </c>
      <c r="N8" s="48"/>
      <c r="O8" s="49" t="s">
        <v>4</v>
      </c>
      <c r="P8" s="48"/>
      <c r="Q8" s="48"/>
      <c r="R8" s="63" t="s">
        <v>5</v>
      </c>
      <c r="S8" s="28"/>
    </row>
    <row r="9" spans="1:19" ht="23.25" customHeight="1">
      <c r="A9" s="29"/>
      <c r="G9" s="50"/>
      <c r="H9" s="51"/>
      <c r="I9" s="51"/>
      <c r="J9" s="51"/>
      <c r="K9" s="339"/>
      <c r="L9" s="51"/>
      <c r="M9" s="51"/>
      <c r="N9" s="51"/>
      <c r="O9" s="51"/>
      <c r="P9" s="51"/>
      <c r="Q9" s="51"/>
      <c r="R9" s="52"/>
      <c r="S9" s="28"/>
    </row>
    <row r="10" spans="1:19" ht="42" customHeight="1">
      <c r="A10" s="29"/>
      <c r="C10" s="472" t="s">
        <v>5</v>
      </c>
      <c r="D10" s="472"/>
      <c r="E10" s="472"/>
      <c r="G10" s="84" t="s">
        <v>8</v>
      </c>
      <c r="H10" s="53"/>
      <c r="I10" s="53"/>
      <c r="J10" s="44"/>
      <c r="K10" s="54">
        <v>34</v>
      </c>
      <c r="L10" s="53"/>
      <c r="M10" s="44">
        <v>0</v>
      </c>
      <c r="N10" s="53"/>
      <c r="O10" s="44">
        <v>0</v>
      </c>
      <c r="P10" s="53"/>
      <c r="Q10" s="53"/>
      <c r="R10" s="55">
        <f>SUM($K10:$O10)</f>
        <v>34</v>
      </c>
      <c r="S10" s="28"/>
    </row>
    <row r="11" spans="1:19" ht="36" customHeight="1">
      <c r="A11" s="29"/>
      <c r="C11" s="77" t="s">
        <v>6</v>
      </c>
      <c r="D11" s="465">
        <f>R13</f>
        <v>6</v>
      </c>
      <c r="E11" s="465"/>
      <c r="G11" s="56" t="s">
        <v>9</v>
      </c>
      <c r="H11" s="53"/>
      <c r="I11" s="53"/>
      <c r="J11" s="44"/>
      <c r="K11" s="54">
        <v>78</v>
      </c>
      <c r="L11" s="53"/>
      <c r="M11" s="44">
        <v>0</v>
      </c>
      <c r="N11" s="53"/>
      <c r="O11" s="44">
        <v>0</v>
      </c>
      <c r="P11" s="53"/>
      <c r="Q11" s="53"/>
      <c r="R11" s="55">
        <f t="shared" ref="R11:R13" si="0">SUM($K11:$O11)</f>
        <v>78</v>
      </c>
      <c r="S11" s="28"/>
    </row>
    <row r="12" spans="1:19" ht="43.5" customHeight="1">
      <c r="A12" s="29"/>
      <c r="C12" s="69" t="s">
        <v>7</v>
      </c>
      <c r="D12" s="465">
        <f>R12</f>
        <v>4</v>
      </c>
      <c r="E12" s="465"/>
      <c r="G12" s="56" t="s">
        <v>7</v>
      </c>
      <c r="H12" s="53"/>
      <c r="I12" s="53"/>
      <c r="J12" s="44"/>
      <c r="K12" s="54">
        <v>4</v>
      </c>
      <c r="L12" s="53"/>
      <c r="M12" s="44">
        <v>0</v>
      </c>
      <c r="N12" s="53"/>
      <c r="O12" s="44">
        <v>0</v>
      </c>
      <c r="P12" s="53"/>
      <c r="Q12" s="53"/>
      <c r="R12" s="55">
        <f t="shared" si="0"/>
        <v>4</v>
      </c>
      <c r="S12" s="28"/>
    </row>
    <row r="13" spans="1:19" ht="36.75" customHeight="1">
      <c r="A13" s="29"/>
      <c r="C13" s="69" t="s">
        <v>8</v>
      </c>
      <c r="D13" s="465">
        <f>R10</f>
        <v>34</v>
      </c>
      <c r="E13" s="465"/>
      <c r="G13" s="85" t="s">
        <v>6</v>
      </c>
      <c r="H13" s="57"/>
      <c r="I13" s="53"/>
      <c r="J13" s="44"/>
      <c r="K13" s="54">
        <v>6</v>
      </c>
      <c r="L13" s="53"/>
      <c r="M13" s="44">
        <v>0</v>
      </c>
      <c r="N13" s="53"/>
      <c r="O13" s="44">
        <v>0</v>
      </c>
      <c r="P13" s="53"/>
      <c r="Q13" s="53"/>
      <c r="R13" s="55">
        <f t="shared" si="0"/>
        <v>6</v>
      </c>
      <c r="S13" s="28"/>
    </row>
    <row r="14" spans="1:19" ht="53.25" customHeight="1">
      <c r="A14" s="29"/>
      <c r="C14" s="69" t="s">
        <v>9</v>
      </c>
      <c r="D14" s="465">
        <f>R11</f>
        <v>78</v>
      </c>
      <c r="E14" s="465"/>
      <c r="G14" s="62" t="s">
        <v>10</v>
      </c>
      <c r="H14" s="58"/>
      <c r="I14" s="59"/>
      <c r="J14" s="60"/>
      <c r="K14" s="60">
        <f>SUM(K10:K13)</f>
        <v>122</v>
      </c>
      <c r="L14" s="59"/>
      <c r="M14" s="60">
        <f>SUM(M10:M13)</f>
        <v>0</v>
      </c>
      <c r="N14" s="59"/>
      <c r="O14" s="60">
        <f>SUM(O10:O13)</f>
        <v>0</v>
      </c>
      <c r="P14" s="59"/>
      <c r="Q14" s="59"/>
      <c r="R14" s="61">
        <f>SUM(R10:R13)</f>
        <v>122</v>
      </c>
      <c r="S14" s="28"/>
    </row>
    <row r="15" spans="1:19" ht="38.25" customHeight="1">
      <c r="A15" s="29"/>
      <c r="C15" s="45" t="s">
        <v>11</v>
      </c>
      <c r="D15" s="464">
        <f>R14</f>
        <v>122</v>
      </c>
      <c r="E15" s="464"/>
      <c r="H15" s="43"/>
      <c r="M15" s="43"/>
      <c r="N15" s="43"/>
      <c r="O15" s="43"/>
      <c r="S15" s="28"/>
    </row>
    <row r="16" spans="1:19" ht="27" customHeight="1">
      <c r="A16" s="29"/>
      <c r="H16" s="44"/>
      <c r="O16" s="44"/>
      <c r="S16" s="28"/>
    </row>
    <row r="17" spans="1:19" ht="17.25" customHeight="1">
      <c r="A17" s="29"/>
      <c r="S17" s="28"/>
    </row>
    <row r="18" spans="1:19" ht="28.5" customHeight="1">
      <c r="A18" s="29"/>
      <c r="S18" s="28"/>
    </row>
    <row r="19" spans="1:19" ht="12" customHeight="1">
      <c r="A19" s="29"/>
      <c r="S19" s="28"/>
    </row>
    <row r="20" spans="1:19" ht="15" customHeight="1">
      <c r="A20" s="29"/>
      <c r="S20" s="28"/>
    </row>
    <row r="21" spans="1:19" ht="9.75" customHeight="1">
      <c r="A21" s="29"/>
      <c r="S21" s="28"/>
    </row>
    <row r="22" spans="1:19" ht="5.25" customHeight="1">
      <c r="A22" s="29"/>
      <c r="S22" s="28"/>
    </row>
    <row r="23" spans="1:19" ht="9.75" customHeight="1">
      <c r="A23" s="29"/>
      <c r="S23" s="28"/>
    </row>
    <row r="24" spans="1:19" ht="50.25" customHeight="1">
      <c r="A24" s="29"/>
      <c r="C24" s="475" t="s">
        <v>12</v>
      </c>
      <c r="D24" s="476"/>
      <c r="E24" s="477"/>
      <c r="S24" s="28"/>
    </row>
    <row r="25" spans="1:19" ht="32.25" customHeight="1">
      <c r="A25" s="29"/>
      <c r="C25" s="46" t="s">
        <v>6</v>
      </c>
      <c r="D25" s="467">
        <f>SUM(M13:O13)</f>
        <v>0</v>
      </c>
      <c r="E25" s="468"/>
      <c r="S25" s="28"/>
    </row>
    <row r="26" spans="1:19" ht="33.75" customHeight="1">
      <c r="A26" s="29"/>
      <c r="C26" s="47" t="s">
        <v>7</v>
      </c>
      <c r="D26" s="467">
        <f>SUM(M12:O12)</f>
        <v>0</v>
      </c>
      <c r="E26" s="468"/>
      <c r="S26" s="28"/>
    </row>
    <row r="27" spans="1:19" ht="38.25" customHeight="1">
      <c r="A27" s="29"/>
      <c r="C27" s="47" t="s">
        <v>8</v>
      </c>
      <c r="D27" s="465">
        <f>SUM(M10:O10)</f>
        <v>0</v>
      </c>
      <c r="E27" s="465"/>
      <c r="S27" s="28"/>
    </row>
    <row r="28" spans="1:19" ht="25.5" customHeight="1">
      <c r="A28" s="29"/>
      <c r="C28" s="47" t="s">
        <v>9</v>
      </c>
      <c r="D28" s="465">
        <f>SUM(M11:O11)</f>
        <v>0</v>
      </c>
      <c r="E28" s="465"/>
      <c r="S28" s="28"/>
    </row>
    <row r="29" spans="1:19" ht="33" customHeight="1">
      <c r="A29" s="29"/>
      <c r="C29" s="45" t="s">
        <v>11</v>
      </c>
      <c r="D29" s="463">
        <f>SUM(M14:O14)</f>
        <v>0</v>
      </c>
      <c r="E29" s="463"/>
      <c r="S29" s="28"/>
    </row>
    <row r="30" spans="1:19">
      <c r="A30" s="29"/>
      <c r="S30" s="28"/>
    </row>
    <row r="31" spans="1:19">
      <c r="A31" s="29"/>
      <c r="S31" s="28"/>
    </row>
    <row r="32" spans="1:19" hidden="1">
      <c r="A32" s="29"/>
      <c r="S32" s="28"/>
    </row>
    <row r="33" spans="1:19" ht="15" customHeight="1">
      <c r="A33" s="29"/>
      <c r="S33" s="28"/>
    </row>
    <row r="34" spans="1:19">
      <c r="A34" s="29"/>
      <c r="S34" s="28"/>
    </row>
    <row r="35" spans="1:19">
      <c r="A35" s="29"/>
      <c r="S35" s="28"/>
    </row>
    <row r="36" spans="1:19">
      <c r="A36" s="29"/>
      <c r="S36" s="28"/>
    </row>
    <row r="37" spans="1:19">
      <c r="A37" s="29"/>
      <c r="S37" s="28"/>
    </row>
    <row r="38" spans="1:19">
      <c r="A38" s="29"/>
      <c r="S38" s="28"/>
    </row>
    <row r="39" spans="1:19">
      <c r="A39" s="29"/>
      <c r="S39" s="28"/>
    </row>
    <row r="40" spans="1:19">
      <c r="A40" s="29"/>
      <c r="S40" s="28"/>
    </row>
    <row r="41" spans="1:19">
      <c r="A41" s="29"/>
      <c r="S41" s="28"/>
    </row>
    <row r="42" spans="1:19">
      <c r="A42" s="29"/>
      <c r="S42" s="28"/>
    </row>
    <row r="43" spans="1:19">
      <c r="A43" s="29"/>
      <c r="S43" s="28"/>
    </row>
    <row r="44" spans="1:19">
      <c r="A44" s="29"/>
      <c r="S44" s="28"/>
    </row>
    <row r="45" spans="1:19">
      <c r="A45" s="29"/>
      <c r="S45" s="28"/>
    </row>
    <row r="46" spans="1:19" ht="72" customHeight="1">
      <c r="A46" s="29"/>
      <c r="S46" s="28"/>
    </row>
    <row r="47" spans="1:19" ht="51.75" customHeight="1">
      <c r="A47" s="29"/>
      <c r="S47" s="28"/>
    </row>
    <row r="48" spans="1:19" ht="26.25" customHeight="1">
      <c r="A48" s="29"/>
    </row>
    <row r="49" spans="1:19" ht="33.75" hidden="1" customHeight="1">
      <c r="A49" s="29"/>
      <c r="S49" s="28"/>
    </row>
    <row r="50" spans="1:19" ht="8.25" hidden="1" customHeight="1">
      <c r="A50" s="29"/>
      <c r="S50" s="28"/>
    </row>
    <row r="51" spans="1:19" ht="18.75" customHeight="1" thickBot="1">
      <c r="A51" s="30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2"/>
    </row>
    <row r="52" spans="1:19" ht="31.5" customHeight="1"/>
    <row r="53" spans="1:19" ht="14.45" customHeight="1"/>
    <row r="85" spans="47:47">
      <c r="AU85" s="1"/>
    </row>
  </sheetData>
  <mergeCells count="17">
    <mergeCell ref="J4:O4"/>
    <mergeCell ref="J2:O2"/>
    <mergeCell ref="D12:E12"/>
    <mergeCell ref="C24:E24"/>
    <mergeCell ref="D25:E25"/>
    <mergeCell ref="N5:P5"/>
    <mergeCell ref="D29:E29"/>
    <mergeCell ref="D15:E15"/>
    <mergeCell ref="D27:E27"/>
    <mergeCell ref="D28:E28"/>
    <mergeCell ref="J5:M5"/>
    <mergeCell ref="D26:E26"/>
    <mergeCell ref="D13:E13"/>
    <mergeCell ref="D14:E14"/>
    <mergeCell ref="C8:E8"/>
    <mergeCell ref="C10:E10"/>
    <mergeCell ref="D11:E11"/>
  </mergeCells>
  <printOptions horizontalCentered="1" verticalCentered="1"/>
  <pageMargins left="0" right="0" top="0" bottom="0" header="0" footer="0"/>
  <pageSetup paperSize="5" scale="50" fitToHeight="0" orientation="landscape" r:id="rId1"/>
  <headerFooter>
    <oddFooter>&amp;R&amp;P</oddFooter>
  </headerFooter>
  <rowBreaks count="1" manualBreakCount="1">
    <brk id="51" max="18" man="1"/>
  </rowBreaks>
  <colBreaks count="1" manualBreakCount="1">
    <brk id="19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FCCD6-0769-45FB-A71B-BC9605B127F0}">
  <sheetPr>
    <tabColor theme="6" tint="0.79998168889431442"/>
  </sheetPr>
  <dimension ref="B3:H88"/>
  <sheetViews>
    <sheetView topLeftCell="A21" zoomScale="85" zoomScaleNormal="85" workbookViewId="0">
      <selection activeCell="B25" sqref="B25:E40"/>
    </sheetView>
  </sheetViews>
  <sheetFormatPr baseColWidth="10" defaultColWidth="11.42578125" defaultRowHeight="15"/>
  <cols>
    <col min="1" max="2" width="12.5703125" bestFit="1" customWidth="1"/>
    <col min="4" max="4" width="14.7109375" bestFit="1" customWidth="1"/>
  </cols>
  <sheetData>
    <row r="3" spans="2:5">
      <c r="B3" s="14" t="s">
        <v>6</v>
      </c>
      <c r="C3" s="14" t="s">
        <v>13</v>
      </c>
      <c r="D3" s="14" t="s">
        <v>14</v>
      </c>
      <c r="E3" s="14" t="s">
        <v>15</v>
      </c>
    </row>
    <row r="4" spans="2:5">
      <c r="B4" s="12" t="s">
        <v>16</v>
      </c>
      <c r="C4" s="12">
        <v>2</v>
      </c>
      <c r="D4" s="12">
        <v>0</v>
      </c>
      <c r="E4" s="12">
        <v>0</v>
      </c>
    </row>
    <row r="5" spans="2:5">
      <c r="B5" s="12" t="s">
        <v>17</v>
      </c>
      <c r="C5" s="12">
        <v>2</v>
      </c>
      <c r="D5" s="12">
        <v>0</v>
      </c>
      <c r="E5" s="12">
        <v>0</v>
      </c>
    </row>
    <row r="6" spans="2:5">
      <c r="B6" s="12" t="s">
        <v>222</v>
      </c>
      <c r="C6" s="12">
        <v>2</v>
      </c>
      <c r="D6" s="12">
        <v>0</v>
      </c>
      <c r="E6" s="12">
        <v>0</v>
      </c>
    </row>
    <row r="7" spans="2:5">
      <c r="B7" s="14"/>
      <c r="C7" s="14"/>
      <c r="D7" s="14"/>
      <c r="E7" s="14"/>
    </row>
    <row r="8" spans="2:5">
      <c r="B8" s="12" t="s">
        <v>18</v>
      </c>
      <c r="C8" s="12">
        <v>1</v>
      </c>
      <c r="D8" s="12">
        <v>0</v>
      </c>
      <c r="E8" s="12">
        <v>0</v>
      </c>
    </row>
    <row r="9" spans="2:5">
      <c r="B9" s="12" t="s">
        <v>19</v>
      </c>
      <c r="C9" s="2">
        <v>1</v>
      </c>
      <c r="D9" s="12">
        <v>0</v>
      </c>
      <c r="E9" s="12">
        <v>0</v>
      </c>
    </row>
    <row r="10" spans="2:5">
      <c r="B10" s="12" t="s">
        <v>20</v>
      </c>
      <c r="C10" s="12">
        <v>2</v>
      </c>
      <c r="D10" s="12">
        <v>0</v>
      </c>
      <c r="E10" s="12">
        <v>0</v>
      </c>
    </row>
    <row r="11" spans="2:5">
      <c r="B11" s="12"/>
      <c r="C11" s="12"/>
      <c r="D11" s="12"/>
      <c r="E11" s="12"/>
    </row>
    <row r="12" spans="2:5">
      <c r="B12" s="14"/>
      <c r="C12" s="14"/>
      <c r="D12" s="14"/>
      <c r="E12" s="14"/>
    </row>
    <row r="13" spans="2:5">
      <c r="B13" s="12" t="s">
        <v>18</v>
      </c>
      <c r="C13" s="12">
        <v>3</v>
      </c>
      <c r="D13" s="12">
        <v>0</v>
      </c>
      <c r="E13" s="12">
        <v>0</v>
      </c>
    </row>
    <row r="14" spans="2:5">
      <c r="B14" s="12" t="s">
        <v>16</v>
      </c>
      <c r="C14" s="12">
        <v>4</v>
      </c>
      <c r="D14" s="12">
        <v>0</v>
      </c>
      <c r="E14" s="12">
        <v>0</v>
      </c>
    </row>
    <row r="15" spans="2:5">
      <c r="B15" s="12" t="s">
        <v>19</v>
      </c>
      <c r="C15" s="12">
        <v>3</v>
      </c>
      <c r="D15" s="12">
        <v>0</v>
      </c>
      <c r="E15" s="12">
        <v>0</v>
      </c>
    </row>
    <row r="16" spans="2:5">
      <c r="B16" s="12" t="s">
        <v>22</v>
      </c>
      <c r="C16" s="12">
        <v>7</v>
      </c>
      <c r="D16" s="12">
        <v>0</v>
      </c>
      <c r="E16" s="12">
        <v>0</v>
      </c>
    </row>
    <row r="17" spans="2:5">
      <c r="B17" s="12" t="s">
        <v>17</v>
      </c>
      <c r="C17" s="12">
        <v>6</v>
      </c>
      <c r="D17" s="12">
        <v>0</v>
      </c>
      <c r="E17" s="12">
        <v>0</v>
      </c>
    </row>
    <row r="18" spans="2:5">
      <c r="B18" s="12" t="s">
        <v>223</v>
      </c>
      <c r="C18" s="12">
        <v>3</v>
      </c>
      <c r="D18" s="12">
        <v>0</v>
      </c>
      <c r="E18" s="12">
        <v>0</v>
      </c>
    </row>
    <row r="19" spans="2:5">
      <c r="B19" s="12" t="s">
        <v>222</v>
      </c>
      <c r="C19" s="12">
        <v>3</v>
      </c>
      <c r="D19" s="12">
        <v>0</v>
      </c>
      <c r="E19" s="12">
        <v>0</v>
      </c>
    </row>
    <row r="20" spans="2:5">
      <c r="B20" s="12" t="s">
        <v>20</v>
      </c>
      <c r="C20" s="12">
        <v>5</v>
      </c>
      <c r="D20" s="12">
        <v>0</v>
      </c>
      <c r="E20" s="12">
        <v>0</v>
      </c>
    </row>
    <row r="22" spans="2:5" ht="31.5" customHeight="1"/>
    <row r="24" spans="2:5" ht="31.5" customHeight="1">
      <c r="B24" s="13" t="s">
        <v>21</v>
      </c>
      <c r="C24" s="13" t="s">
        <v>13</v>
      </c>
      <c r="D24" s="13" t="s">
        <v>14</v>
      </c>
      <c r="E24" s="13" t="s">
        <v>15</v>
      </c>
    </row>
    <row r="25" spans="2:5">
      <c r="B25" s="78" t="s">
        <v>24</v>
      </c>
      <c r="C25" s="12">
        <v>5</v>
      </c>
      <c r="D25" s="12">
        <v>0</v>
      </c>
      <c r="E25" s="12">
        <v>0</v>
      </c>
    </row>
    <row r="26" spans="2:5">
      <c r="B26" s="78" t="s">
        <v>37</v>
      </c>
      <c r="C26" s="12">
        <v>5</v>
      </c>
      <c r="D26" s="12">
        <v>0</v>
      </c>
      <c r="E26" s="12">
        <v>0</v>
      </c>
    </row>
    <row r="27" spans="2:5">
      <c r="B27" s="78" t="s">
        <v>25</v>
      </c>
      <c r="C27" s="12">
        <v>5</v>
      </c>
      <c r="D27" s="12">
        <v>0</v>
      </c>
      <c r="E27" s="12">
        <v>0</v>
      </c>
    </row>
    <row r="28" spans="2:5">
      <c r="B28" s="78" t="s">
        <v>33</v>
      </c>
      <c r="C28" s="12">
        <v>5</v>
      </c>
      <c r="D28" s="12">
        <v>0</v>
      </c>
      <c r="E28" s="12">
        <v>0</v>
      </c>
    </row>
    <row r="29" spans="2:5">
      <c r="B29" s="78" t="s">
        <v>30</v>
      </c>
      <c r="C29" s="12">
        <v>5</v>
      </c>
      <c r="D29" s="12">
        <v>0</v>
      </c>
      <c r="E29" s="12">
        <v>0</v>
      </c>
    </row>
    <row r="30" spans="2:5">
      <c r="B30" s="78" t="s">
        <v>26</v>
      </c>
      <c r="C30" s="12">
        <v>5</v>
      </c>
      <c r="D30" s="12">
        <v>0</v>
      </c>
      <c r="E30" s="12">
        <v>0</v>
      </c>
    </row>
    <row r="31" spans="2:5">
      <c r="B31" s="78" t="s">
        <v>224</v>
      </c>
      <c r="C31" s="12">
        <v>5</v>
      </c>
      <c r="D31" s="12">
        <v>0</v>
      </c>
      <c r="E31" s="12">
        <v>0</v>
      </c>
    </row>
    <row r="32" spans="2:5">
      <c r="B32" s="78" t="s">
        <v>32</v>
      </c>
      <c r="C32" s="12">
        <v>5</v>
      </c>
      <c r="D32" s="12">
        <v>0</v>
      </c>
      <c r="E32" s="12">
        <v>0</v>
      </c>
    </row>
    <row r="33" spans="2:5">
      <c r="B33" s="78" t="s">
        <v>36</v>
      </c>
      <c r="C33" s="12">
        <v>5</v>
      </c>
      <c r="D33" s="12">
        <v>0</v>
      </c>
      <c r="E33" s="12">
        <v>0</v>
      </c>
    </row>
    <row r="34" spans="2:5">
      <c r="B34" s="78" t="s">
        <v>34</v>
      </c>
      <c r="C34" s="12">
        <v>5</v>
      </c>
      <c r="D34" s="12">
        <v>0</v>
      </c>
      <c r="E34" s="12">
        <v>0</v>
      </c>
    </row>
    <row r="35" spans="2:5">
      <c r="B35" s="78" t="s">
        <v>29</v>
      </c>
      <c r="C35" s="12">
        <v>5</v>
      </c>
      <c r="D35" s="12">
        <v>0</v>
      </c>
      <c r="E35" s="12">
        <v>0</v>
      </c>
    </row>
    <row r="36" spans="2:5">
      <c r="B36" s="78" t="s">
        <v>35</v>
      </c>
      <c r="C36" s="12">
        <v>4</v>
      </c>
      <c r="D36" s="12">
        <v>0</v>
      </c>
      <c r="E36" s="12">
        <v>0</v>
      </c>
    </row>
    <row r="37" spans="2:5">
      <c r="B37" s="78" t="s">
        <v>28</v>
      </c>
      <c r="C37" s="12">
        <v>5</v>
      </c>
      <c r="D37" s="12">
        <v>0</v>
      </c>
      <c r="E37" s="12">
        <v>0</v>
      </c>
    </row>
    <row r="38" spans="2:5">
      <c r="B38" s="78" t="s">
        <v>23</v>
      </c>
      <c r="C38" s="12">
        <v>5</v>
      </c>
      <c r="D38" s="12">
        <v>0</v>
      </c>
      <c r="E38" s="12">
        <v>0</v>
      </c>
    </row>
    <row r="39" spans="2:5">
      <c r="B39" s="78" t="s">
        <v>27</v>
      </c>
      <c r="C39" s="12">
        <v>5</v>
      </c>
      <c r="D39" s="12">
        <v>0</v>
      </c>
      <c r="E39" s="12">
        <v>0</v>
      </c>
    </row>
    <row r="40" spans="2:5">
      <c r="B40" s="78" t="s">
        <v>38</v>
      </c>
      <c r="C40" s="12">
        <v>4</v>
      </c>
      <c r="D40" s="12">
        <v>0</v>
      </c>
      <c r="E40" s="12">
        <v>0</v>
      </c>
    </row>
    <row r="58" spans="8:8">
      <c r="H58" s="16"/>
    </row>
    <row r="59" spans="8:8" ht="41.25" customHeight="1">
      <c r="H59" s="16"/>
    </row>
    <row r="60" spans="8:8" ht="41.25" customHeight="1">
      <c r="H60" s="16"/>
    </row>
    <row r="61" spans="8:8" ht="41.25" customHeight="1">
      <c r="H61" s="16"/>
    </row>
    <row r="62" spans="8:8" ht="41.25" customHeight="1">
      <c r="H62" s="16"/>
    </row>
    <row r="63" spans="8:8" ht="41.25" customHeight="1">
      <c r="H63" s="16"/>
    </row>
    <row r="64" spans="8:8" ht="41.25" customHeight="1">
      <c r="H64" s="16"/>
    </row>
    <row r="65" spans="8:8">
      <c r="H65" s="16"/>
    </row>
    <row r="73" spans="8:8" ht="21" customHeight="1"/>
    <row r="74" spans="8:8" ht="21" customHeight="1"/>
    <row r="75" spans="8:8" ht="21" customHeight="1"/>
    <row r="76" spans="8:8" ht="21" customHeight="1"/>
    <row r="77" spans="8:8" ht="21" customHeight="1"/>
    <row r="78" spans="8:8" ht="21" customHeight="1"/>
    <row r="79" spans="8:8" ht="21" customHeight="1"/>
    <row r="80" spans="8:8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5E66D-117A-4817-8B76-F5D039C10E30}">
  <sheetPr>
    <tabColor theme="9"/>
  </sheetPr>
  <dimension ref="A1:AA61"/>
  <sheetViews>
    <sheetView showGridLines="0" view="pageBreakPreview" topLeftCell="A32" zoomScale="70" zoomScaleNormal="40" zoomScaleSheetLayoutView="70" workbookViewId="0">
      <selection activeCell="T2" sqref="T2:AA2"/>
    </sheetView>
  </sheetViews>
  <sheetFormatPr baseColWidth="10" defaultColWidth="11.42578125" defaultRowHeight="15"/>
  <cols>
    <col min="1" max="1" width="12.5703125" customWidth="1"/>
    <col min="2" max="2" width="1.42578125" customWidth="1"/>
    <col min="3" max="3" width="25.42578125" customWidth="1"/>
    <col min="4" max="4" width="11.42578125" customWidth="1"/>
    <col min="12" max="12" width="11.5703125" customWidth="1"/>
    <col min="20" max="20" width="13.5703125" bestFit="1" customWidth="1"/>
    <col min="27" max="27" width="29.140625" customWidth="1"/>
  </cols>
  <sheetData>
    <row r="1" spans="1:27" ht="6.6" customHeight="1">
      <c r="A1" s="18"/>
      <c r="B1" s="19"/>
      <c r="C1" s="19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19"/>
      <c r="W1" s="19"/>
      <c r="X1" s="19"/>
      <c r="Y1" s="19"/>
      <c r="Z1" s="19"/>
      <c r="AA1" s="21"/>
    </row>
    <row r="2" spans="1:27" ht="37.15" customHeight="1">
      <c r="A2" s="479" t="s">
        <v>173</v>
      </c>
      <c r="B2" s="480"/>
      <c r="C2" s="480"/>
      <c r="D2" s="480"/>
      <c r="E2" s="480"/>
      <c r="F2" s="480"/>
      <c r="G2" s="480"/>
      <c r="H2" s="480"/>
      <c r="I2" s="480"/>
      <c r="J2" s="480"/>
      <c r="K2" s="480"/>
      <c r="L2" s="480"/>
      <c r="M2" s="480"/>
      <c r="N2" s="480"/>
      <c r="O2" s="480"/>
      <c r="P2" s="480"/>
      <c r="Q2" s="480"/>
      <c r="R2" s="480"/>
      <c r="S2" s="480"/>
      <c r="T2" s="481" t="s">
        <v>221</v>
      </c>
      <c r="U2" s="481"/>
      <c r="V2" s="481"/>
      <c r="W2" s="481"/>
      <c r="X2" s="481"/>
      <c r="Y2" s="481"/>
      <c r="Z2" s="481"/>
      <c r="AA2" s="482"/>
    </row>
    <row r="3" spans="1:27" ht="2.4500000000000002" customHeight="1">
      <c r="A3" s="22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23"/>
    </row>
    <row r="4" spans="1:27" ht="15.75">
      <c r="A4" s="22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23"/>
    </row>
    <row r="5" spans="1:27" ht="15.75">
      <c r="A5" s="22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23"/>
    </row>
    <row r="6" spans="1:27" ht="15.75">
      <c r="A6" s="22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23"/>
    </row>
    <row r="7" spans="1:27" ht="15.75">
      <c r="A7" s="22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23"/>
    </row>
    <row r="8" spans="1:27" ht="15.75">
      <c r="A8" s="22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23"/>
    </row>
    <row r="9" spans="1:27" ht="15.75">
      <c r="A9" s="22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23"/>
    </row>
    <row r="10" spans="1:27" ht="15.75">
      <c r="A10" s="22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23"/>
    </row>
    <row r="11" spans="1:27" ht="15.75">
      <c r="A11" s="22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23"/>
    </row>
    <row r="12" spans="1:27" ht="15.75">
      <c r="A12" s="22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23"/>
    </row>
    <row r="13" spans="1:27" ht="15.75">
      <c r="A13" s="22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23"/>
    </row>
    <row r="14" spans="1:27" ht="15.75">
      <c r="A14" s="22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23"/>
    </row>
    <row r="15" spans="1:27" ht="15.75">
      <c r="A15" s="22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23"/>
    </row>
    <row r="16" spans="1:27" ht="15.75">
      <c r="A16" s="22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23"/>
    </row>
    <row r="17" spans="1:27" ht="15.75">
      <c r="A17" s="22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23"/>
    </row>
    <row r="18" spans="1:27" ht="15.75">
      <c r="A18" s="22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23"/>
    </row>
    <row r="19" spans="1:27" ht="15.75">
      <c r="A19" s="22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23"/>
    </row>
    <row r="20" spans="1:27" ht="15.75">
      <c r="A20" s="22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23"/>
    </row>
    <row r="21" spans="1:27" ht="15.75">
      <c r="A21" s="22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23"/>
    </row>
    <row r="22" spans="1:27" ht="15.75">
      <c r="A22" s="22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23"/>
    </row>
    <row r="23" spans="1:27" ht="15.75">
      <c r="A23" s="22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23"/>
    </row>
    <row r="24" spans="1:27" ht="15.75">
      <c r="A24" s="22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23"/>
    </row>
    <row r="25" spans="1:27" ht="15.75">
      <c r="A25" s="22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23"/>
    </row>
    <row r="26" spans="1:27" ht="15.75">
      <c r="A26" s="22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23"/>
    </row>
    <row r="27" spans="1:27" ht="15.75">
      <c r="A27" s="22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23"/>
    </row>
    <row r="28" spans="1:27" ht="15.75">
      <c r="A28" s="22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23"/>
    </row>
    <row r="29" spans="1:27" ht="15.75">
      <c r="A29" s="22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23"/>
    </row>
    <row r="30" spans="1:27" ht="15.75">
      <c r="A30" s="22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23"/>
    </row>
    <row r="31" spans="1:27" ht="15.75">
      <c r="A31" s="22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23"/>
    </row>
    <row r="32" spans="1:27" ht="15.75">
      <c r="A32" s="22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23"/>
    </row>
    <row r="33" spans="1:27" ht="15.75">
      <c r="A33" s="22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23"/>
    </row>
    <row r="34" spans="1:27" ht="15.75">
      <c r="A34" s="22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23"/>
    </row>
    <row r="35" spans="1:27" ht="15.75">
      <c r="A35" s="22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23"/>
    </row>
    <row r="36" spans="1:27" ht="15.75">
      <c r="A36" s="22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23"/>
    </row>
    <row r="37" spans="1:27" ht="15.75">
      <c r="A37" s="22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23"/>
    </row>
    <row r="38" spans="1:27" ht="15.75">
      <c r="A38" s="22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23"/>
    </row>
    <row r="39" spans="1:27" ht="15.75">
      <c r="A39" s="22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23"/>
    </row>
    <row r="40" spans="1:27" ht="15.75">
      <c r="A40" s="22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23"/>
    </row>
    <row r="41" spans="1:27" ht="15.75">
      <c r="A41" s="22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23"/>
    </row>
    <row r="42" spans="1:27" ht="15.75">
      <c r="A42" s="22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23"/>
    </row>
    <row r="43" spans="1:27" ht="15.75">
      <c r="A43" s="22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23"/>
    </row>
    <row r="44" spans="1:27" ht="15.75">
      <c r="A44" s="22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23"/>
    </row>
    <row r="45" spans="1:27" ht="15.75">
      <c r="A45" s="22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23"/>
    </row>
    <row r="46" spans="1:27" ht="15.75">
      <c r="A46" s="22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23"/>
    </row>
    <row r="47" spans="1:27" ht="15.75">
      <c r="A47" s="22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23"/>
    </row>
    <row r="48" spans="1:27" ht="15.75">
      <c r="A48" s="22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23"/>
    </row>
    <row r="49" spans="1:27" ht="15.75">
      <c r="A49" s="22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23"/>
    </row>
    <row r="50" spans="1:27" ht="15.75">
      <c r="A50" s="22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23"/>
    </row>
    <row r="51" spans="1:27" ht="15.75">
      <c r="A51" s="22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23"/>
    </row>
    <row r="52" spans="1:27" ht="15.75">
      <c r="A52" s="22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23"/>
    </row>
    <row r="53" spans="1:27" s="3" customFormat="1" ht="15.75">
      <c r="A53" s="22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23"/>
    </row>
    <row r="54" spans="1:27" ht="15.75">
      <c r="A54" s="22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23"/>
    </row>
    <row r="55" spans="1:27" ht="15.75">
      <c r="A55" s="22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23"/>
    </row>
    <row r="56" spans="1:27" ht="15.75">
      <c r="A56" s="22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23"/>
    </row>
    <row r="57" spans="1:27" ht="15.75">
      <c r="A57" s="22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23"/>
    </row>
    <row r="58" spans="1:27" ht="15.75">
      <c r="A58" s="22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23"/>
    </row>
    <row r="59" spans="1:27" ht="15.75">
      <c r="A59" s="22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23"/>
    </row>
    <row r="60" spans="1:27" ht="15.75">
      <c r="A60" s="22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23"/>
    </row>
    <row r="61" spans="1:27" ht="153" customHeight="1" thickBot="1">
      <c r="A61" s="24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6"/>
    </row>
  </sheetData>
  <mergeCells count="2">
    <mergeCell ref="A2:S2"/>
    <mergeCell ref="T2:AA2"/>
  </mergeCells>
  <printOptions horizontalCentered="1" verticalCentered="1"/>
  <pageMargins left="0" right="0" top="0" bottom="0" header="0" footer="0"/>
  <pageSetup paperSize="5" scale="50" orientation="landscape" r:id="rId1"/>
  <headerFooter>
    <oddFooter>&amp;R&amp;P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15AAE-ABF1-4B0E-B409-B7FA32B8E52D}">
  <sheetPr>
    <tabColor rgb="FFFF0000"/>
  </sheetPr>
  <dimension ref="A1:U96"/>
  <sheetViews>
    <sheetView showGridLines="0" view="pageBreakPreview" topLeftCell="A9" zoomScale="115" zoomScaleNormal="84" zoomScaleSheetLayoutView="115" workbookViewId="0">
      <selection activeCell="B4" sqref="B4"/>
    </sheetView>
  </sheetViews>
  <sheetFormatPr baseColWidth="10" defaultColWidth="11.42578125" defaultRowHeight="15" outlineLevelRow="1"/>
  <cols>
    <col min="1" max="1" width="5.85546875" customWidth="1"/>
    <col min="2" max="2" width="32.28515625" customWidth="1"/>
    <col min="3" max="3" width="11.85546875" customWidth="1"/>
    <col min="4" max="4" width="5.42578125" customWidth="1"/>
    <col min="5" max="5" width="11.5703125" customWidth="1"/>
    <col min="6" max="6" width="12" customWidth="1"/>
    <col min="7" max="7" width="5.5703125" customWidth="1"/>
    <col min="8" max="8" width="9.28515625" customWidth="1"/>
    <col min="9" max="9" width="12.85546875" customWidth="1"/>
    <col min="10" max="10" width="4.85546875" customWidth="1"/>
    <col min="11" max="11" width="13" customWidth="1"/>
    <col min="12" max="12" width="12" customWidth="1"/>
    <col min="13" max="13" width="4.42578125" customWidth="1"/>
    <col min="14" max="14" width="13.5703125" customWidth="1"/>
    <col min="15" max="15" width="12.28515625" customWidth="1"/>
    <col min="16" max="16" width="6.28515625" customWidth="1"/>
    <col min="17" max="17" width="10.5703125" customWidth="1"/>
    <col min="18" max="18" width="6.42578125" customWidth="1"/>
    <col min="19" max="19" width="10.7109375" customWidth="1"/>
  </cols>
  <sheetData>
    <row r="1" spans="1:21" ht="18.75">
      <c r="A1" s="483" t="s">
        <v>88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4"/>
      <c r="N1" s="484"/>
      <c r="O1" s="484"/>
      <c r="P1" s="484"/>
      <c r="Q1" s="484"/>
      <c r="R1" s="484"/>
    </row>
    <row r="2" spans="1:21" ht="19.5" thickBot="1">
      <c r="A2" s="485" t="s">
        <v>221</v>
      </c>
      <c r="B2" s="486"/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6"/>
      <c r="N2" s="486"/>
      <c r="O2" s="486"/>
      <c r="P2" s="486"/>
      <c r="Q2" s="486"/>
      <c r="R2" s="486"/>
    </row>
    <row r="3" spans="1:21">
      <c r="A3" s="404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1" ht="15.75" thickBot="1">
      <c r="A4" s="404"/>
      <c r="B4" s="405"/>
      <c r="C4" s="405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21" ht="88.5" customHeight="1" thickBot="1">
      <c r="A5" s="404"/>
      <c r="B5" s="422" t="s">
        <v>89</v>
      </c>
      <c r="C5" s="487" t="s">
        <v>90</v>
      </c>
      <c r="D5" s="487"/>
      <c r="E5" s="487"/>
      <c r="F5" s="487" t="s">
        <v>91</v>
      </c>
      <c r="G5" s="487"/>
      <c r="H5" s="487"/>
      <c r="I5" s="487" t="s">
        <v>219</v>
      </c>
      <c r="J5" s="487"/>
      <c r="K5" s="487"/>
      <c r="L5" s="487" t="s">
        <v>92</v>
      </c>
      <c r="M5" s="487"/>
      <c r="N5" s="487"/>
      <c r="O5" s="487" t="s">
        <v>220</v>
      </c>
      <c r="P5" s="487"/>
      <c r="Q5" s="488"/>
      <c r="R5" s="402"/>
      <c r="S5" s="401"/>
      <c r="T5" s="3"/>
      <c r="U5" s="3"/>
    </row>
    <row r="6" spans="1:21" ht="21">
      <c r="A6" s="404"/>
      <c r="B6" s="423" t="s">
        <v>23</v>
      </c>
      <c r="C6" s="408"/>
      <c r="D6" s="409">
        <f>IF(data_status_reg!$E4="bajo",0,IF(data_status_reg!$E4="medio",0.5,IF(data_status_reg!$E4="alto",1,"falta riesgo")))</f>
        <v>0</v>
      </c>
      <c r="E6" s="410"/>
      <c r="F6" s="410"/>
      <c r="G6" s="409">
        <f>IF(data_status_reg!$E20="bajo",0,IF(data_status_reg!$E20="medio",0.5,IF(data_status_reg!$E20="alto",1,"falta riesgo")))</f>
        <v>0</v>
      </c>
      <c r="H6" s="410"/>
      <c r="I6" s="410"/>
      <c r="J6" s="409">
        <f>IF(data_status_reg!$E36="bajo",0,IF(data_status_reg!$E36="medio",0.5,IF(data_status_reg!$E36="alto",1,"falta riesgo")))</f>
        <v>0</v>
      </c>
      <c r="K6" s="410"/>
      <c r="L6" s="410"/>
      <c r="M6" s="409">
        <f>IF(data_status_reg!$E52="bajo",0,IF(data_status_reg!$E52="medio",0.5,IF(data_status_reg!$E52="alto",1,"falta riesgo")))</f>
        <v>0</v>
      </c>
      <c r="N6" s="411"/>
      <c r="O6" s="425"/>
      <c r="P6" s="409">
        <f>IF(data_status_reg!$E68="bajo",0,IF(data_status_reg!$E68="medio",0.5,IF(data_status_reg!$E68="alto",1,"falta riesgo")))</f>
        <v>0</v>
      </c>
      <c r="Q6" s="412"/>
      <c r="R6" s="403"/>
    </row>
    <row r="7" spans="1:21" ht="21">
      <c r="A7" s="404"/>
      <c r="B7" s="423" t="s">
        <v>24</v>
      </c>
      <c r="C7" s="413"/>
      <c r="D7" s="398">
        <f>IF(data_status_reg!$E5="bajo",0,IF(data_status_reg!$E5="medio",0.5,IF(data_status_reg!$E5="alto",1,"falta riesgo")))</f>
        <v>0</v>
      </c>
      <c r="E7" s="399"/>
      <c r="F7" s="399"/>
      <c r="G7" s="398">
        <f>IF(data_status_reg!$E21="bajo",0,IF(data_status_reg!$E21="medio",0.5,IF(data_status_reg!$E21="alto",1,"falta riesgo")))</f>
        <v>0</v>
      </c>
      <c r="H7" s="399"/>
      <c r="I7" s="399"/>
      <c r="J7" s="398">
        <f>IF(data_status_reg!$E37="bajo",0,IF(data_status_reg!$E37="medio",0.5,IF(data_status_reg!$E37="alto",1,"falta riesgo")))</f>
        <v>0</v>
      </c>
      <c r="K7" s="399"/>
      <c r="L7" s="399"/>
      <c r="M7" s="398">
        <f>IF(data_status_reg!$E53="bajo",0,IF(data_status_reg!$E53="medio",0.5,IF(data_status_reg!$E53="alto",1,"falta riesgo")))</f>
        <v>0</v>
      </c>
      <c r="N7" s="396"/>
      <c r="O7" s="426"/>
      <c r="P7" s="398">
        <f>IF(data_status_reg!$E69="bajo",0,IF(data_status_reg!$E69="medio",0.5,IF(data_status_reg!$E69="alto",1,"falta riesgo")))</f>
        <v>0</v>
      </c>
      <c r="Q7" s="414"/>
      <c r="R7" s="3"/>
    </row>
    <row r="8" spans="1:21" ht="21">
      <c r="A8" s="404"/>
      <c r="B8" s="423" t="s">
        <v>25</v>
      </c>
      <c r="C8" s="413"/>
      <c r="D8" s="398">
        <f>IF(data_status_reg!$E6="bajo",0,IF(data_status_reg!$E6="medio",0.5,IF(data_status_reg!$E6="alto",1,"falta riesgo")))</f>
        <v>0</v>
      </c>
      <c r="E8" s="399"/>
      <c r="F8" s="399"/>
      <c r="G8" s="398">
        <f>IF(data_status_reg!$E22="bajo",0,IF(data_status_reg!$E22="medio",0.5,IF(data_status_reg!$E22="alto",1,"falta riesgo")))</f>
        <v>0</v>
      </c>
      <c r="H8" s="399"/>
      <c r="I8" s="399"/>
      <c r="J8" s="398">
        <f>IF(data_status_reg!$E38="bajo",0,IF(data_status_reg!$E38="medio",0.5,IF(data_status_reg!$E38="alto",1,"falta riesgo")))</f>
        <v>0</v>
      </c>
      <c r="K8" s="399"/>
      <c r="L8" s="399"/>
      <c r="M8" s="398">
        <f>IF(data_status_reg!$E54="bajo",0,IF(data_status_reg!$E54="medio",0.5,IF(data_status_reg!$E54="alto",1,"falta riesgo")))</f>
        <v>0</v>
      </c>
      <c r="N8" s="396"/>
      <c r="O8" s="426"/>
      <c r="P8" s="398">
        <f>IF(data_status_reg!$E70="bajo",0,IF(data_status_reg!$E70="medio",0.5,IF(data_status_reg!$E70="alto",1,"falta riesgo")))</f>
        <v>0</v>
      </c>
      <c r="Q8" s="414"/>
      <c r="R8" s="3"/>
    </row>
    <row r="9" spans="1:21" ht="21">
      <c r="A9" s="404"/>
      <c r="B9" s="423" t="s">
        <v>26</v>
      </c>
      <c r="C9" s="413"/>
      <c r="D9" s="398">
        <f>IF(data_status_reg!$E7="bajo",0,IF(data_status_reg!$E7="medio",0.5,IF(data_status_reg!$E7="alto",1,"falta riesgo")))</f>
        <v>0</v>
      </c>
      <c r="E9" s="399"/>
      <c r="F9" s="399"/>
      <c r="G9" s="398">
        <f>IF(data_status_reg!$E23="bajo",0,IF(data_status_reg!$E23="medio",0.5,IF(data_status_reg!$E23="alto",1,"falta riesgo")))</f>
        <v>0</v>
      </c>
      <c r="H9" s="399"/>
      <c r="I9" s="399"/>
      <c r="J9" s="398">
        <f>IF(data_status_reg!$E39="bajo",0,IF(data_status_reg!$E39="medio",0.5,IF(data_status_reg!$E39="alto",1,"falta riesgo")))</f>
        <v>0</v>
      </c>
      <c r="K9" s="399"/>
      <c r="L9" s="399"/>
      <c r="M9" s="398">
        <f>IF(data_status_reg!$E55="bajo",0,IF(data_status_reg!$E55="medio",0.5,IF(data_status_reg!$E55="alto",1,"falta riesgo")))</f>
        <v>0</v>
      </c>
      <c r="N9" s="396"/>
      <c r="O9" s="426"/>
      <c r="P9" s="398">
        <f>IF(data_status_reg!$E71="bajo",0,IF(data_status_reg!$E71="medio",0.5,IF(data_status_reg!$E71="alto",1,"falta riesgo")))</f>
        <v>0</v>
      </c>
      <c r="Q9" s="414"/>
      <c r="R9" s="3"/>
    </row>
    <row r="10" spans="1:21" ht="21">
      <c r="A10" s="404"/>
      <c r="B10" s="423" t="s">
        <v>27</v>
      </c>
      <c r="C10" s="413"/>
      <c r="D10" s="398">
        <f>IF(data_status_reg!$E8="bajo",0,IF(data_status_reg!$E8="medio",0.5,IF(data_status_reg!$E8="alto",1,"falta riesgo")))</f>
        <v>0</v>
      </c>
      <c r="E10" s="399"/>
      <c r="F10" s="399"/>
      <c r="G10" s="398">
        <f>IF(data_status_reg!$E24="bajo",0,IF(data_status_reg!$E24="medio",0.5,IF(data_status_reg!$E24="alto",1,"falta riesgo")))</f>
        <v>0</v>
      </c>
      <c r="H10" s="399"/>
      <c r="I10" s="399"/>
      <c r="J10" s="398">
        <f>IF(data_status_reg!$E40="bajo",0,IF(data_status_reg!$E40="medio",0.5,IF(data_status_reg!$E40="alto",1,"falta riesgo")))</f>
        <v>0</v>
      </c>
      <c r="K10" s="399"/>
      <c r="L10" s="399"/>
      <c r="M10" s="398">
        <f>IF(data_status_reg!$E56="bajo",0,IF(data_status_reg!$E56="medio",0.5,IF(data_status_reg!$E56="alto",1,"falta riesgo")))</f>
        <v>0</v>
      </c>
      <c r="N10" s="396"/>
      <c r="O10" s="426"/>
      <c r="P10" s="398">
        <f>IF(data_status_reg!$E72="bajo",0,IF(data_status_reg!$E72="medio",0.5,IF(data_status_reg!$E72="alto",1,"falta riesgo")))</f>
        <v>0</v>
      </c>
      <c r="Q10" s="414"/>
      <c r="R10" s="3"/>
    </row>
    <row r="11" spans="1:21" ht="21">
      <c r="A11" s="404"/>
      <c r="B11" s="423" t="s">
        <v>28</v>
      </c>
      <c r="C11" s="413"/>
      <c r="D11" s="398">
        <f>IF(data_status_reg!$E9="bajo",0,IF(data_status_reg!$E9="medio",0.5,IF(data_status_reg!$E9="alto",1,"falta riesgo")))</f>
        <v>0</v>
      </c>
      <c r="E11" s="399"/>
      <c r="F11" s="399"/>
      <c r="G11" s="398">
        <f>IF(data_status_reg!$E25="bajo",0,IF(data_status_reg!$E25="medio",0.5,IF(data_status_reg!$E25="alto",1,"falta riesgo")))</f>
        <v>0</v>
      </c>
      <c r="H11" s="399"/>
      <c r="I11" s="399"/>
      <c r="J11" s="398">
        <f>IF(data_status_reg!$E41="bajo",0,IF(data_status_reg!$E41="medio",0.5,IF(data_status_reg!$E41="alto",1,"falta riesgo")))</f>
        <v>0</v>
      </c>
      <c r="K11" s="399"/>
      <c r="L11" s="399"/>
      <c r="M11" s="398">
        <f>IF(data_status_reg!$E57="bajo",0,IF(data_status_reg!$E57="medio",0.5,IF(data_status_reg!$E57="alto",1,"falta riesgo")))</f>
        <v>0</v>
      </c>
      <c r="N11" s="396"/>
      <c r="O11" s="426"/>
      <c r="P11" s="398">
        <f>IF(data_status_reg!$E73="bajo",0,IF(data_status_reg!$E73="medio",0.5,IF(data_status_reg!$E73="alto",1,"falta riesgo")))</f>
        <v>0</v>
      </c>
      <c r="Q11" s="414"/>
      <c r="R11" s="3"/>
    </row>
    <row r="12" spans="1:21" ht="21">
      <c r="A12" s="404"/>
      <c r="B12" s="423" t="s">
        <v>29</v>
      </c>
      <c r="C12" s="413"/>
      <c r="D12" s="398">
        <f>IF(data_status_reg!$E10="bajo",0,IF(data_status_reg!$E10="medio",0.5,IF(data_status_reg!$E10="alto",1,"falta riesgo")))</f>
        <v>0</v>
      </c>
      <c r="E12" s="399"/>
      <c r="F12" s="399"/>
      <c r="G12" s="398">
        <f>IF(data_status_reg!$E26="bajo",0,IF(data_status_reg!$E26="medio",0.5,IF(data_status_reg!$E26="alto",1,"falta riesgo")))</f>
        <v>0</v>
      </c>
      <c r="H12" s="399"/>
      <c r="I12" s="400"/>
      <c r="J12" s="398">
        <f>IF(data_status_reg!$E42="bajo",0,IF(data_status_reg!$E42="medio",0.5,IF(data_status_reg!$E42="alto",1,"falta riesgo")))</f>
        <v>0</v>
      </c>
      <c r="K12" s="400"/>
      <c r="L12" s="400"/>
      <c r="M12" s="398">
        <f>IF(data_status_reg!$E58="bajo",0,IF(data_status_reg!$E58="medio",0.5,IF(data_status_reg!$E58="alto",1,"falta riesgo")))</f>
        <v>0</v>
      </c>
      <c r="N12" s="397"/>
      <c r="O12" s="427"/>
      <c r="P12" s="398">
        <f>IF(data_status_reg!$E74="bajo",0,IF(data_status_reg!$E74="medio",0.5,IF(data_status_reg!$E74="alto",1,"falta riesgo")))</f>
        <v>0</v>
      </c>
      <c r="Q12" s="414"/>
      <c r="R12" s="3"/>
    </row>
    <row r="13" spans="1:21" ht="21">
      <c r="A13" s="404"/>
      <c r="B13" s="423" t="s">
        <v>30</v>
      </c>
      <c r="C13" s="413"/>
      <c r="D13" s="398">
        <f>IF(data_status_reg!$E11="bajo",0,IF(data_status_reg!$E11="medio",0.5,IF(data_status_reg!$E11="alto",1,"falta riesgo")))</f>
        <v>0</v>
      </c>
      <c r="E13" s="399"/>
      <c r="F13" s="399"/>
      <c r="G13" s="398">
        <f>IF(data_status_reg!$E27="bajo",0,IF(data_status_reg!$E27="medio",0.5,IF(data_status_reg!$E27="alto",1,"falta riesgo")))</f>
        <v>0</v>
      </c>
      <c r="H13" s="399"/>
      <c r="I13" s="399"/>
      <c r="J13" s="398">
        <f>IF(data_status_reg!$E43="bajo",0,IF(data_status_reg!$E43="medio",0.5,IF(data_status_reg!$E43="alto",1,"falta riesgo")))</f>
        <v>0</v>
      </c>
      <c r="K13" s="399"/>
      <c r="L13" s="399"/>
      <c r="M13" s="398">
        <f>IF(data_status_reg!$E59="bajo",0,IF(data_status_reg!$E59="medio",0.5,IF(data_status_reg!$E59="alto",1,"falta riesgo")))</f>
        <v>0</v>
      </c>
      <c r="N13" s="396"/>
      <c r="O13" s="426"/>
      <c r="P13" s="398">
        <f>IF(data_status_reg!$E75="bajo",0,IF(data_status_reg!$E75="medio",0.5,IF(data_status_reg!$E75="alto",1,"falta riesgo")))</f>
        <v>0</v>
      </c>
      <c r="Q13" s="414"/>
      <c r="R13" s="3"/>
      <c r="U13" s="16"/>
    </row>
    <row r="14" spans="1:21" ht="21">
      <c r="A14" s="404"/>
      <c r="B14" s="423" t="s">
        <v>31</v>
      </c>
      <c r="C14" s="413"/>
      <c r="D14" s="398">
        <f>IF(data_status_reg!$E12="bajo",0,IF(data_status_reg!$E12="medio",0.5,IF(data_status_reg!$E12="alto",1,"falta riesgo")))</f>
        <v>0</v>
      </c>
      <c r="E14" s="399"/>
      <c r="F14" s="399"/>
      <c r="G14" s="398">
        <f>IF(data_status_reg!$E28="bajo",0,IF(data_status_reg!$E28="medio",0.5,IF(data_status_reg!$E28="alto",1,"falta riesgo")))</f>
        <v>0</v>
      </c>
      <c r="H14" s="399"/>
      <c r="I14" s="399"/>
      <c r="J14" s="398">
        <f>IF(data_status_reg!$E44="bajo",0,IF(data_status_reg!$E44="medio",0.5,IF(data_status_reg!$E44="alto",1,"falta riesgo")))</f>
        <v>0</v>
      </c>
      <c r="K14" s="399"/>
      <c r="L14" s="399"/>
      <c r="M14" s="398">
        <f>IF(data_status_reg!$E60="bajo",0,IF(data_status_reg!$E60="medio",0.5,IF(data_status_reg!$E60="alto",1,"falta riesgo")))</f>
        <v>0</v>
      </c>
      <c r="N14" s="396"/>
      <c r="O14" s="426"/>
      <c r="P14" s="398">
        <f>IF(data_status_reg!$E76="bajo",0,IF(data_status_reg!$E76="medio",0.5,IF(data_status_reg!$E76="alto",1,"falta riesgo")))</f>
        <v>0</v>
      </c>
      <c r="Q14" s="414"/>
      <c r="R14" s="3"/>
    </row>
    <row r="15" spans="1:21" ht="21">
      <c r="A15" s="404"/>
      <c r="B15" s="423" t="s">
        <v>32</v>
      </c>
      <c r="C15" s="413"/>
      <c r="D15" s="398">
        <f>IF(data_status_reg!$E13="bajo",0,IF(data_status_reg!$E13="medio",0.5,IF(data_status_reg!$E13="alto",1,"falta riesgo")))</f>
        <v>0</v>
      </c>
      <c r="E15" s="399"/>
      <c r="F15" s="399"/>
      <c r="G15" s="398">
        <f>IF(data_status_reg!$E29="bajo",0,IF(data_status_reg!$E29="medio",0.5,IF(data_status_reg!$E29="alto",1,"falta riesgo")))</f>
        <v>0</v>
      </c>
      <c r="H15" s="399"/>
      <c r="I15" s="400"/>
      <c r="J15" s="398">
        <f>IF(data_status_reg!$E45="bajo",0,IF(data_status_reg!$E45="medio",0.5,IF(data_status_reg!$E45="alto",1,"falta riesgo")))</f>
        <v>0</v>
      </c>
      <c r="K15" s="400"/>
      <c r="L15" s="400"/>
      <c r="M15" s="398">
        <f>IF(data_status_reg!$E61="bajo",0,IF(data_status_reg!$E61="medio",0.5,IF(data_status_reg!$E61="alto",1,"falta riesgo")))</f>
        <v>0</v>
      </c>
      <c r="N15" s="397"/>
      <c r="O15" s="427"/>
      <c r="P15" s="398">
        <f>IF(data_status_reg!$E77="bajo",0,IF(data_status_reg!$E77="medio",0.5,IF(data_status_reg!$E77="alto",1,"falta riesgo")))</f>
        <v>0</v>
      </c>
      <c r="Q15" s="414"/>
      <c r="R15" s="3"/>
    </row>
    <row r="16" spans="1:21" ht="21">
      <c r="A16" s="404"/>
      <c r="B16" s="423" t="s">
        <v>33</v>
      </c>
      <c r="C16" s="413"/>
      <c r="D16" s="398">
        <f>IF(data_status_reg!$E14="bajo",0,IF(data_status_reg!$E14="medio",0.5,IF(data_status_reg!$E14="alto",1,"falta riesgo")))</f>
        <v>0</v>
      </c>
      <c r="E16" s="399"/>
      <c r="F16" s="399"/>
      <c r="G16" s="398">
        <f>IF(data_status_reg!$E30="bajo",0,IF(data_status_reg!$E30="medio",0.5,IF(data_status_reg!$E30="alto",1,"falta riesgo")))</f>
        <v>0</v>
      </c>
      <c r="H16" s="399"/>
      <c r="I16" s="399"/>
      <c r="J16" s="398">
        <f>IF(data_status_reg!$E46="bajo",0,IF(data_status_reg!$E46="medio",0.5,IF(data_status_reg!$E46="alto",1,"falta riesgo")))</f>
        <v>0</v>
      </c>
      <c r="K16" s="399"/>
      <c r="L16" s="399"/>
      <c r="M16" s="398">
        <f>IF(data_status_reg!$E62="bajo",0,IF(data_status_reg!$E62="medio",0.5,IF(data_status_reg!$E62="alto",1,"falta riesgo")))</f>
        <v>0</v>
      </c>
      <c r="N16" s="396"/>
      <c r="O16" s="426"/>
      <c r="P16" s="398">
        <f>IF(data_status_reg!$E78="bajo",0,IF(data_status_reg!$E78="medio",0.5,IF(data_status_reg!$E78="alto",1,"falta riesgo")))</f>
        <v>0</v>
      </c>
      <c r="Q16" s="414"/>
      <c r="R16" s="3"/>
    </row>
    <row r="17" spans="1:18" ht="21">
      <c r="A17" s="404"/>
      <c r="B17" s="423" t="s">
        <v>34</v>
      </c>
      <c r="C17" s="413"/>
      <c r="D17" s="398">
        <f>IF(data_status_reg!$E15="bajo",0,IF(data_status_reg!$E15="medio",0.5,IF(data_status_reg!$E15="alto",1,"falta riesgo")))</f>
        <v>0</v>
      </c>
      <c r="E17" s="399"/>
      <c r="F17" s="399"/>
      <c r="G17" s="398">
        <f>IF(data_status_reg!$E31="bajo",0,IF(data_status_reg!$E31="medio",0.5,IF(data_status_reg!$E31="alto",1,"falta riesgo")))</f>
        <v>0</v>
      </c>
      <c r="H17" s="399"/>
      <c r="I17" s="399"/>
      <c r="J17" s="398">
        <f>IF(data_status_reg!$E47="bajo",0,IF(data_status_reg!$E47="medio",0.5,IF(data_status_reg!$E47="alto",1,"falta riesgo")))</f>
        <v>0</v>
      </c>
      <c r="K17" s="399"/>
      <c r="L17" s="399"/>
      <c r="M17" s="398">
        <f>IF(data_status_reg!$E63="bajo",0,IF(data_status_reg!$E63="medio",0.5,IF(data_status_reg!$E63="alto",1,"falta riesgo")))</f>
        <v>0</v>
      </c>
      <c r="N17" s="396"/>
      <c r="O17" s="426"/>
      <c r="P17" s="398">
        <f>IF(data_status_reg!$E79="bajo",0,IF(data_status_reg!$E79="medio",0.5,IF(data_status_reg!$E79="alto",1,"falta riesgo")))</f>
        <v>0</v>
      </c>
      <c r="Q17" s="414"/>
      <c r="R17" s="3"/>
    </row>
    <row r="18" spans="1:18" ht="21">
      <c r="A18" s="404"/>
      <c r="B18" s="423" t="s">
        <v>35</v>
      </c>
      <c r="C18" s="413"/>
      <c r="D18" s="398">
        <f>IF(data_status_reg!$E16="bajo",0,IF(data_status_reg!$E16="medio",0.5,IF(data_status_reg!$E16="alto",1,"falta riesgo")))</f>
        <v>0</v>
      </c>
      <c r="E18" s="399"/>
      <c r="F18" s="399"/>
      <c r="G18" s="429" t="s">
        <v>93</v>
      </c>
      <c r="H18" s="399"/>
      <c r="I18" s="399"/>
      <c r="J18" s="398">
        <f>IF(data_status_reg!$E48="bajo",0,IF(data_status_reg!$E48="medio",0.5,IF(data_status_reg!$E48="alto",1,"falta riesgo")))</f>
        <v>0</v>
      </c>
      <c r="K18" s="399"/>
      <c r="M18" s="398">
        <f>IF(data_status_reg!$E64="bajo",0,IF(data_status_reg!$E64="medio",0.5,IF(data_status_reg!$E64="alto",1,"falta riesgo")))</f>
        <v>0</v>
      </c>
      <c r="N18" s="397"/>
      <c r="O18" s="427"/>
      <c r="P18" s="398">
        <f>IF(data_status_reg!$E80="bajo",0,IF(data_status_reg!$E80="medio",0.5,IF(data_status_reg!$E80="alto",1,"falta riesgo")))</f>
        <v>0</v>
      </c>
      <c r="Q18" s="414"/>
      <c r="R18" s="3"/>
    </row>
    <row r="19" spans="1:18" ht="21">
      <c r="A19" s="404"/>
      <c r="B19" s="423" t="s">
        <v>36</v>
      </c>
      <c r="C19" s="413"/>
      <c r="D19" s="398">
        <f>IF(data_status_reg!$E17="bajo",0,IF(data_status_reg!$E17="medio",0.5,IF(data_status_reg!$E17="alto",1,"falta riesgo")))</f>
        <v>0</v>
      </c>
      <c r="E19" s="399"/>
      <c r="F19" s="399"/>
      <c r="G19" s="398">
        <f>IF(data_status_reg!$E33="bajo",0,IF(data_status_reg!$E33="medio",0.5,IF(data_status_reg!$E33="alto",1,"falta riesgo")))</f>
        <v>0</v>
      </c>
      <c r="H19" s="399"/>
      <c r="I19" s="399"/>
      <c r="J19" s="398">
        <f>IF(data_status_reg!$E49="bajo",0,IF(data_status_reg!$E49="medio",0.5,IF(data_status_reg!$E49="alto",1,"falta riesgo")))</f>
        <v>0</v>
      </c>
      <c r="K19" s="399"/>
      <c r="L19" s="399"/>
      <c r="M19" s="398">
        <f>IF(data_status_reg!$E65="bajo",0,IF(data_status_reg!$E65="medio",0.5,IF(data_status_reg!$E65="alto",1,"falta riesgo")))</f>
        <v>0</v>
      </c>
      <c r="N19" s="396"/>
      <c r="O19" s="426"/>
      <c r="P19" s="398">
        <f>IF(data_status_reg!$E81="bajo",0,IF(data_status_reg!$E81="medio",0.5,IF(data_status_reg!$E81="alto",1,"falta riesgo")))</f>
        <v>0</v>
      </c>
      <c r="Q19" s="414"/>
      <c r="R19" s="3"/>
    </row>
    <row r="20" spans="1:18" ht="21">
      <c r="A20" s="404"/>
      <c r="B20" s="423" t="s">
        <v>37</v>
      </c>
      <c r="C20" s="413"/>
      <c r="D20" s="398">
        <f>IF(data_status_reg!$E18="bajo",0,IF(data_status_reg!$E18="medio",0.5,IF(data_status_reg!$E18="alto",1,"falta riesgo")))</f>
        <v>0</v>
      </c>
      <c r="E20" s="399"/>
      <c r="F20" s="399"/>
      <c r="G20" s="398">
        <f>IF(data_status_reg!$E34="bajo",0,IF(data_status_reg!$E34="medio",0.5,IF(data_status_reg!$E34="alto",1,"falta riesgo")))</f>
        <v>0</v>
      </c>
      <c r="H20" s="399"/>
      <c r="I20" s="399"/>
      <c r="J20" s="398">
        <f>IF(data_status_reg!$E50="bajo",0,IF(data_status_reg!$E50="medio",0.5,IF(data_status_reg!$E50="alto",1,"falta riesgo")))</f>
        <v>0</v>
      </c>
      <c r="K20" s="399"/>
      <c r="L20" s="399"/>
      <c r="M20" s="398">
        <f>IF(data_status_reg!$E66="bajo",0,IF(data_status_reg!$E66="medio",0.5,IF(data_status_reg!$E66="alto",1,"falta riesgo")))</f>
        <v>0</v>
      </c>
      <c r="N20" s="396"/>
      <c r="O20" s="426"/>
      <c r="P20" s="398">
        <f>IF(data_status_reg!$E82="bajo",0,IF(data_status_reg!$E82="medio",0.5,IF(data_status_reg!$E82="alto",1,"falta riesgo")))</f>
        <v>0</v>
      </c>
      <c r="Q20" s="414"/>
      <c r="R20" s="3"/>
    </row>
    <row r="21" spans="1:18" ht="21.75" thickBot="1">
      <c r="A21" s="404"/>
      <c r="B21" s="424" t="s">
        <v>38</v>
      </c>
      <c r="C21" s="415"/>
      <c r="D21" s="416">
        <f>IF(data_status_reg!$E19="bajo",0,IF(data_status_reg!$E19="medio",0.5,IF(data_status_reg!$E19="alto",1,"falta riesgo")))</f>
        <v>0</v>
      </c>
      <c r="E21" s="417"/>
      <c r="F21" s="417"/>
      <c r="G21" s="430" t="s">
        <v>93</v>
      </c>
      <c r="H21" s="417"/>
      <c r="I21" s="417"/>
      <c r="J21" s="416">
        <f>IF(data_status_reg!$E51="bajo",0,IF(data_status_reg!$E51="medio",0.5,IF(data_status_reg!$E51="alto",1,"falta riesgo")))</f>
        <v>0</v>
      </c>
      <c r="K21" s="417"/>
      <c r="L21" s="418"/>
      <c r="M21" s="419">
        <f>IF(data_status_reg!$E67="bajo",0,IF(data_status_reg!$E67="medio",0.5,IF(data_status_reg!$E67="alto",1,"falta riesgo")))</f>
        <v>0</v>
      </c>
      <c r="N21" s="420"/>
      <c r="O21" s="428"/>
      <c r="P21" s="416">
        <f>IF(data_status_reg!$E83="bajo",0,IF(data_status_reg!$E83="medio",0.5,IF(data_status_reg!$E83="alto",1,"falta riesgo")))</f>
        <v>0</v>
      </c>
      <c r="Q21" s="421"/>
      <c r="R21" s="3"/>
    </row>
    <row r="22" spans="1:18">
      <c r="A22" s="40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ht="15.75" thickBot="1">
      <c r="A23" s="406"/>
      <c r="B23" s="407"/>
      <c r="C23" s="407"/>
      <c r="D23" s="407"/>
      <c r="E23" s="407"/>
      <c r="F23" s="407"/>
      <c r="G23" s="407"/>
      <c r="H23" s="407"/>
      <c r="I23" s="407"/>
      <c r="J23" s="407"/>
      <c r="K23" s="407"/>
      <c r="L23" s="407"/>
      <c r="M23" s="407"/>
      <c r="N23" s="407"/>
      <c r="O23" s="407"/>
      <c r="P23" s="407"/>
      <c r="Q23" s="407"/>
      <c r="R23" s="407"/>
    </row>
    <row r="26" spans="1:18" outlineLevel="1"/>
    <row r="27" spans="1:18" outlineLevel="1">
      <c r="B27" s="7"/>
      <c r="C27" s="7"/>
      <c r="D27" s="7"/>
      <c r="E27" s="8"/>
    </row>
    <row r="28" spans="1:18" outlineLevel="1">
      <c r="E28" s="6"/>
    </row>
    <row r="29" spans="1:18" outlineLevel="1">
      <c r="E29" s="6"/>
    </row>
    <row r="30" spans="1:18" outlineLevel="1">
      <c r="E30" s="6"/>
    </row>
    <row r="31" spans="1:18" outlineLevel="1">
      <c r="E31" s="6"/>
    </row>
    <row r="32" spans="1:18" outlineLevel="1">
      <c r="E32" s="6"/>
    </row>
    <row r="33" spans="5:5" outlineLevel="1">
      <c r="E33" s="6"/>
    </row>
    <row r="34" spans="5:5" outlineLevel="1">
      <c r="E34" s="6"/>
    </row>
    <row r="35" spans="5:5" outlineLevel="1">
      <c r="E35" s="6"/>
    </row>
    <row r="36" spans="5:5" outlineLevel="1">
      <c r="E36" s="6"/>
    </row>
    <row r="37" spans="5:5" outlineLevel="1">
      <c r="E37" s="6"/>
    </row>
    <row r="38" spans="5:5" outlineLevel="1">
      <c r="E38" s="6"/>
    </row>
    <row r="39" spans="5:5" outlineLevel="1">
      <c r="E39" s="6"/>
    </row>
    <row r="40" spans="5:5" outlineLevel="1">
      <c r="E40" s="6"/>
    </row>
    <row r="41" spans="5:5" outlineLevel="1">
      <c r="E41" s="6"/>
    </row>
    <row r="42" spans="5:5" outlineLevel="1">
      <c r="E42" s="6"/>
    </row>
    <row r="43" spans="5:5" outlineLevel="1">
      <c r="E43" s="6"/>
    </row>
    <row r="44" spans="5:5" outlineLevel="1">
      <c r="E44" s="6"/>
    </row>
    <row r="45" spans="5:5" outlineLevel="1">
      <c r="E45" s="6"/>
    </row>
    <row r="46" spans="5:5" outlineLevel="1">
      <c r="E46" s="6"/>
    </row>
    <row r="47" spans="5:5" outlineLevel="1">
      <c r="E47" s="6"/>
    </row>
    <row r="48" spans="5:5" outlineLevel="1">
      <c r="E48" s="6"/>
    </row>
    <row r="49" spans="5:5" outlineLevel="1">
      <c r="E49" s="6"/>
    </row>
    <row r="50" spans="5:5" outlineLevel="1">
      <c r="E50" s="6"/>
    </row>
    <row r="51" spans="5:5" outlineLevel="1">
      <c r="E51" s="6"/>
    </row>
    <row r="52" spans="5:5" outlineLevel="1">
      <c r="E52" s="6"/>
    </row>
    <row r="53" spans="5:5" outlineLevel="1">
      <c r="E53" s="6"/>
    </row>
    <row r="54" spans="5:5" outlineLevel="1">
      <c r="E54" s="6"/>
    </row>
    <row r="55" spans="5:5" outlineLevel="1">
      <c r="E55" s="6"/>
    </row>
    <row r="56" spans="5:5" outlineLevel="1">
      <c r="E56" s="6"/>
    </row>
    <row r="57" spans="5:5" outlineLevel="1">
      <c r="E57" s="6"/>
    </row>
    <row r="58" spans="5:5" outlineLevel="1">
      <c r="E58" s="6"/>
    </row>
    <row r="59" spans="5:5" outlineLevel="1">
      <c r="E59" s="6"/>
    </row>
    <row r="60" spans="5:5" outlineLevel="1">
      <c r="E60" s="6"/>
    </row>
    <row r="61" spans="5:5" outlineLevel="1">
      <c r="E61" s="6"/>
    </row>
    <row r="62" spans="5:5" outlineLevel="1">
      <c r="E62" s="6"/>
    </row>
    <row r="63" spans="5:5" outlineLevel="1">
      <c r="E63" s="6"/>
    </row>
    <row r="64" spans="5:5" outlineLevel="1">
      <c r="E64" s="6"/>
    </row>
    <row r="65" spans="5:5" outlineLevel="1">
      <c r="E65" s="6"/>
    </row>
    <row r="66" spans="5:5" outlineLevel="1">
      <c r="E66" s="6"/>
    </row>
    <row r="67" spans="5:5" outlineLevel="1">
      <c r="E67" s="6"/>
    </row>
    <row r="68" spans="5:5" outlineLevel="1">
      <c r="E68" s="6"/>
    </row>
    <row r="69" spans="5:5" outlineLevel="1">
      <c r="E69" s="6"/>
    </row>
    <row r="70" spans="5:5" outlineLevel="1">
      <c r="E70" s="6"/>
    </row>
    <row r="71" spans="5:5" outlineLevel="1">
      <c r="E71" s="6"/>
    </row>
    <row r="72" spans="5:5" outlineLevel="1">
      <c r="E72" s="6"/>
    </row>
    <row r="73" spans="5:5" outlineLevel="1">
      <c r="E73" s="6"/>
    </row>
    <row r="74" spans="5:5" outlineLevel="1">
      <c r="E74" s="6"/>
    </row>
    <row r="75" spans="5:5" outlineLevel="1">
      <c r="E75" s="6"/>
    </row>
    <row r="76" spans="5:5" outlineLevel="1">
      <c r="E76" s="6"/>
    </row>
    <row r="77" spans="5:5" outlineLevel="1">
      <c r="E77" s="6"/>
    </row>
    <row r="78" spans="5:5" outlineLevel="1">
      <c r="E78" s="6"/>
    </row>
    <row r="79" spans="5:5" outlineLevel="1">
      <c r="E79" s="6"/>
    </row>
    <row r="80" spans="5:5" outlineLevel="1">
      <c r="E80" s="6"/>
    </row>
    <row r="81" spans="5:5" outlineLevel="1">
      <c r="E81" s="6"/>
    </row>
    <row r="82" spans="5:5" outlineLevel="1">
      <c r="E82" s="6"/>
    </row>
    <row r="83" spans="5:5" outlineLevel="1">
      <c r="E83" s="6"/>
    </row>
    <row r="84" spans="5:5" outlineLevel="1">
      <c r="E84" s="6"/>
    </row>
    <row r="85" spans="5:5" outlineLevel="1">
      <c r="E85" s="6"/>
    </row>
    <row r="86" spans="5:5" outlineLevel="1">
      <c r="E86" s="6"/>
    </row>
    <row r="87" spans="5:5" outlineLevel="1">
      <c r="E87" s="6"/>
    </row>
    <row r="88" spans="5:5" outlineLevel="1">
      <c r="E88" s="6"/>
    </row>
    <row r="89" spans="5:5" outlineLevel="1">
      <c r="E89" s="6"/>
    </row>
    <row r="90" spans="5:5" outlineLevel="1">
      <c r="E90" s="6"/>
    </row>
    <row r="91" spans="5:5" outlineLevel="1">
      <c r="E91" s="6"/>
    </row>
    <row r="92" spans="5:5" outlineLevel="1">
      <c r="E92" s="6"/>
    </row>
    <row r="93" spans="5:5" outlineLevel="1">
      <c r="E93" s="6"/>
    </row>
    <row r="94" spans="5:5" outlineLevel="1">
      <c r="E94" s="6"/>
    </row>
    <row r="95" spans="5:5" outlineLevel="1"/>
    <row r="96" spans="5:5" outlineLevel="1"/>
  </sheetData>
  <mergeCells count="7">
    <mergeCell ref="A1:R1"/>
    <mergeCell ref="A2:R2"/>
    <mergeCell ref="L5:N5"/>
    <mergeCell ref="C5:E5"/>
    <mergeCell ref="F5:H5"/>
    <mergeCell ref="I5:K5"/>
    <mergeCell ref="O5:Q5"/>
  </mergeCells>
  <printOptions horizontalCentered="1" verticalCentered="1"/>
  <pageMargins left="0" right="0" top="0" bottom="0" header="0" footer="0"/>
  <pageSetup paperSize="5" scale="90" orientation="landscape" r:id="rId1"/>
  <headerFooter>
    <oddFooter>&amp;R&amp;P</oddFooter>
  </headerFooter>
  <rowBreaks count="1" manualBreakCount="1">
    <brk id="23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282" id="{8A3749FF-1455-47BB-8310-D19095C4A02D}">
            <x14:iconSet custom="1">
              <x14:cfvo type="percent">
                <xm:f>0</xm:f>
              </x14:cfvo>
              <x14:cfvo type="num">
                <xm:f>0.5</xm:f>
              </x14:cfvo>
              <x14:cfvo type="num">
                <xm:f>1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E21:K21 D7:D21 K7:L17 K18 K19:L20 E7:J20 D6:R6 M7:P21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C622C-8D61-4DEA-8CD3-3B78A1155B5C}">
  <sheetPr>
    <tabColor theme="9" tint="0.79998168889431442"/>
  </sheetPr>
  <dimension ref="A1:J58"/>
  <sheetViews>
    <sheetView showGridLines="0" zoomScale="85" zoomScaleNormal="85" workbookViewId="0">
      <selection activeCell="A6" sqref="A6:XFD6"/>
    </sheetView>
  </sheetViews>
  <sheetFormatPr baseColWidth="10" defaultColWidth="11.42578125" defaultRowHeight="18.75" outlineLevelCol="1"/>
  <cols>
    <col min="1" max="1" width="14.42578125" customWidth="1"/>
    <col min="2" max="2" width="17.85546875" customWidth="1"/>
    <col min="3" max="3" width="73.28515625" style="41" customWidth="1"/>
    <col min="4" max="4" width="11.5703125" style="10" bestFit="1" customWidth="1"/>
    <col min="9" max="9" width="47.7109375" bestFit="1" customWidth="1" outlineLevel="1"/>
    <col min="10" max="10" width="22" style="6" bestFit="1" customWidth="1" outlineLevel="1"/>
  </cols>
  <sheetData>
    <row r="1" spans="1:10">
      <c r="I1" s="9" t="s">
        <v>39</v>
      </c>
      <c r="J1" s="8" t="s">
        <v>40</v>
      </c>
    </row>
    <row r="2" spans="1:10" ht="18" customHeight="1">
      <c r="A2" s="15" t="s">
        <v>41</v>
      </c>
      <c r="B2" s="15"/>
    </row>
    <row r="3" spans="1:10" ht="18" customHeight="1">
      <c r="A3" s="15"/>
      <c r="B3" s="15"/>
      <c r="C3" s="42" t="s">
        <v>43</v>
      </c>
      <c r="D3" s="5">
        <f>IF(J5="bajo",0,IF(J5="medio",0.5,IF(J5="alto",1,"falta riesgo")))</f>
        <v>0</v>
      </c>
      <c r="E3" s="4"/>
      <c r="I3" t="s">
        <v>225</v>
      </c>
      <c r="J3" s="6" t="s">
        <v>13</v>
      </c>
    </row>
    <row r="4" spans="1:10" ht="18" customHeight="1">
      <c r="A4" s="15"/>
      <c r="B4" s="15"/>
      <c r="C4" s="42" t="s">
        <v>44</v>
      </c>
      <c r="D4" s="5">
        <f t="shared" ref="D4" si="0">IF(J4="bajo",0,IF(J4="medio",0.5,IF(J4="alto",1,"falta riesgo")))</f>
        <v>0</v>
      </c>
      <c r="E4" s="4"/>
      <c r="I4" t="s">
        <v>226</v>
      </c>
      <c r="J4" s="6" t="s">
        <v>13</v>
      </c>
    </row>
    <row r="5" spans="1:10" ht="18" customHeight="1">
      <c r="A5" s="15"/>
      <c r="B5" s="15"/>
      <c r="C5" s="42" t="s">
        <v>42</v>
      </c>
      <c r="D5" s="5">
        <f>IF(J3="bajo",0,IF(J3="medio",0.5,IF(J3="alto",1,"falta riesgo")))</f>
        <v>0</v>
      </c>
      <c r="E5" s="4"/>
      <c r="I5" t="s">
        <v>227</v>
      </c>
      <c r="J5" s="6" t="s">
        <v>13</v>
      </c>
    </row>
    <row r="6" spans="1:10" ht="18" customHeight="1">
      <c r="A6" s="15"/>
      <c r="B6" s="15"/>
      <c r="C6" s="42"/>
      <c r="D6" s="5"/>
      <c r="E6" s="4"/>
      <c r="I6" t="s">
        <v>225</v>
      </c>
      <c r="J6" s="6" t="s">
        <v>13</v>
      </c>
    </row>
    <row r="7" spans="1:10" ht="18" customHeight="1">
      <c r="A7" s="15" t="s">
        <v>46</v>
      </c>
      <c r="B7" s="15"/>
      <c r="C7" s="42" t="s">
        <v>47</v>
      </c>
      <c r="D7" s="5">
        <f>IF(J9="bajo",0,IF(J9="medio",0.5,IF(J9="alto",1,"falta riesgo")))</f>
        <v>0</v>
      </c>
      <c r="E7" s="4"/>
      <c r="I7" t="s">
        <v>226</v>
      </c>
      <c r="J7" s="6" t="s">
        <v>13</v>
      </c>
    </row>
    <row r="8" spans="1:10" ht="18" customHeight="1">
      <c r="A8" s="15"/>
      <c r="B8" s="15"/>
      <c r="C8" s="42" t="s">
        <v>48</v>
      </c>
      <c r="D8" s="5">
        <f>IF(J14="bajo",0,IF(J14="medio",0.5,IF(J14="alto",1,"falta riesgo")))</f>
        <v>0</v>
      </c>
      <c r="E8" s="4"/>
      <c r="I8" t="s">
        <v>227</v>
      </c>
      <c r="J8" s="6" t="s">
        <v>13</v>
      </c>
    </row>
    <row r="9" spans="1:10" ht="18" customHeight="1">
      <c r="A9" s="15"/>
      <c r="B9" s="15"/>
      <c r="C9" s="42" t="s">
        <v>49</v>
      </c>
      <c r="D9" s="5">
        <f>IF(J15="bajo",0,IF(J15="medio",0.5,IF(J15="alto",1,"falta riesgo")))</f>
        <v>0</v>
      </c>
      <c r="E9" s="4"/>
      <c r="I9" t="s">
        <v>228</v>
      </c>
      <c r="J9" s="6" t="s">
        <v>13</v>
      </c>
    </row>
    <row r="10" spans="1:10" ht="18" customHeight="1">
      <c r="A10" s="15"/>
      <c r="B10" s="15"/>
      <c r="C10" s="42" t="s">
        <v>50</v>
      </c>
      <c r="D10" s="5">
        <f>IF(J10="bajo",0,IF(J10="medio",0.5,IF(J10="alto",1,"falta riesgo")))</f>
        <v>0</v>
      </c>
      <c r="E10" s="4"/>
      <c r="I10" t="s">
        <v>229</v>
      </c>
      <c r="J10" s="6" t="s">
        <v>13</v>
      </c>
    </row>
    <row r="11" spans="1:10" ht="18" customHeight="1">
      <c r="A11" s="15"/>
      <c r="B11" s="15"/>
      <c r="C11" s="42" t="s">
        <v>51</v>
      </c>
      <c r="D11" s="5">
        <f>IF(J12="bajo",0,IF(J12="medio",0.5,IF(J12="alto",1,"falta riesgo")))</f>
        <v>0</v>
      </c>
      <c r="E11" s="4"/>
      <c r="I11" t="s">
        <v>230</v>
      </c>
      <c r="J11" s="6" t="s">
        <v>13</v>
      </c>
    </row>
    <row r="12" spans="1:10" ht="18" customHeight="1">
      <c r="A12" s="15"/>
      <c r="B12" s="15"/>
      <c r="C12" s="42" t="s">
        <v>52</v>
      </c>
      <c r="D12" s="5">
        <f>IF(J13="bajo",0,IF(J13="medio",0.5,IF(J13="alto",1,"falta riesgo")))</f>
        <v>0</v>
      </c>
      <c r="E12" s="4"/>
      <c r="I12" t="s">
        <v>231</v>
      </c>
      <c r="J12" s="6" t="s">
        <v>13</v>
      </c>
    </row>
    <row r="13" spans="1:10" ht="18" customHeight="1">
      <c r="A13" s="15"/>
      <c r="B13" s="15"/>
      <c r="C13" s="42" t="s">
        <v>45</v>
      </c>
      <c r="D13" s="5">
        <f>IF(J11="bajo",0,IF(J11="medio",0.5,IF(J11="alto",1,"falta riesgo")))</f>
        <v>0</v>
      </c>
      <c r="E13" s="4"/>
      <c r="I13" t="s">
        <v>232</v>
      </c>
      <c r="J13" s="6" t="s">
        <v>13</v>
      </c>
    </row>
    <row r="14" spans="1:10" ht="18" customHeight="1">
      <c r="A14" s="15"/>
      <c r="B14" s="15"/>
      <c r="C14" s="42"/>
      <c r="D14" s="5"/>
      <c r="E14" s="4"/>
      <c r="I14" t="s">
        <v>233</v>
      </c>
      <c r="J14" s="6" t="s">
        <v>13</v>
      </c>
    </row>
    <row r="15" spans="1:10" ht="18" customHeight="1">
      <c r="A15" s="15" t="s">
        <v>18</v>
      </c>
      <c r="B15" s="15"/>
      <c r="C15" s="42" t="s">
        <v>54</v>
      </c>
      <c r="D15" s="5">
        <f>IF(J18="bajo",0,IF(J18="medio",0.5,IF(J18="alto",1,"falta riesgo")))</f>
        <v>0</v>
      </c>
      <c r="E15" s="4"/>
      <c r="I15" t="s">
        <v>234</v>
      </c>
      <c r="J15" s="6" t="s">
        <v>13</v>
      </c>
    </row>
    <row r="16" spans="1:10" ht="18" customHeight="1">
      <c r="A16" s="15"/>
      <c r="B16" s="15"/>
      <c r="C16" s="42" t="s">
        <v>55</v>
      </c>
      <c r="D16" s="5">
        <f>IF(J17="bajo",0,IF(J17="medio",0.5,IF(J17="alto",1,"falta riesgo")))</f>
        <v>0</v>
      </c>
      <c r="E16" s="4"/>
      <c r="I16" t="s">
        <v>235</v>
      </c>
      <c r="J16" s="6" t="s">
        <v>13</v>
      </c>
    </row>
    <row r="17" spans="1:10" ht="18" customHeight="1">
      <c r="A17" s="15"/>
      <c r="B17" s="15"/>
      <c r="C17" s="42" t="s">
        <v>56</v>
      </c>
      <c r="D17" s="5">
        <f>IF(J19="bajo",0,IF(J19="medio",0.5,IF(J19="alto",1,"falta riesgo")))</f>
        <v>0</v>
      </c>
      <c r="E17" s="4"/>
      <c r="I17" t="s">
        <v>236</v>
      </c>
      <c r="J17" s="6" t="s">
        <v>13</v>
      </c>
    </row>
    <row r="18" spans="1:10" ht="21">
      <c r="A18" s="15"/>
      <c r="B18" s="15"/>
      <c r="C18" s="42" t="s">
        <v>57</v>
      </c>
      <c r="D18" s="5">
        <f>IF(J16="bajo",0,IF(J16="medio",0.5,IF(J16="alto",1,"falta riesgo")))</f>
        <v>0</v>
      </c>
      <c r="E18" s="4"/>
      <c r="I18" t="s">
        <v>237</v>
      </c>
      <c r="J18" s="6" t="s">
        <v>13</v>
      </c>
    </row>
    <row r="19" spans="1:10" ht="18" customHeight="1">
      <c r="A19" s="15"/>
      <c r="B19" s="15"/>
      <c r="C19" s="42"/>
      <c r="D19" s="5"/>
      <c r="E19" s="4"/>
      <c r="I19" t="s">
        <v>238</v>
      </c>
      <c r="J19" s="6" t="s">
        <v>13</v>
      </c>
    </row>
    <row r="20" spans="1:10" ht="18" customHeight="1">
      <c r="A20" s="15" t="s">
        <v>19</v>
      </c>
      <c r="B20" s="15"/>
      <c r="C20" s="42" t="s">
        <v>58</v>
      </c>
      <c r="D20" s="5">
        <f>IF(J22="bajo",0,IF(J22="medio",0.5,IF(J22="alto",1,"falta riesgo")))</f>
        <v>0</v>
      </c>
      <c r="E20" s="4"/>
      <c r="I20" t="s">
        <v>239</v>
      </c>
      <c r="J20" s="6" t="s">
        <v>13</v>
      </c>
    </row>
    <row r="21" spans="1:10" ht="18" customHeight="1">
      <c r="A21" s="15"/>
      <c r="B21" s="15"/>
      <c r="C21" s="42" t="s">
        <v>59</v>
      </c>
      <c r="D21" s="5">
        <f>IF(J24="bajo",0,IF(J24="medio",0.5,IF(J24="alto",1,"falta riesgo")))</f>
        <v>0</v>
      </c>
      <c r="E21" s="4"/>
      <c r="I21" t="s">
        <v>240</v>
      </c>
      <c r="J21" s="6" t="s">
        <v>13</v>
      </c>
    </row>
    <row r="22" spans="1:10" ht="18" customHeight="1">
      <c r="A22" s="15"/>
      <c r="B22" s="15"/>
      <c r="C22" s="42" t="s">
        <v>60</v>
      </c>
      <c r="D22" s="5">
        <f>IF(J23="bajo",0,IF(J23="medio",0.5,IF(J23="alto",1,"falta riesgo")))</f>
        <v>0</v>
      </c>
      <c r="E22" s="4"/>
      <c r="I22" t="s">
        <v>241</v>
      </c>
      <c r="J22" s="6" t="s">
        <v>13</v>
      </c>
    </row>
    <row r="23" spans="1:10" ht="18" customHeight="1">
      <c r="A23" s="15"/>
      <c r="B23" s="15"/>
      <c r="C23" s="42" t="s">
        <v>61</v>
      </c>
      <c r="D23" s="5">
        <f>IF(J21="bajo",0,IF(J21="medio",0.5,IF(J21="alto",1,"falta riesgo")))</f>
        <v>0</v>
      </c>
      <c r="E23" s="4"/>
      <c r="I23" t="s">
        <v>242</v>
      </c>
      <c r="J23" s="6" t="s">
        <v>13</v>
      </c>
    </row>
    <row r="24" spans="1:10" ht="18" customHeight="1">
      <c r="A24" s="15"/>
      <c r="B24" s="15"/>
      <c r="C24" s="42" t="s">
        <v>53</v>
      </c>
      <c r="D24" s="5">
        <f>IF(J20="bajo",0,IF(J20="medio",0.5,IF(J20="alto",1,"falta riesgo")))</f>
        <v>0</v>
      </c>
      <c r="E24" s="4"/>
      <c r="I24" t="s">
        <v>243</v>
      </c>
      <c r="J24" s="6" t="s">
        <v>13</v>
      </c>
    </row>
    <row r="25" spans="1:10" ht="18" customHeight="1">
      <c r="A25" s="15"/>
      <c r="B25" s="15"/>
      <c r="C25" s="42"/>
      <c r="D25" s="5"/>
      <c r="E25" s="4"/>
      <c r="I25" t="s">
        <v>244</v>
      </c>
      <c r="J25" s="6" t="s">
        <v>13</v>
      </c>
    </row>
    <row r="26" spans="1:10" ht="18" customHeight="1">
      <c r="A26" s="15" t="s">
        <v>17</v>
      </c>
      <c r="B26" s="15"/>
      <c r="C26" s="42" t="s">
        <v>62</v>
      </c>
      <c r="D26" s="5">
        <f>IF(J27="bajo",0,IF(J27="medio",0.5,IF(J27="alto",1,"falta riesgo")))</f>
        <v>0</v>
      </c>
      <c r="E26" s="4"/>
      <c r="I26" t="s">
        <v>245</v>
      </c>
      <c r="J26" s="6" t="s">
        <v>13</v>
      </c>
    </row>
    <row r="27" spans="1:10" ht="22.5" customHeight="1">
      <c r="A27" s="15"/>
      <c r="B27" s="15"/>
      <c r="C27" s="42" t="s">
        <v>63</v>
      </c>
      <c r="D27" s="5">
        <f>IF(J26="bajo",0,IF(J26="medio",0.5,IF(J26="alto",1,"falta riesgo")))</f>
        <v>0</v>
      </c>
      <c r="E27" s="4"/>
      <c r="I27" t="s">
        <v>246</v>
      </c>
      <c r="J27" s="6" t="s">
        <v>13</v>
      </c>
    </row>
    <row r="28" spans="1:10" ht="18" customHeight="1">
      <c r="A28" s="15"/>
      <c r="B28" s="15"/>
      <c r="C28" s="42" t="s">
        <v>64</v>
      </c>
      <c r="D28" s="5">
        <f>IF(J25="bajo",0,IF(J25="medio",0.5,IF(J25="alto",1,"falta riesgo")))</f>
        <v>0</v>
      </c>
      <c r="E28" s="4"/>
      <c r="I28" t="s">
        <v>247</v>
      </c>
      <c r="J28" s="6" t="s">
        <v>13</v>
      </c>
    </row>
    <row r="29" spans="1:10" ht="18" customHeight="1">
      <c r="A29" s="15"/>
      <c r="B29" s="15"/>
      <c r="C29" s="42" t="s">
        <v>65</v>
      </c>
      <c r="D29" s="5">
        <f>IF(J30="bajo",0,IF(J30="medio",0.5,IF(J30="alto",1,"falta riesgo")))</f>
        <v>0</v>
      </c>
      <c r="E29" s="4"/>
      <c r="I29" t="s">
        <v>248</v>
      </c>
      <c r="J29" s="6" t="s">
        <v>13</v>
      </c>
    </row>
    <row r="30" spans="1:10" ht="18" customHeight="1">
      <c r="A30" s="15"/>
      <c r="B30" s="15"/>
      <c r="C30" s="42" t="s">
        <v>66</v>
      </c>
      <c r="D30" s="5">
        <f>IF(J31="bajo",0,IF(J31="medio",0.5,IF(J31="alto",1,"falta riesgo")))</f>
        <v>0</v>
      </c>
      <c r="E30" s="4"/>
      <c r="I30" t="s">
        <v>249</v>
      </c>
      <c r="J30" s="6" t="s">
        <v>13</v>
      </c>
    </row>
    <row r="31" spans="1:10" ht="18" customHeight="1">
      <c r="A31" s="15"/>
      <c r="B31" s="15"/>
      <c r="C31" s="42" t="s">
        <v>67</v>
      </c>
      <c r="D31" s="5">
        <f>IF(J32="bajo",0,IF(J32="medio",0.5,IF(J32="alto",1,"falta riesgo")))</f>
        <v>0</v>
      </c>
      <c r="E31" s="4"/>
      <c r="I31" t="s">
        <v>250</v>
      </c>
      <c r="J31" s="6" t="s">
        <v>13</v>
      </c>
    </row>
    <row r="32" spans="1:10" ht="18" customHeight="1">
      <c r="A32" s="15"/>
      <c r="B32" s="15"/>
      <c r="C32" s="42" t="s">
        <v>68</v>
      </c>
      <c r="D32" s="5">
        <f>IF(J28="bajo",0,IF(J28="medio",0.5,IF(J28="alto",1,"falta riesgo")))</f>
        <v>0</v>
      </c>
      <c r="E32" s="4"/>
      <c r="I32" t="s">
        <v>251</v>
      </c>
      <c r="J32" s="6" t="s">
        <v>13</v>
      </c>
    </row>
    <row r="33" spans="1:10" ht="18" customHeight="1">
      <c r="A33" s="15"/>
      <c r="B33" s="15"/>
      <c r="C33" s="42" t="s">
        <v>69</v>
      </c>
      <c r="D33" s="5">
        <f>IF(J29="bajo",0,IF(J29="medio",0.5,IF(J29="alto",1,"falta riesgo")))</f>
        <v>0</v>
      </c>
      <c r="E33" s="4"/>
      <c r="I33" t="s">
        <v>252</v>
      </c>
      <c r="J33" s="6" t="s">
        <v>13</v>
      </c>
    </row>
    <row r="34" spans="1:10" ht="18" customHeight="1">
      <c r="A34" s="15"/>
      <c r="B34" s="15"/>
      <c r="C34" s="42"/>
      <c r="D34" s="5"/>
      <c r="E34" s="4"/>
      <c r="I34" t="s">
        <v>253</v>
      </c>
      <c r="J34" s="6" t="s">
        <v>13</v>
      </c>
    </row>
    <row r="35" spans="1:10" ht="18" customHeight="1">
      <c r="A35" s="15" t="s">
        <v>16</v>
      </c>
      <c r="B35" s="15"/>
      <c r="C35" s="42" t="s">
        <v>70</v>
      </c>
      <c r="D35" s="5">
        <f>IF(J33="bajo",0,IF(J33="medio",0.5,IF(J33="alto",1,"falta riesgo")))</f>
        <v>0</v>
      </c>
      <c r="E35" s="4"/>
      <c r="I35" t="s">
        <v>254</v>
      </c>
      <c r="J35" s="6" t="s">
        <v>13</v>
      </c>
    </row>
    <row r="36" spans="1:10" ht="18" customHeight="1">
      <c r="A36" s="15"/>
      <c r="B36" s="15"/>
      <c r="C36" s="42" t="s">
        <v>71</v>
      </c>
      <c r="D36" s="5">
        <f>IF(J34="bajo",0,IF(J34="medio",0.5,IF(J34="alto",1,"falta riesgo")))</f>
        <v>0</v>
      </c>
      <c r="E36" s="4"/>
      <c r="I36" t="s">
        <v>255</v>
      </c>
      <c r="J36" s="6" t="s">
        <v>13</v>
      </c>
    </row>
    <row r="37" spans="1:10" ht="18" customHeight="1">
      <c r="A37" s="15"/>
      <c r="B37" s="15"/>
      <c r="C37" s="42" t="s">
        <v>72</v>
      </c>
      <c r="D37" s="5">
        <f>IF(J36="bajo",0,IF(J36="medio",0.5,IF(J36="alto",1,"falta riesgo")))</f>
        <v>0</v>
      </c>
      <c r="E37" s="4"/>
      <c r="I37" t="s">
        <v>256</v>
      </c>
      <c r="J37" s="6" t="s">
        <v>13</v>
      </c>
    </row>
    <row r="38" spans="1:10" ht="18" customHeight="1">
      <c r="A38" s="15"/>
      <c r="B38" s="15"/>
      <c r="C38" s="42" t="s">
        <v>73</v>
      </c>
      <c r="D38" s="5">
        <f>IF(J37="bajo",0,IF(J37="medio",0.5,IF(J37="alto",1,"falta riesgo")))</f>
        <v>0</v>
      </c>
      <c r="E38" s="4"/>
      <c r="I38" t="s">
        <v>257</v>
      </c>
      <c r="J38" s="6" t="s">
        <v>13</v>
      </c>
    </row>
    <row r="39" spans="1:10" ht="18" customHeight="1">
      <c r="A39" s="15"/>
      <c r="B39" s="15"/>
      <c r="C39" s="42" t="s">
        <v>74</v>
      </c>
      <c r="D39" s="5">
        <f>IF(J35="bajo",0,IF(J35="medio",0.5,IF(J35="alto",1,"falta riesgo")))</f>
        <v>0</v>
      </c>
      <c r="E39" s="4"/>
      <c r="I39" t="s">
        <v>258</v>
      </c>
      <c r="J39" s="6" t="s">
        <v>13</v>
      </c>
    </row>
    <row r="40" spans="1:10" ht="18" customHeight="1">
      <c r="A40" s="15"/>
      <c r="B40" s="15"/>
      <c r="C40" s="42"/>
      <c r="D40" s="5"/>
      <c r="E40" s="4"/>
      <c r="I40" t="s">
        <v>259</v>
      </c>
      <c r="J40" s="6" t="s">
        <v>13</v>
      </c>
    </row>
    <row r="41" spans="1:10" ht="18" customHeight="1">
      <c r="A41" s="15" t="s">
        <v>20</v>
      </c>
      <c r="B41" s="15"/>
      <c r="C41" s="42" t="s">
        <v>75</v>
      </c>
      <c r="D41" s="5">
        <f>IF(J38="bajo",0,IF(J38="medio",0.5,IF(J38="alto",1,"falta riesgo")))</f>
        <v>0</v>
      </c>
      <c r="E41" s="4"/>
      <c r="I41" t="s">
        <v>260</v>
      </c>
      <c r="J41" s="6" t="s">
        <v>13</v>
      </c>
    </row>
    <row r="42" spans="1:10" ht="18" customHeight="1">
      <c r="A42" s="15"/>
      <c r="B42" s="15"/>
      <c r="C42" s="42" t="s">
        <v>76</v>
      </c>
      <c r="D42" s="5">
        <f>IF(J39="bajo",0,IF(J39="medio",0.5,IF(J39="alto",1,"falta riesgo")))</f>
        <v>0</v>
      </c>
      <c r="E42" s="4"/>
      <c r="I42" t="s">
        <v>261</v>
      </c>
      <c r="J42" s="6" t="s">
        <v>13</v>
      </c>
    </row>
    <row r="43" spans="1:10" ht="18" customHeight="1">
      <c r="A43" s="15"/>
      <c r="B43" s="15"/>
      <c r="C43" s="42" t="s">
        <v>77</v>
      </c>
      <c r="D43" s="5">
        <f>IF(J40="bajo",0,IF(J40="medio",0.5,IF(J40="alto",1,"falta riesgo")))</f>
        <v>0</v>
      </c>
      <c r="E43" s="4"/>
      <c r="I43" t="s">
        <v>262</v>
      </c>
      <c r="J43" s="6" t="s">
        <v>13</v>
      </c>
    </row>
    <row r="44" spans="1:10" ht="18" customHeight="1">
      <c r="A44" s="15"/>
      <c r="B44" s="15"/>
      <c r="C44" s="42" t="s">
        <v>78</v>
      </c>
      <c r="D44" s="5">
        <f>IF(J41="bajo",0,IF(J41="medio",0.5,IF(J41="alto",1,"falta riesgo")))</f>
        <v>0</v>
      </c>
      <c r="E44" s="4"/>
      <c r="I44" t="s">
        <v>263</v>
      </c>
      <c r="J44" s="6" t="s">
        <v>13</v>
      </c>
    </row>
    <row r="45" spans="1:10" ht="18" customHeight="1">
      <c r="A45" s="15"/>
      <c r="B45" s="15"/>
      <c r="C45" s="42" t="s">
        <v>79</v>
      </c>
      <c r="D45" s="5">
        <f>IF(J43="bajo",0,IF(J43="medio",0.5,IF(J43="alto",1,"falta riesgo")))</f>
        <v>0</v>
      </c>
      <c r="E45" s="4"/>
      <c r="I45" t="s">
        <v>264</v>
      </c>
      <c r="J45" s="6" t="s">
        <v>13</v>
      </c>
    </row>
    <row r="46" spans="1:10" ht="20.25" customHeight="1">
      <c r="A46" s="15"/>
      <c r="B46" s="15"/>
      <c r="C46" s="42" t="s">
        <v>80</v>
      </c>
      <c r="D46" s="5">
        <f>IF(J42="bajo",0,IF(J42="medio",0.5,IF(J42="alto",1,"falta riesgo")))</f>
        <v>0</v>
      </c>
      <c r="E46" s="4"/>
      <c r="I46" t="s">
        <v>265</v>
      </c>
      <c r="J46" s="6" t="s">
        <v>13</v>
      </c>
    </row>
    <row r="47" spans="1:10" ht="18" customHeight="1">
      <c r="A47" s="15"/>
      <c r="B47" s="15"/>
      <c r="C47" s="42"/>
      <c r="D47" s="5"/>
      <c r="E47" s="4"/>
      <c r="I47" t="s">
        <v>266</v>
      </c>
      <c r="J47" s="6" t="s">
        <v>13</v>
      </c>
    </row>
    <row r="48" spans="1:10" ht="18" customHeight="1">
      <c r="A48" s="15" t="s">
        <v>22</v>
      </c>
      <c r="B48" s="15"/>
      <c r="C48" s="42" t="s">
        <v>81</v>
      </c>
      <c r="D48" s="5">
        <f>IF(J49="bajo",0,IF(J49="medio",0.5,IF(J49="alto",1,"falta riesgo")))</f>
        <v>0</v>
      </c>
      <c r="E48" s="4"/>
      <c r="I48" t="s">
        <v>267</v>
      </c>
      <c r="J48" s="6" t="s">
        <v>13</v>
      </c>
    </row>
    <row r="49" spans="1:10" ht="18" customHeight="1">
      <c r="A49" s="15"/>
      <c r="B49" s="15"/>
      <c r="C49" s="42" t="s">
        <v>82</v>
      </c>
      <c r="D49" s="5">
        <f>IF(J44="bajo",0,IF(J44="medio",0.5,IF(J44="alto",1,"falta riesgo")))</f>
        <v>0</v>
      </c>
      <c r="E49" s="4"/>
      <c r="I49" t="s">
        <v>268</v>
      </c>
      <c r="J49" s="6" t="s">
        <v>13</v>
      </c>
    </row>
    <row r="50" spans="1:10" ht="18" customHeight="1">
      <c r="A50" s="15"/>
      <c r="B50" s="15"/>
      <c r="C50" s="42" t="s">
        <v>83</v>
      </c>
      <c r="D50" s="5">
        <f>IF(J46="bajo",0,IF(J46="medio",0.5,IF(J46="alto",1,"falta riesgo")))</f>
        <v>0</v>
      </c>
      <c r="E50" s="4"/>
    </row>
    <row r="51" spans="1:10" ht="18" customHeight="1">
      <c r="A51" s="15"/>
      <c r="B51" s="15"/>
      <c r="C51" s="42" t="s">
        <v>84</v>
      </c>
      <c r="D51" s="5">
        <f>IF(J47="bajo",0,IF(J47="medio",0.5,IF(J47="alto",1,"falta riesgo")))</f>
        <v>0</v>
      </c>
      <c r="E51" s="4"/>
    </row>
    <row r="52" spans="1:10" ht="18" customHeight="1">
      <c r="A52" s="15"/>
      <c r="B52" s="15"/>
      <c r="C52" s="42" t="s">
        <v>85</v>
      </c>
      <c r="D52" s="5">
        <f>IF(J48="bajo",0,IF(J48="medio",0.5,IF(J48="alto",1,"falta riesgo")))</f>
        <v>0</v>
      </c>
      <c r="E52" s="4"/>
    </row>
    <row r="53" spans="1:10" ht="18" customHeight="1">
      <c r="A53" s="15"/>
      <c r="B53" s="15"/>
      <c r="C53" s="42" t="s">
        <v>86</v>
      </c>
      <c r="D53" s="5">
        <f>IF(J45="bajo",0,IF(J45="medio",0.5,IF(J45="alto",1,"falta riesgo")))</f>
        <v>0</v>
      </c>
      <c r="E53" s="4"/>
    </row>
    <row r="54" spans="1:10" ht="18" customHeight="1">
      <c r="A54" s="15"/>
      <c r="B54" s="15"/>
      <c r="C54" s="42" t="s">
        <v>87</v>
      </c>
      <c r="D54" s="5" t="str">
        <f>IF(J50="bajo",0,IF(J50="medio",0.5,IF(J50="alto",1,"falta riesgo")))</f>
        <v>falta riesgo</v>
      </c>
      <c r="E54" s="4"/>
    </row>
    <row r="55" spans="1:10">
      <c r="D55" s="11"/>
    </row>
    <row r="56" spans="1:10">
      <c r="D56" s="11"/>
    </row>
    <row r="57" spans="1:10">
      <c r="D57" s="11"/>
    </row>
    <row r="58" spans="1:10">
      <c r="D58" s="11"/>
    </row>
  </sheetData>
  <pageMargins left="0.7" right="0.7" top="0.75" bottom="0.75" header="0.3" footer="0.3"/>
  <pageSetup orientation="portrait" r:id="rId1"/>
  <ignoredErrors>
    <ignoredError sqref="D53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280" id="{289D36AF-E676-49E1-BECF-6CC4B8AAC096}">
            <x14:iconSet custom="1">
              <x14:cfvo type="percent">
                <xm:f>0</xm:f>
              </x14:cfvo>
              <x14:cfvo type="num">
                <xm:f>0.5</xm:f>
              </x14:cfvo>
              <x14:cfvo type="num">
                <xm:f>1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D3:D54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A5CA2-3C0C-49EC-93D2-60B7FC0752B3}">
  <dimension ref="B3:E83"/>
  <sheetViews>
    <sheetView workbookViewId="0">
      <selection activeCell="E4" sqref="E4:E83"/>
    </sheetView>
  </sheetViews>
  <sheetFormatPr baseColWidth="10" defaultRowHeight="15"/>
  <cols>
    <col min="2" max="2" width="14" customWidth="1"/>
    <col min="3" max="3" width="22.85546875" customWidth="1"/>
    <col min="4" max="4" width="17.5703125" customWidth="1"/>
  </cols>
  <sheetData>
    <row r="3" spans="2:5" ht="18.75" customHeight="1">
      <c r="B3" s="80" t="s">
        <v>94</v>
      </c>
      <c r="C3" s="80" t="s">
        <v>39</v>
      </c>
      <c r="D3" s="80" t="s">
        <v>126</v>
      </c>
      <c r="E3" s="80" t="s">
        <v>127</v>
      </c>
    </row>
    <row r="4" spans="2:5">
      <c r="B4" s="2" t="s">
        <v>269</v>
      </c>
      <c r="C4" s="2" t="s">
        <v>274</v>
      </c>
      <c r="D4" s="2" t="s">
        <v>23</v>
      </c>
      <c r="E4" s="81" t="s">
        <v>13</v>
      </c>
    </row>
    <row r="5" spans="2:5">
      <c r="B5" s="2" t="s">
        <v>269</v>
      </c>
      <c r="C5" s="2" t="s">
        <v>275</v>
      </c>
      <c r="D5" s="2" t="s">
        <v>24</v>
      </c>
      <c r="E5" s="81" t="s">
        <v>13</v>
      </c>
    </row>
    <row r="6" spans="2:5">
      <c r="B6" s="2" t="s">
        <v>269</v>
      </c>
      <c r="C6" s="2" t="s">
        <v>276</v>
      </c>
      <c r="D6" s="2" t="s">
        <v>25</v>
      </c>
      <c r="E6" s="81" t="s">
        <v>13</v>
      </c>
    </row>
    <row r="7" spans="2:5">
      <c r="B7" s="2" t="s">
        <v>269</v>
      </c>
      <c r="C7" s="2" t="s">
        <v>277</v>
      </c>
      <c r="D7" s="2" t="s">
        <v>26</v>
      </c>
      <c r="E7" s="81" t="s">
        <v>13</v>
      </c>
    </row>
    <row r="8" spans="2:5">
      <c r="B8" s="2" t="s">
        <v>269</v>
      </c>
      <c r="C8" s="2" t="s">
        <v>278</v>
      </c>
      <c r="D8" s="2" t="s">
        <v>27</v>
      </c>
      <c r="E8" s="81" t="s">
        <v>13</v>
      </c>
    </row>
    <row r="9" spans="2:5">
      <c r="B9" s="2" t="s">
        <v>269</v>
      </c>
      <c r="C9" s="2" t="s">
        <v>279</v>
      </c>
      <c r="D9" s="2" t="s">
        <v>28</v>
      </c>
      <c r="E9" s="81" t="s">
        <v>13</v>
      </c>
    </row>
    <row r="10" spans="2:5">
      <c r="B10" s="2" t="s">
        <v>269</v>
      </c>
      <c r="C10" s="2" t="s">
        <v>280</v>
      </c>
      <c r="D10" s="2" t="s">
        <v>29</v>
      </c>
      <c r="E10" s="81" t="s">
        <v>13</v>
      </c>
    </row>
    <row r="11" spans="2:5">
      <c r="B11" s="2" t="s">
        <v>269</v>
      </c>
      <c r="C11" s="2" t="s">
        <v>281</v>
      </c>
      <c r="D11" s="2" t="s">
        <v>30</v>
      </c>
      <c r="E11" s="81" t="s">
        <v>13</v>
      </c>
    </row>
    <row r="12" spans="2:5">
      <c r="B12" s="2" t="s">
        <v>269</v>
      </c>
      <c r="C12" s="2" t="s">
        <v>282</v>
      </c>
      <c r="D12" s="2" t="s">
        <v>224</v>
      </c>
      <c r="E12" s="81" t="s">
        <v>13</v>
      </c>
    </row>
    <row r="13" spans="2:5">
      <c r="B13" s="2" t="s">
        <v>269</v>
      </c>
      <c r="C13" s="2" t="s">
        <v>283</v>
      </c>
      <c r="D13" s="2" t="s">
        <v>32</v>
      </c>
      <c r="E13" s="81" t="s">
        <v>13</v>
      </c>
    </row>
    <row r="14" spans="2:5">
      <c r="B14" s="2" t="s">
        <v>269</v>
      </c>
      <c r="C14" s="2" t="s">
        <v>284</v>
      </c>
      <c r="D14" s="2" t="s">
        <v>33</v>
      </c>
      <c r="E14" s="81" t="s">
        <v>13</v>
      </c>
    </row>
    <row r="15" spans="2:5">
      <c r="B15" s="2" t="s">
        <v>269</v>
      </c>
      <c r="C15" s="2" t="s">
        <v>285</v>
      </c>
      <c r="D15" s="2" t="s">
        <v>34</v>
      </c>
      <c r="E15" s="81" t="s">
        <v>13</v>
      </c>
    </row>
    <row r="16" spans="2:5">
      <c r="B16" s="2" t="s">
        <v>269</v>
      </c>
      <c r="C16" s="2" t="s">
        <v>286</v>
      </c>
      <c r="D16" s="2" t="s">
        <v>35</v>
      </c>
      <c r="E16" s="81" t="s">
        <v>13</v>
      </c>
    </row>
    <row r="17" spans="2:5">
      <c r="B17" s="2" t="s">
        <v>269</v>
      </c>
      <c r="C17" s="2" t="s">
        <v>287</v>
      </c>
      <c r="D17" s="2" t="s">
        <v>36</v>
      </c>
      <c r="E17" s="81" t="s">
        <v>13</v>
      </c>
    </row>
    <row r="18" spans="2:5">
      <c r="B18" s="2" t="s">
        <v>269</v>
      </c>
      <c r="C18" s="2" t="s">
        <v>288</v>
      </c>
      <c r="D18" s="2" t="s">
        <v>37</v>
      </c>
      <c r="E18" s="81" t="s">
        <v>13</v>
      </c>
    </row>
    <row r="19" spans="2:5">
      <c r="B19" s="2" t="s">
        <v>269</v>
      </c>
      <c r="C19" s="2" t="s">
        <v>289</v>
      </c>
      <c r="D19" s="2" t="s">
        <v>38</v>
      </c>
      <c r="E19" s="81" t="s">
        <v>13</v>
      </c>
    </row>
    <row r="20" spans="2:5">
      <c r="B20" s="82" t="s">
        <v>270</v>
      </c>
      <c r="C20" s="82" t="s">
        <v>290</v>
      </c>
      <c r="D20" s="82" t="s">
        <v>23</v>
      </c>
      <c r="E20" s="81" t="s">
        <v>13</v>
      </c>
    </row>
    <row r="21" spans="2:5">
      <c r="B21" s="82" t="s">
        <v>270</v>
      </c>
      <c r="C21" s="82" t="s">
        <v>291</v>
      </c>
      <c r="D21" s="82" t="s">
        <v>24</v>
      </c>
      <c r="E21" s="81" t="s">
        <v>13</v>
      </c>
    </row>
    <row r="22" spans="2:5">
      <c r="B22" s="82" t="s">
        <v>270</v>
      </c>
      <c r="C22" s="82" t="s">
        <v>292</v>
      </c>
      <c r="D22" s="82" t="s">
        <v>25</v>
      </c>
      <c r="E22" s="81" t="s">
        <v>13</v>
      </c>
    </row>
    <row r="23" spans="2:5">
      <c r="B23" s="82" t="s">
        <v>270</v>
      </c>
      <c r="C23" s="82" t="s">
        <v>293</v>
      </c>
      <c r="D23" s="82" t="s">
        <v>26</v>
      </c>
      <c r="E23" s="81" t="s">
        <v>13</v>
      </c>
    </row>
    <row r="24" spans="2:5">
      <c r="B24" s="82" t="s">
        <v>270</v>
      </c>
      <c r="C24" s="82" t="s">
        <v>294</v>
      </c>
      <c r="D24" s="82" t="s">
        <v>27</v>
      </c>
      <c r="E24" s="81" t="s">
        <v>13</v>
      </c>
    </row>
    <row r="25" spans="2:5">
      <c r="B25" s="82" t="s">
        <v>270</v>
      </c>
      <c r="C25" s="82" t="s">
        <v>295</v>
      </c>
      <c r="D25" s="82" t="s">
        <v>28</v>
      </c>
      <c r="E25" s="81" t="s">
        <v>13</v>
      </c>
    </row>
    <row r="26" spans="2:5">
      <c r="B26" s="82" t="s">
        <v>270</v>
      </c>
      <c r="C26" s="82" t="s">
        <v>296</v>
      </c>
      <c r="D26" s="82" t="s">
        <v>29</v>
      </c>
      <c r="E26" s="81" t="s">
        <v>13</v>
      </c>
    </row>
    <row r="27" spans="2:5">
      <c r="B27" s="82" t="s">
        <v>270</v>
      </c>
      <c r="C27" s="82" t="s">
        <v>297</v>
      </c>
      <c r="D27" s="82" t="s">
        <v>30</v>
      </c>
      <c r="E27" s="81" t="s">
        <v>13</v>
      </c>
    </row>
    <row r="28" spans="2:5">
      <c r="B28" s="82" t="s">
        <v>270</v>
      </c>
      <c r="C28" s="82" t="s">
        <v>298</v>
      </c>
      <c r="D28" s="82" t="s">
        <v>224</v>
      </c>
      <c r="E28" s="81" t="s">
        <v>13</v>
      </c>
    </row>
    <row r="29" spans="2:5">
      <c r="B29" s="82" t="s">
        <v>270</v>
      </c>
      <c r="C29" s="82" t="s">
        <v>299</v>
      </c>
      <c r="D29" s="82" t="s">
        <v>32</v>
      </c>
      <c r="E29" s="81" t="s">
        <v>13</v>
      </c>
    </row>
    <row r="30" spans="2:5">
      <c r="B30" s="82" t="s">
        <v>270</v>
      </c>
      <c r="C30" s="82" t="s">
        <v>300</v>
      </c>
      <c r="D30" s="82" t="s">
        <v>33</v>
      </c>
      <c r="E30" s="81" t="s">
        <v>13</v>
      </c>
    </row>
    <row r="31" spans="2:5">
      <c r="B31" s="82" t="s">
        <v>270</v>
      </c>
      <c r="C31" s="82" t="s">
        <v>301</v>
      </c>
      <c r="D31" s="82" t="s">
        <v>34</v>
      </c>
      <c r="E31" s="81" t="s">
        <v>13</v>
      </c>
    </row>
    <row r="32" spans="2:5">
      <c r="B32" s="82" t="s">
        <v>270</v>
      </c>
      <c r="C32" s="82" t="s">
        <v>302</v>
      </c>
      <c r="D32" s="82" t="s">
        <v>35</v>
      </c>
      <c r="E32" s="81" t="s">
        <v>93</v>
      </c>
    </row>
    <row r="33" spans="2:5">
      <c r="B33" s="82" t="s">
        <v>270</v>
      </c>
      <c r="C33" s="82" t="s">
        <v>303</v>
      </c>
      <c r="D33" s="82" t="s">
        <v>36</v>
      </c>
      <c r="E33" s="81" t="s">
        <v>13</v>
      </c>
    </row>
    <row r="34" spans="2:5">
      <c r="B34" s="82" t="s">
        <v>270</v>
      </c>
      <c r="C34" s="82" t="s">
        <v>304</v>
      </c>
      <c r="D34" s="82" t="s">
        <v>37</v>
      </c>
      <c r="E34" s="81" t="s">
        <v>13</v>
      </c>
    </row>
    <row r="35" spans="2:5">
      <c r="B35" s="82" t="s">
        <v>270</v>
      </c>
      <c r="C35" s="82" t="s">
        <v>305</v>
      </c>
      <c r="D35" s="82" t="s">
        <v>38</v>
      </c>
      <c r="E35" s="81" t="s">
        <v>93</v>
      </c>
    </row>
    <row r="36" spans="2:5">
      <c r="B36" s="79" t="s">
        <v>271</v>
      </c>
      <c r="C36" s="2" t="s">
        <v>306</v>
      </c>
      <c r="D36" s="2" t="s">
        <v>23</v>
      </c>
      <c r="E36" s="81" t="s">
        <v>13</v>
      </c>
    </row>
    <row r="37" spans="2:5">
      <c r="B37" s="79" t="s">
        <v>271</v>
      </c>
      <c r="C37" s="2" t="s">
        <v>307</v>
      </c>
      <c r="D37" s="2" t="s">
        <v>24</v>
      </c>
      <c r="E37" s="81" t="s">
        <v>13</v>
      </c>
    </row>
    <row r="38" spans="2:5">
      <c r="B38" s="79" t="s">
        <v>271</v>
      </c>
      <c r="C38" s="2" t="s">
        <v>308</v>
      </c>
      <c r="D38" s="2" t="s">
        <v>25</v>
      </c>
      <c r="E38" s="81" t="s">
        <v>13</v>
      </c>
    </row>
    <row r="39" spans="2:5">
      <c r="B39" s="79" t="s">
        <v>271</v>
      </c>
      <c r="C39" s="2" t="s">
        <v>309</v>
      </c>
      <c r="D39" s="2" t="s">
        <v>26</v>
      </c>
      <c r="E39" s="81" t="s">
        <v>13</v>
      </c>
    </row>
    <row r="40" spans="2:5">
      <c r="B40" s="79" t="s">
        <v>271</v>
      </c>
      <c r="C40" s="2" t="s">
        <v>310</v>
      </c>
      <c r="D40" s="2" t="s">
        <v>27</v>
      </c>
      <c r="E40" s="81" t="s">
        <v>13</v>
      </c>
    </row>
    <row r="41" spans="2:5">
      <c r="B41" s="79" t="s">
        <v>271</v>
      </c>
      <c r="C41" s="2" t="s">
        <v>311</v>
      </c>
      <c r="D41" s="2" t="s">
        <v>28</v>
      </c>
      <c r="E41" s="81" t="s">
        <v>13</v>
      </c>
    </row>
    <row r="42" spans="2:5">
      <c r="B42" s="79" t="s">
        <v>271</v>
      </c>
      <c r="C42" s="2" t="s">
        <v>312</v>
      </c>
      <c r="D42" s="2" t="s">
        <v>29</v>
      </c>
      <c r="E42" s="81" t="s">
        <v>13</v>
      </c>
    </row>
    <row r="43" spans="2:5">
      <c r="B43" s="79" t="s">
        <v>271</v>
      </c>
      <c r="C43" s="2" t="s">
        <v>313</v>
      </c>
      <c r="D43" s="2" t="s">
        <v>30</v>
      </c>
      <c r="E43" s="81" t="s">
        <v>13</v>
      </c>
    </row>
    <row r="44" spans="2:5">
      <c r="B44" s="79" t="s">
        <v>271</v>
      </c>
      <c r="C44" s="2" t="s">
        <v>314</v>
      </c>
      <c r="D44" s="2" t="s">
        <v>224</v>
      </c>
      <c r="E44" s="81" t="s">
        <v>13</v>
      </c>
    </row>
    <row r="45" spans="2:5">
      <c r="B45" s="79" t="s">
        <v>271</v>
      </c>
      <c r="C45" s="2" t="s">
        <v>315</v>
      </c>
      <c r="D45" s="2" t="s">
        <v>32</v>
      </c>
      <c r="E45" s="81" t="s">
        <v>13</v>
      </c>
    </row>
    <row r="46" spans="2:5">
      <c r="B46" s="79" t="s">
        <v>271</v>
      </c>
      <c r="C46" s="2" t="s">
        <v>316</v>
      </c>
      <c r="D46" s="2" t="s">
        <v>33</v>
      </c>
      <c r="E46" s="81" t="s">
        <v>13</v>
      </c>
    </row>
    <row r="47" spans="2:5">
      <c r="B47" s="79" t="s">
        <v>271</v>
      </c>
      <c r="C47" s="2" t="s">
        <v>317</v>
      </c>
      <c r="D47" s="2" t="s">
        <v>34</v>
      </c>
      <c r="E47" s="81" t="s">
        <v>13</v>
      </c>
    </row>
    <row r="48" spans="2:5">
      <c r="B48" s="79" t="s">
        <v>271</v>
      </c>
      <c r="C48" s="2" t="s">
        <v>318</v>
      </c>
      <c r="D48" s="2" t="s">
        <v>35</v>
      </c>
      <c r="E48" s="81" t="s">
        <v>13</v>
      </c>
    </row>
    <row r="49" spans="2:5">
      <c r="B49" s="79" t="s">
        <v>271</v>
      </c>
      <c r="C49" s="2" t="s">
        <v>319</v>
      </c>
      <c r="D49" s="2" t="s">
        <v>36</v>
      </c>
      <c r="E49" s="81" t="s">
        <v>13</v>
      </c>
    </row>
    <row r="50" spans="2:5">
      <c r="B50" s="79" t="s">
        <v>271</v>
      </c>
      <c r="C50" s="2" t="s">
        <v>320</v>
      </c>
      <c r="D50" s="2" t="s">
        <v>37</v>
      </c>
      <c r="E50" s="81" t="s">
        <v>13</v>
      </c>
    </row>
    <row r="51" spans="2:5">
      <c r="B51" s="79" t="s">
        <v>271</v>
      </c>
      <c r="C51" s="2" t="s">
        <v>321</v>
      </c>
      <c r="D51" s="2" t="s">
        <v>38</v>
      </c>
      <c r="E51" s="81" t="s">
        <v>13</v>
      </c>
    </row>
    <row r="52" spans="2:5">
      <c r="B52" s="79" t="s">
        <v>272</v>
      </c>
      <c r="C52" s="2" t="s">
        <v>322</v>
      </c>
      <c r="D52" s="83" t="s">
        <v>23</v>
      </c>
      <c r="E52" s="81" t="s">
        <v>13</v>
      </c>
    </row>
    <row r="53" spans="2:5">
      <c r="B53" s="79" t="s">
        <v>272</v>
      </c>
      <c r="C53" s="2" t="s">
        <v>323</v>
      </c>
      <c r="D53" s="83" t="s">
        <v>24</v>
      </c>
      <c r="E53" s="81" t="s">
        <v>13</v>
      </c>
    </row>
    <row r="54" spans="2:5">
      <c r="B54" s="79" t="s">
        <v>272</v>
      </c>
      <c r="C54" s="2" t="s">
        <v>324</v>
      </c>
      <c r="D54" s="83" t="s">
        <v>25</v>
      </c>
      <c r="E54" s="81" t="s">
        <v>13</v>
      </c>
    </row>
    <row r="55" spans="2:5">
      <c r="B55" s="79" t="s">
        <v>272</v>
      </c>
      <c r="C55" s="2" t="s">
        <v>325</v>
      </c>
      <c r="D55" s="83" t="s">
        <v>26</v>
      </c>
      <c r="E55" s="81" t="s">
        <v>13</v>
      </c>
    </row>
    <row r="56" spans="2:5">
      <c r="B56" s="79" t="s">
        <v>272</v>
      </c>
      <c r="C56" s="2" t="s">
        <v>326</v>
      </c>
      <c r="D56" s="83" t="s">
        <v>27</v>
      </c>
      <c r="E56" s="81" t="s">
        <v>13</v>
      </c>
    </row>
    <row r="57" spans="2:5">
      <c r="B57" s="79" t="s">
        <v>272</v>
      </c>
      <c r="C57" s="2" t="s">
        <v>327</v>
      </c>
      <c r="D57" s="83" t="s">
        <v>28</v>
      </c>
      <c r="E57" s="81" t="s">
        <v>13</v>
      </c>
    </row>
    <row r="58" spans="2:5">
      <c r="B58" s="79" t="s">
        <v>272</v>
      </c>
      <c r="C58" s="2" t="s">
        <v>328</v>
      </c>
      <c r="D58" s="83" t="s">
        <v>29</v>
      </c>
      <c r="E58" s="81" t="s">
        <v>13</v>
      </c>
    </row>
    <row r="59" spans="2:5">
      <c r="B59" s="79" t="s">
        <v>272</v>
      </c>
      <c r="C59" s="2" t="s">
        <v>329</v>
      </c>
      <c r="D59" s="83" t="s">
        <v>30</v>
      </c>
      <c r="E59" s="81" t="s">
        <v>13</v>
      </c>
    </row>
    <row r="60" spans="2:5">
      <c r="B60" s="79" t="s">
        <v>272</v>
      </c>
      <c r="C60" s="2" t="s">
        <v>330</v>
      </c>
      <c r="D60" s="83" t="s">
        <v>224</v>
      </c>
      <c r="E60" s="81" t="s">
        <v>13</v>
      </c>
    </row>
    <row r="61" spans="2:5">
      <c r="B61" s="79" t="s">
        <v>272</v>
      </c>
      <c r="C61" s="2" t="s">
        <v>331</v>
      </c>
      <c r="D61" s="83" t="s">
        <v>32</v>
      </c>
      <c r="E61" s="81" t="s">
        <v>13</v>
      </c>
    </row>
    <row r="62" spans="2:5">
      <c r="B62" s="79" t="s">
        <v>272</v>
      </c>
      <c r="C62" s="2" t="s">
        <v>332</v>
      </c>
      <c r="D62" s="83" t="s">
        <v>33</v>
      </c>
      <c r="E62" s="81" t="s">
        <v>13</v>
      </c>
    </row>
    <row r="63" spans="2:5">
      <c r="B63" s="79" t="s">
        <v>272</v>
      </c>
      <c r="C63" s="2" t="s">
        <v>333</v>
      </c>
      <c r="D63" s="83" t="s">
        <v>34</v>
      </c>
      <c r="E63" s="81" t="s">
        <v>13</v>
      </c>
    </row>
    <row r="64" spans="2:5">
      <c r="B64" s="79" t="s">
        <v>272</v>
      </c>
      <c r="C64" s="2" t="s">
        <v>334</v>
      </c>
      <c r="D64" s="83" t="s">
        <v>35</v>
      </c>
      <c r="E64" s="81" t="s">
        <v>13</v>
      </c>
    </row>
    <row r="65" spans="2:5">
      <c r="B65" s="79" t="s">
        <v>272</v>
      </c>
      <c r="C65" s="2" t="s">
        <v>335</v>
      </c>
      <c r="D65" s="83" t="s">
        <v>36</v>
      </c>
      <c r="E65" s="81" t="s">
        <v>13</v>
      </c>
    </row>
    <row r="66" spans="2:5">
      <c r="B66" s="79" t="s">
        <v>272</v>
      </c>
      <c r="C66" s="2" t="s">
        <v>336</v>
      </c>
      <c r="D66" s="83" t="s">
        <v>37</v>
      </c>
      <c r="E66" s="81" t="s">
        <v>13</v>
      </c>
    </row>
    <row r="67" spans="2:5">
      <c r="B67" s="79" t="s">
        <v>272</v>
      </c>
      <c r="C67" s="2" t="s">
        <v>337</v>
      </c>
      <c r="D67" s="83" t="s">
        <v>38</v>
      </c>
      <c r="E67" s="81" t="s">
        <v>13</v>
      </c>
    </row>
    <row r="68" spans="2:5">
      <c r="B68" s="79" t="s">
        <v>273</v>
      </c>
      <c r="C68" s="2" t="s">
        <v>338</v>
      </c>
      <c r="D68" s="83" t="s">
        <v>23</v>
      </c>
      <c r="E68" s="81" t="s">
        <v>13</v>
      </c>
    </row>
    <row r="69" spans="2:5">
      <c r="B69" s="79" t="s">
        <v>273</v>
      </c>
      <c r="C69" s="2" t="s">
        <v>339</v>
      </c>
      <c r="D69" s="83" t="s">
        <v>24</v>
      </c>
      <c r="E69" s="81" t="s">
        <v>13</v>
      </c>
    </row>
    <row r="70" spans="2:5">
      <c r="B70" s="79" t="s">
        <v>273</v>
      </c>
      <c r="C70" s="2" t="s">
        <v>340</v>
      </c>
      <c r="D70" s="83" t="s">
        <v>25</v>
      </c>
      <c r="E70" s="81" t="s">
        <v>13</v>
      </c>
    </row>
    <row r="71" spans="2:5">
      <c r="B71" s="79" t="s">
        <v>273</v>
      </c>
      <c r="C71" s="2" t="s">
        <v>341</v>
      </c>
      <c r="D71" s="83" t="s">
        <v>26</v>
      </c>
      <c r="E71" s="81" t="s">
        <v>13</v>
      </c>
    </row>
    <row r="72" spans="2:5">
      <c r="B72" s="79" t="s">
        <v>273</v>
      </c>
      <c r="C72" s="2" t="s">
        <v>342</v>
      </c>
      <c r="D72" s="83" t="s">
        <v>27</v>
      </c>
      <c r="E72" s="81" t="s">
        <v>13</v>
      </c>
    </row>
    <row r="73" spans="2:5">
      <c r="B73" s="79" t="s">
        <v>273</v>
      </c>
      <c r="C73" s="2" t="s">
        <v>343</v>
      </c>
      <c r="D73" s="83" t="s">
        <v>28</v>
      </c>
      <c r="E73" s="81" t="s">
        <v>13</v>
      </c>
    </row>
    <row r="74" spans="2:5">
      <c r="B74" s="79" t="s">
        <v>273</v>
      </c>
      <c r="C74" s="2" t="s">
        <v>344</v>
      </c>
      <c r="D74" s="83" t="s">
        <v>29</v>
      </c>
      <c r="E74" s="81" t="s">
        <v>13</v>
      </c>
    </row>
    <row r="75" spans="2:5">
      <c r="B75" s="79" t="s">
        <v>273</v>
      </c>
      <c r="C75" s="2" t="s">
        <v>345</v>
      </c>
      <c r="D75" s="83" t="s">
        <v>30</v>
      </c>
      <c r="E75" s="81" t="s">
        <v>13</v>
      </c>
    </row>
    <row r="76" spans="2:5">
      <c r="B76" s="79" t="s">
        <v>273</v>
      </c>
      <c r="C76" s="2" t="s">
        <v>346</v>
      </c>
      <c r="D76" s="83" t="s">
        <v>224</v>
      </c>
      <c r="E76" s="81" t="s">
        <v>13</v>
      </c>
    </row>
    <row r="77" spans="2:5">
      <c r="B77" s="79" t="s">
        <v>273</v>
      </c>
      <c r="C77" s="2" t="s">
        <v>347</v>
      </c>
      <c r="D77" s="83" t="s">
        <v>32</v>
      </c>
      <c r="E77" s="81" t="s">
        <v>13</v>
      </c>
    </row>
    <row r="78" spans="2:5">
      <c r="B78" s="79" t="s">
        <v>273</v>
      </c>
      <c r="C78" s="2" t="s">
        <v>348</v>
      </c>
      <c r="D78" s="83" t="s">
        <v>33</v>
      </c>
      <c r="E78" s="81" t="s">
        <v>13</v>
      </c>
    </row>
    <row r="79" spans="2:5">
      <c r="B79" s="79" t="s">
        <v>273</v>
      </c>
      <c r="C79" s="2" t="s">
        <v>349</v>
      </c>
      <c r="D79" s="83" t="s">
        <v>34</v>
      </c>
      <c r="E79" s="81" t="s">
        <v>13</v>
      </c>
    </row>
    <row r="80" spans="2:5">
      <c r="B80" s="79" t="s">
        <v>273</v>
      </c>
      <c r="C80" s="2" t="s">
        <v>350</v>
      </c>
      <c r="D80" s="83" t="s">
        <v>35</v>
      </c>
      <c r="E80" s="81" t="s">
        <v>13</v>
      </c>
    </row>
    <row r="81" spans="2:5">
      <c r="B81" s="79" t="s">
        <v>273</v>
      </c>
      <c r="C81" s="2" t="s">
        <v>351</v>
      </c>
      <c r="D81" s="83" t="s">
        <v>36</v>
      </c>
      <c r="E81" s="81" t="s">
        <v>13</v>
      </c>
    </row>
    <row r="82" spans="2:5">
      <c r="B82" s="79" t="s">
        <v>273</v>
      </c>
      <c r="C82" s="2" t="s">
        <v>352</v>
      </c>
      <c r="D82" s="83" t="s">
        <v>37</v>
      </c>
      <c r="E82" s="81" t="s">
        <v>13</v>
      </c>
    </row>
    <row r="83" spans="2:5">
      <c r="B83" s="79" t="s">
        <v>273</v>
      </c>
      <c r="C83" s="2" t="s">
        <v>353</v>
      </c>
      <c r="D83" s="83" t="s">
        <v>38</v>
      </c>
      <c r="E83" s="81" t="s">
        <v>13</v>
      </c>
    </row>
  </sheetData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58057-0BAB-4991-96C2-F6A2F1350595}">
  <dimension ref="A1:P38"/>
  <sheetViews>
    <sheetView tabSelected="1" view="pageBreakPreview" topLeftCell="A5" zoomScale="85" zoomScaleNormal="85" zoomScaleSheetLayoutView="85" workbookViewId="0">
      <selection activeCell="I25" sqref="I25"/>
    </sheetView>
  </sheetViews>
  <sheetFormatPr baseColWidth="10" defaultColWidth="11.42578125" defaultRowHeight="15"/>
  <cols>
    <col min="1" max="1" width="3.5703125" style="36" customWidth="1"/>
    <col min="2" max="2" width="7.42578125" style="36" customWidth="1"/>
    <col min="3" max="3" width="28.7109375" style="36" bestFit="1" customWidth="1"/>
    <col min="4" max="4" width="16.28515625" style="36" customWidth="1"/>
    <col min="5" max="6" width="20.28515625" style="36" customWidth="1"/>
    <col min="7" max="7" width="19.7109375" style="36" customWidth="1"/>
    <col min="8" max="8" width="11.140625" style="36" customWidth="1"/>
    <col min="9" max="9" width="21.28515625" style="36" customWidth="1"/>
    <col min="10" max="10" width="15.42578125" style="36" customWidth="1"/>
    <col min="11" max="11" width="20.28515625" style="36" customWidth="1"/>
    <col min="12" max="12" width="21.140625" style="36" customWidth="1"/>
    <col min="13" max="13" width="18.28515625" style="36" customWidth="1"/>
    <col min="14" max="14" width="7.140625" style="36" customWidth="1"/>
    <col min="15" max="15" width="1" style="36" customWidth="1"/>
    <col min="16" max="16384" width="11.42578125" style="36"/>
  </cols>
  <sheetData>
    <row r="1" spans="1:16">
      <c r="A1" s="317"/>
      <c r="B1" s="337"/>
      <c r="C1" s="331"/>
      <c r="D1" s="331"/>
      <c r="E1" s="331"/>
      <c r="F1" s="331"/>
      <c r="G1" s="331"/>
      <c r="H1" s="331"/>
      <c r="I1" s="331"/>
      <c r="J1" s="331"/>
      <c r="K1" s="331"/>
      <c r="L1" s="331"/>
      <c r="M1" s="331"/>
      <c r="N1" s="331"/>
      <c r="O1" s="331"/>
      <c r="P1" s="331"/>
    </row>
    <row r="2" spans="1:16" ht="13.5" customHeight="1">
      <c r="A2" s="335"/>
      <c r="B2" s="336"/>
      <c r="N2" s="333"/>
      <c r="O2" s="338"/>
      <c r="P2" s="336"/>
    </row>
    <row r="3" spans="1:16" ht="37.35" customHeight="1">
      <c r="A3" s="37"/>
      <c r="B3" s="489" t="s">
        <v>95</v>
      </c>
      <c r="C3" s="490"/>
      <c r="D3" s="490"/>
      <c r="E3" s="490"/>
      <c r="F3" s="490"/>
      <c r="G3" s="490"/>
      <c r="H3" s="490"/>
      <c r="I3" s="490"/>
      <c r="J3" s="490"/>
      <c r="K3" s="490"/>
      <c r="L3" s="490"/>
      <c r="M3" s="490"/>
      <c r="N3" s="490"/>
      <c r="O3" s="491"/>
    </row>
    <row r="4" spans="1:16" ht="7.35" customHeight="1">
      <c r="A4" s="38"/>
      <c r="B4" s="496" t="s">
        <v>96</v>
      </c>
      <c r="C4" s="497"/>
      <c r="D4" s="497"/>
      <c r="E4" s="497"/>
      <c r="F4" s="497"/>
      <c r="G4" s="497"/>
      <c r="H4" s="497"/>
      <c r="I4" s="497"/>
      <c r="J4" s="497"/>
      <c r="K4" s="497"/>
      <c r="L4" s="497"/>
      <c r="M4" s="497"/>
      <c r="N4" s="497"/>
      <c r="O4" s="332"/>
    </row>
    <row r="5" spans="1:16" ht="43.5" customHeight="1">
      <c r="A5" s="38"/>
      <c r="B5" s="496"/>
      <c r="C5" s="497"/>
      <c r="D5" s="497"/>
      <c r="E5" s="497"/>
      <c r="F5" s="497"/>
      <c r="G5" s="497"/>
      <c r="H5" s="497"/>
      <c r="I5" s="497"/>
      <c r="J5" s="497"/>
      <c r="K5" s="497"/>
      <c r="L5" s="497"/>
      <c r="M5" s="497"/>
      <c r="N5" s="497"/>
      <c r="O5" s="332"/>
    </row>
    <row r="6" spans="1:16" ht="43.5" customHeight="1">
      <c r="A6" s="38"/>
      <c r="B6" s="496"/>
      <c r="C6" s="497"/>
      <c r="D6" s="497"/>
      <c r="E6" s="497"/>
      <c r="F6" s="497"/>
      <c r="G6" s="497"/>
      <c r="H6" s="497"/>
      <c r="I6" s="497"/>
      <c r="J6" s="497"/>
      <c r="K6" s="497"/>
      <c r="L6" s="497"/>
      <c r="M6" s="497"/>
      <c r="N6" s="497"/>
      <c r="O6" s="332"/>
    </row>
    <row r="7" spans="1:16" ht="8.1" customHeight="1">
      <c r="A7" s="38"/>
      <c r="B7" s="322"/>
      <c r="C7" s="313"/>
      <c r="D7" s="313"/>
      <c r="E7" s="313"/>
      <c r="F7" s="313"/>
      <c r="G7" s="313"/>
      <c r="H7" s="313"/>
      <c r="I7" s="313"/>
      <c r="J7" s="313"/>
      <c r="K7" s="313"/>
      <c r="L7" s="313"/>
      <c r="M7" s="313"/>
      <c r="N7" s="313"/>
      <c r="O7" s="332"/>
    </row>
    <row r="8" spans="1:16" ht="32.25" customHeight="1" thickBot="1">
      <c r="A8" s="321"/>
      <c r="B8" s="323"/>
      <c r="O8" s="332"/>
    </row>
    <row r="9" spans="1:16" ht="17.25" customHeight="1" thickBot="1">
      <c r="A9" s="316"/>
      <c r="B9" s="323"/>
      <c r="C9" s="314"/>
      <c r="D9" s="500" t="s">
        <v>97</v>
      </c>
      <c r="E9" s="498"/>
      <c r="F9" s="498"/>
      <c r="G9" s="499"/>
      <c r="I9" s="314"/>
      <c r="J9" s="505" t="s">
        <v>97</v>
      </c>
      <c r="K9" s="502"/>
      <c r="L9" s="503"/>
      <c r="M9" s="504"/>
      <c r="O9" s="332"/>
    </row>
    <row r="10" spans="1:16" ht="37.5" customHeight="1" thickBot="1">
      <c r="A10" s="316"/>
      <c r="B10" s="325"/>
      <c r="C10" s="70" t="s">
        <v>98</v>
      </c>
      <c r="D10" s="501"/>
      <c r="E10" s="71" t="s">
        <v>99</v>
      </c>
      <c r="F10" s="71" t="s">
        <v>100</v>
      </c>
      <c r="G10" s="72" t="s">
        <v>101</v>
      </c>
      <c r="I10" s="74" t="s">
        <v>98</v>
      </c>
      <c r="J10" s="506"/>
      <c r="K10" s="75" t="s">
        <v>99</v>
      </c>
      <c r="L10" s="75" t="s">
        <v>100</v>
      </c>
      <c r="M10" s="76" t="s">
        <v>101</v>
      </c>
      <c r="O10" s="332"/>
    </row>
    <row r="11" spans="1:16" ht="18.75">
      <c r="A11" s="318"/>
      <c r="B11" s="323"/>
      <c r="C11" s="73" t="s">
        <v>18</v>
      </c>
      <c r="D11" s="443">
        <v>1</v>
      </c>
      <c r="E11" s="443">
        <v>1</v>
      </c>
      <c r="F11" s="443">
        <v>1</v>
      </c>
      <c r="G11" s="444">
        <v>1</v>
      </c>
      <c r="I11" s="449" t="s">
        <v>23</v>
      </c>
      <c r="J11" s="443">
        <v>1</v>
      </c>
      <c r="K11" s="443">
        <v>1</v>
      </c>
      <c r="L11" s="443">
        <v>1</v>
      </c>
      <c r="M11" s="444">
        <v>1</v>
      </c>
      <c r="O11" s="332"/>
    </row>
    <row r="12" spans="1:16" ht="18.75">
      <c r="A12" s="38"/>
      <c r="B12" s="323"/>
      <c r="C12" s="40" t="s">
        <v>16</v>
      </c>
      <c r="D12" s="445">
        <v>1</v>
      </c>
      <c r="E12" s="445">
        <v>1</v>
      </c>
      <c r="F12" s="445">
        <v>1</v>
      </c>
      <c r="G12" s="446">
        <v>1</v>
      </c>
      <c r="I12" s="450" t="s">
        <v>24</v>
      </c>
      <c r="J12" s="445">
        <v>0.93</v>
      </c>
      <c r="K12" s="445">
        <v>1</v>
      </c>
      <c r="L12" s="445">
        <v>1</v>
      </c>
      <c r="M12" s="446">
        <v>0.8</v>
      </c>
      <c r="N12" s="333"/>
      <c r="O12" s="324"/>
    </row>
    <row r="13" spans="1:16" ht="18.75">
      <c r="A13" s="38"/>
      <c r="B13" s="323"/>
      <c r="C13" s="40" t="s">
        <v>19</v>
      </c>
      <c r="D13" s="445">
        <v>1</v>
      </c>
      <c r="E13" s="445">
        <v>1</v>
      </c>
      <c r="F13" s="445">
        <v>1</v>
      </c>
      <c r="G13" s="446">
        <v>1</v>
      </c>
      <c r="I13" s="450" t="s">
        <v>25</v>
      </c>
      <c r="J13" s="445">
        <v>0.93</v>
      </c>
      <c r="K13" s="445">
        <v>1</v>
      </c>
      <c r="L13" s="445">
        <v>1</v>
      </c>
      <c r="M13" s="446">
        <v>0.8</v>
      </c>
      <c r="N13" s="333"/>
      <c r="O13" s="324"/>
    </row>
    <row r="14" spans="1:16" ht="18.75">
      <c r="A14" s="319"/>
      <c r="B14" s="323"/>
      <c r="C14" s="40" t="s">
        <v>17</v>
      </c>
      <c r="D14" s="445">
        <v>0.86</v>
      </c>
      <c r="E14" s="445">
        <v>0.86</v>
      </c>
      <c r="F14" s="445">
        <v>0.86</v>
      </c>
      <c r="G14" s="446">
        <v>0.86</v>
      </c>
      <c r="I14" s="450" t="s">
        <v>26</v>
      </c>
      <c r="J14" s="445">
        <v>1</v>
      </c>
      <c r="K14" s="445">
        <v>1</v>
      </c>
      <c r="L14" s="445">
        <v>1</v>
      </c>
      <c r="M14" s="446">
        <v>1</v>
      </c>
      <c r="N14" s="333"/>
      <c r="O14" s="324"/>
    </row>
    <row r="15" spans="1:16" ht="18.75">
      <c r="A15" s="38"/>
      <c r="B15" s="323"/>
      <c r="C15" s="65" t="s">
        <v>354</v>
      </c>
      <c r="D15" s="445">
        <v>1</v>
      </c>
      <c r="E15" s="445">
        <v>1</v>
      </c>
      <c r="F15" s="445">
        <v>1</v>
      </c>
      <c r="G15" s="446">
        <v>1</v>
      </c>
      <c r="I15" s="450" t="s">
        <v>27</v>
      </c>
      <c r="J15" s="445">
        <v>0.93</v>
      </c>
      <c r="K15" s="445">
        <v>1</v>
      </c>
      <c r="L15" s="445">
        <v>0.8</v>
      </c>
      <c r="M15" s="446">
        <v>1</v>
      </c>
      <c r="N15" s="333"/>
      <c r="O15" s="324"/>
    </row>
    <row r="16" spans="1:16" ht="18.75">
      <c r="A16" s="38"/>
      <c r="B16" s="323"/>
      <c r="C16" s="65" t="s">
        <v>355</v>
      </c>
      <c r="D16" s="445">
        <v>1</v>
      </c>
      <c r="E16" s="445">
        <v>1</v>
      </c>
      <c r="F16" s="445">
        <v>1</v>
      </c>
      <c r="G16" s="446">
        <v>1</v>
      </c>
      <c r="I16" s="450" t="s">
        <v>28</v>
      </c>
      <c r="J16" s="445">
        <v>0.73</v>
      </c>
      <c r="K16" s="445">
        <v>1</v>
      </c>
      <c r="L16" s="445">
        <v>0.6</v>
      </c>
      <c r="M16" s="446">
        <v>0.6</v>
      </c>
      <c r="N16" s="333"/>
      <c r="O16" s="324"/>
    </row>
    <row r="17" spans="1:15" ht="18.75">
      <c r="A17" s="38"/>
      <c r="B17" s="323"/>
      <c r="C17" s="65" t="s">
        <v>356</v>
      </c>
      <c r="D17" s="445">
        <v>1</v>
      </c>
      <c r="E17" s="445">
        <v>1</v>
      </c>
      <c r="F17" s="445">
        <v>1</v>
      </c>
      <c r="G17" s="446">
        <v>1</v>
      </c>
      <c r="I17" s="450" t="s">
        <v>29</v>
      </c>
      <c r="J17" s="445">
        <v>0.73</v>
      </c>
      <c r="K17" s="445">
        <v>1</v>
      </c>
      <c r="L17" s="445">
        <v>0.6</v>
      </c>
      <c r="M17" s="446">
        <v>0.6</v>
      </c>
      <c r="N17" s="333"/>
      <c r="O17" s="324"/>
    </row>
    <row r="18" spans="1:15" ht="18.75">
      <c r="A18" s="38"/>
      <c r="B18" s="323"/>
      <c r="C18" s="65" t="s">
        <v>357</v>
      </c>
      <c r="D18" s="445">
        <v>0</v>
      </c>
      <c r="E18" s="445">
        <v>0</v>
      </c>
      <c r="F18" s="445">
        <v>0</v>
      </c>
      <c r="G18" s="446">
        <v>0</v>
      </c>
      <c r="I18" s="450" t="s">
        <v>30</v>
      </c>
      <c r="J18" s="445">
        <v>1</v>
      </c>
      <c r="K18" s="445">
        <v>1</v>
      </c>
      <c r="L18" s="445">
        <v>1</v>
      </c>
      <c r="M18" s="446">
        <v>1</v>
      </c>
      <c r="N18" s="333"/>
      <c r="O18" s="324"/>
    </row>
    <row r="19" spans="1:15" ht="18.75">
      <c r="A19" s="38"/>
      <c r="B19" s="323"/>
      <c r="C19" s="40" t="s">
        <v>358</v>
      </c>
      <c r="D19" s="445">
        <v>1</v>
      </c>
      <c r="E19" s="445">
        <v>1</v>
      </c>
      <c r="F19" s="445">
        <v>1</v>
      </c>
      <c r="G19" s="446">
        <v>1</v>
      </c>
      <c r="I19" s="450" t="s">
        <v>224</v>
      </c>
      <c r="J19" s="445">
        <v>1</v>
      </c>
      <c r="K19" s="445">
        <v>1</v>
      </c>
      <c r="L19" s="445">
        <v>1</v>
      </c>
      <c r="M19" s="446">
        <v>1</v>
      </c>
      <c r="N19" s="333"/>
      <c r="O19" s="324"/>
    </row>
    <row r="20" spans="1:15" ht="18.75">
      <c r="A20" s="38"/>
      <c r="B20" s="323"/>
      <c r="C20" s="40" t="s">
        <v>359</v>
      </c>
      <c r="D20" s="445">
        <v>1</v>
      </c>
      <c r="E20" s="445">
        <v>1</v>
      </c>
      <c r="F20" s="445">
        <v>1</v>
      </c>
      <c r="G20" s="446">
        <v>1</v>
      </c>
      <c r="I20" s="450" t="s">
        <v>32</v>
      </c>
      <c r="J20" s="445">
        <v>0.86</v>
      </c>
      <c r="K20" s="445">
        <v>1</v>
      </c>
      <c r="L20" s="445">
        <v>0.8</v>
      </c>
      <c r="M20" s="446">
        <v>0.8</v>
      </c>
      <c r="N20" s="333"/>
      <c r="O20" s="324"/>
    </row>
    <row r="21" spans="1:15" ht="18.75">
      <c r="A21" s="38"/>
      <c r="B21" s="323"/>
      <c r="C21" s="39" t="s">
        <v>360</v>
      </c>
      <c r="D21" s="445">
        <v>1</v>
      </c>
      <c r="E21" s="445">
        <v>1</v>
      </c>
      <c r="F21" s="445">
        <v>1</v>
      </c>
      <c r="G21" s="446">
        <v>1</v>
      </c>
      <c r="I21" s="450" t="s">
        <v>33</v>
      </c>
      <c r="J21" s="445">
        <v>1</v>
      </c>
      <c r="K21" s="445">
        <v>1</v>
      </c>
      <c r="L21" s="445">
        <v>1</v>
      </c>
      <c r="M21" s="446">
        <v>1</v>
      </c>
      <c r="N21" s="333"/>
      <c r="O21" s="324"/>
    </row>
    <row r="22" spans="1:15" ht="18.75">
      <c r="A22" s="38"/>
      <c r="B22" s="323"/>
      <c r="C22" s="39" t="s">
        <v>361</v>
      </c>
      <c r="D22" s="445">
        <v>1</v>
      </c>
      <c r="E22" s="445">
        <v>1</v>
      </c>
      <c r="F22" s="445">
        <v>1</v>
      </c>
      <c r="G22" s="446">
        <v>1</v>
      </c>
      <c r="I22" s="450" t="s">
        <v>34</v>
      </c>
      <c r="J22" s="445">
        <v>1</v>
      </c>
      <c r="K22" s="445">
        <v>1</v>
      </c>
      <c r="L22" s="445">
        <v>1</v>
      </c>
      <c r="M22" s="446">
        <v>1</v>
      </c>
      <c r="N22" s="333"/>
      <c r="O22" s="324"/>
    </row>
    <row r="23" spans="1:15" ht="18.75">
      <c r="A23" s="38"/>
      <c r="B23" s="323"/>
      <c r="C23" s="40" t="s">
        <v>362</v>
      </c>
      <c r="D23" s="445">
        <v>0.91</v>
      </c>
      <c r="E23" s="445">
        <v>0.87</v>
      </c>
      <c r="F23" s="445">
        <v>1</v>
      </c>
      <c r="G23" s="446">
        <v>0.87</v>
      </c>
      <c r="I23" s="450" t="s">
        <v>35</v>
      </c>
      <c r="J23" s="445">
        <v>1</v>
      </c>
      <c r="K23" s="445">
        <v>1</v>
      </c>
      <c r="L23" s="445">
        <v>1</v>
      </c>
      <c r="M23" s="446">
        <v>1</v>
      </c>
      <c r="N23" s="333"/>
      <c r="O23" s="324"/>
    </row>
    <row r="24" spans="1:15" ht="18.75">
      <c r="A24" s="38"/>
      <c r="B24" s="323"/>
      <c r="C24" s="39" t="s">
        <v>363</v>
      </c>
      <c r="D24" s="445">
        <v>1</v>
      </c>
      <c r="E24" s="445">
        <v>1</v>
      </c>
      <c r="F24" s="445">
        <v>1</v>
      </c>
      <c r="G24" s="446">
        <v>1</v>
      </c>
      <c r="I24" s="450" t="s">
        <v>36</v>
      </c>
      <c r="J24" s="445">
        <v>1</v>
      </c>
      <c r="K24" s="445">
        <v>1</v>
      </c>
      <c r="L24" s="445">
        <v>1</v>
      </c>
      <c r="M24" s="446">
        <v>1</v>
      </c>
      <c r="N24" s="333"/>
      <c r="O24" s="324"/>
    </row>
    <row r="25" spans="1:15" ht="18.75">
      <c r="A25" s="38"/>
      <c r="B25" s="323"/>
      <c r="C25" s="39" t="s">
        <v>362</v>
      </c>
      <c r="D25" s="445">
        <v>1</v>
      </c>
      <c r="E25" s="445">
        <v>1</v>
      </c>
      <c r="F25" s="445">
        <v>1</v>
      </c>
      <c r="G25" s="446">
        <v>1</v>
      </c>
      <c r="I25" s="450" t="s">
        <v>37</v>
      </c>
      <c r="J25" s="445">
        <v>0.86</v>
      </c>
      <c r="K25" s="445">
        <v>1</v>
      </c>
      <c r="L25" s="445">
        <v>0.6</v>
      </c>
      <c r="M25" s="446">
        <v>1</v>
      </c>
      <c r="N25" s="333"/>
      <c r="O25" s="324"/>
    </row>
    <row r="26" spans="1:15" ht="19.5" thickBot="1">
      <c r="A26" s="38"/>
      <c r="B26" s="323"/>
      <c r="C26" s="39" t="s">
        <v>364</v>
      </c>
      <c r="D26" s="445">
        <v>1</v>
      </c>
      <c r="E26" s="445">
        <v>1</v>
      </c>
      <c r="F26" s="445">
        <v>1</v>
      </c>
      <c r="G26" s="446">
        <v>1</v>
      </c>
      <c r="I26" s="451" t="s">
        <v>38</v>
      </c>
      <c r="J26" s="447">
        <v>0.83</v>
      </c>
      <c r="K26" s="447">
        <v>1</v>
      </c>
      <c r="L26" s="447">
        <v>0.5</v>
      </c>
      <c r="M26" s="448">
        <v>1</v>
      </c>
      <c r="N26" s="333"/>
      <c r="O26" s="324"/>
    </row>
    <row r="27" spans="1:15" ht="23.25" customHeight="1">
      <c r="A27" s="38"/>
      <c r="B27" s="323"/>
      <c r="C27" s="39" t="s">
        <v>365</v>
      </c>
      <c r="D27" s="445">
        <v>0.33</v>
      </c>
      <c r="E27" s="445">
        <v>0</v>
      </c>
      <c r="F27" s="445">
        <v>1</v>
      </c>
      <c r="G27" s="446">
        <v>0</v>
      </c>
      <c r="N27" s="333"/>
      <c r="O27" s="324"/>
    </row>
    <row r="28" spans="1:15" ht="23.25" customHeight="1" thickBot="1">
      <c r="A28" s="38"/>
      <c r="B28" s="323"/>
      <c r="C28" s="395" t="s">
        <v>20</v>
      </c>
      <c r="D28" s="447">
        <v>1</v>
      </c>
      <c r="E28" s="447">
        <v>1</v>
      </c>
      <c r="F28" s="447">
        <v>1</v>
      </c>
      <c r="G28" s="448">
        <v>1</v>
      </c>
      <c r="N28" s="333"/>
      <c r="O28" s="324"/>
    </row>
    <row r="29" spans="1:15" ht="28.5" customHeight="1" thickBot="1">
      <c r="B29" s="323"/>
      <c r="N29" s="333"/>
      <c r="O29" s="324"/>
    </row>
    <row r="30" spans="1:15" ht="42" customHeight="1" thickBot="1">
      <c r="A30" s="38"/>
      <c r="B30" s="325"/>
      <c r="C30" s="515" t="s">
        <v>102</v>
      </c>
      <c r="D30" s="516"/>
      <c r="E30" s="516"/>
      <c r="F30" s="516"/>
      <c r="G30" s="517"/>
      <c r="N30" s="333"/>
      <c r="O30" s="324"/>
    </row>
    <row r="31" spans="1:15" ht="49.5" customHeight="1">
      <c r="A31" s="38"/>
      <c r="B31" s="323"/>
      <c r="C31" s="507" t="s">
        <v>99</v>
      </c>
      <c r="D31" s="508"/>
      <c r="E31" s="509" t="s">
        <v>103</v>
      </c>
      <c r="F31" s="509"/>
      <c r="G31" s="510"/>
      <c r="N31" s="333"/>
      <c r="O31" s="324"/>
    </row>
    <row r="32" spans="1:15" ht="60" customHeight="1">
      <c r="A32" s="38"/>
      <c r="B32" s="323"/>
      <c r="C32" s="511" t="s">
        <v>100</v>
      </c>
      <c r="D32" s="512"/>
      <c r="E32" s="513" t="s">
        <v>104</v>
      </c>
      <c r="F32" s="513"/>
      <c r="G32" s="514"/>
      <c r="N32" s="333"/>
      <c r="O32" s="324"/>
    </row>
    <row r="33" spans="1:15" ht="66.75" customHeight="1" thickBot="1">
      <c r="A33" s="38"/>
      <c r="B33" s="325"/>
      <c r="C33" s="492" t="s">
        <v>101</v>
      </c>
      <c r="D33" s="493"/>
      <c r="E33" s="494" t="s">
        <v>105</v>
      </c>
      <c r="F33" s="494"/>
      <c r="G33" s="495"/>
      <c r="H33" s="329"/>
      <c r="J33" s="331"/>
      <c r="K33" s="331"/>
      <c r="L33" s="331"/>
      <c r="M33" s="331"/>
      <c r="N33" s="331"/>
      <c r="O33" s="332"/>
    </row>
    <row r="34" spans="1:15" ht="22.5" customHeight="1" thickBot="1">
      <c r="A34" s="328"/>
      <c r="B34" s="334"/>
      <c r="C34" s="326"/>
      <c r="D34" s="326"/>
      <c r="E34" s="326"/>
      <c r="F34" s="326"/>
      <c r="G34" s="326"/>
      <c r="H34" s="326"/>
      <c r="I34" s="330"/>
      <c r="J34" s="326"/>
      <c r="K34" s="326"/>
      <c r="L34" s="326"/>
      <c r="M34" s="326"/>
      <c r="N34" s="326"/>
      <c r="O34" s="327"/>
    </row>
    <row r="35" spans="1:15" ht="12" customHeight="1">
      <c r="A35" s="315"/>
    </row>
    <row r="36" spans="1:15" ht="8.25" customHeight="1"/>
    <row r="38" spans="1:15" ht="3" customHeight="1">
      <c r="C38" s="320"/>
      <c r="D38" s="320"/>
      <c r="E38" s="320"/>
      <c r="F38" s="320"/>
      <c r="G38" s="320"/>
      <c r="H38" s="320"/>
    </row>
  </sheetData>
  <mergeCells count="13">
    <mergeCell ref="B3:O3"/>
    <mergeCell ref="C33:D33"/>
    <mergeCell ref="E33:G33"/>
    <mergeCell ref="B4:N6"/>
    <mergeCell ref="E9:G9"/>
    <mergeCell ref="D9:D10"/>
    <mergeCell ref="K9:M9"/>
    <mergeCell ref="J9:J10"/>
    <mergeCell ref="C31:D31"/>
    <mergeCell ref="E31:G31"/>
    <mergeCell ref="C32:D32"/>
    <mergeCell ref="E32:G32"/>
    <mergeCell ref="C30:G30"/>
  </mergeCells>
  <conditionalFormatting sqref="D11:G28">
    <cfRule type="expression" dxfId="7" priority="2">
      <formula>D11&lt;100%</formula>
    </cfRule>
  </conditionalFormatting>
  <conditionalFormatting sqref="I11:M26">
    <cfRule type="expression" dxfId="6" priority="1">
      <formula>I11&lt;100%</formula>
    </cfRule>
  </conditionalFormatting>
  <printOptions horizontalCentered="1"/>
  <pageMargins left="0" right="0" top="0" bottom="0" header="0" footer="0"/>
  <pageSetup paperSize="5" scale="69" orientation="landscape" r:id="rId1"/>
  <headerFooter>
    <oddFooter>&amp;R&amp;P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ED413-56DE-480C-BE6D-55109AB6AD80}">
  <sheetPr>
    <pageSetUpPr fitToPage="1"/>
  </sheetPr>
  <dimension ref="A1:Q50"/>
  <sheetViews>
    <sheetView topLeftCell="A10" zoomScale="55" zoomScaleNormal="55" workbookViewId="0">
      <selection activeCell="J10" sqref="J10"/>
    </sheetView>
  </sheetViews>
  <sheetFormatPr baseColWidth="10" defaultRowHeight="15"/>
  <cols>
    <col min="1" max="1" width="10.42578125" customWidth="1"/>
    <col min="2" max="2" width="63.85546875" customWidth="1"/>
    <col min="3" max="3" width="5.140625" customWidth="1"/>
    <col min="4" max="4" width="45.140625" customWidth="1"/>
    <col min="5" max="5" width="41.28515625" customWidth="1"/>
    <col min="6" max="6" width="32.42578125" customWidth="1"/>
    <col min="7" max="7" width="32" customWidth="1"/>
    <col min="8" max="8" width="34.28515625" customWidth="1"/>
    <col min="9" max="9" width="32.7109375" customWidth="1"/>
    <col min="10" max="10" width="30.5703125" customWidth="1"/>
    <col min="11" max="11" width="32.42578125" customWidth="1"/>
    <col min="12" max="12" width="4" customWidth="1"/>
  </cols>
  <sheetData>
    <row r="1" spans="1:17" ht="27" customHeight="1">
      <c r="A1" s="106"/>
      <c r="B1" s="525"/>
      <c r="C1" s="526"/>
      <c r="D1" s="527"/>
      <c r="E1" s="87"/>
      <c r="F1" s="90"/>
      <c r="G1" s="88"/>
      <c r="I1" s="105"/>
      <c r="J1" s="104"/>
      <c r="K1" s="115"/>
      <c r="L1" s="115"/>
      <c r="M1" s="95"/>
      <c r="N1" s="89"/>
      <c r="O1" s="89"/>
      <c r="P1" s="98"/>
    </row>
    <row r="2" spans="1:17" ht="36">
      <c r="B2" s="131" t="s">
        <v>120</v>
      </c>
      <c r="C2" s="131"/>
      <c r="D2" s="90"/>
      <c r="E2" s="96"/>
      <c r="G2" s="98"/>
      <c r="H2" s="90"/>
      <c r="I2" s="521" t="s">
        <v>372</v>
      </c>
      <c r="J2" s="522"/>
      <c r="K2" s="101"/>
      <c r="L2" s="90"/>
      <c r="M2" s="98"/>
      <c r="N2" s="90"/>
      <c r="O2" s="87"/>
      <c r="P2" s="90"/>
      <c r="Q2" s="87"/>
    </row>
    <row r="3" spans="1:17" s="67" customFormat="1" ht="22.5" customHeight="1">
      <c r="A3" s="93"/>
      <c r="B3" s="67" t="s">
        <v>373</v>
      </c>
      <c r="D3" s="99"/>
      <c r="E3" s="92"/>
      <c r="F3" s="94"/>
      <c r="G3" s="99"/>
      <c r="H3" s="102"/>
      <c r="I3" s="103"/>
      <c r="J3" s="103"/>
      <c r="K3" s="94"/>
      <c r="L3" s="94"/>
      <c r="M3" s="94"/>
      <c r="N3" s="92"/>
      <c r="O3" s="92"/>
      <c r="P3" s="94"/>
      <c r="Q3" s="130"/>
    </row>
    <row r="4" spans="1:17" s="68" customFormat="1" ht="25.5" customHeight="1" thickBot="1">
      <c r="B4" s="148" t="s">
        <v>121</v>
      </c>
      <c r="C4" s="385"/>
      <c r="D4" s="230"/>
      <c r="F4" s="229"/>
      <c r="G4" s="119"/>
      <c r="H4" s="119"/>
      <c r="I4" s="229"/>
      <c r="J4" s="229"/>
      <c r="K4" s="229"/>
      <c r="L4" s="101"/>
      <c r="M4" s="119"/>
      <c r="N4" s="120"/>
      <c r="O4" s="100"/>
      <c r="P4" s="101"/>
      <c r="Q4" s="129"/>
    </row>
    <row r="5" spans="1:17" ht="78" customHeight="1" thickBot="1">
      <c r="A5" s="97"/>
      <c r="B5" s="149" t="s">
        <v>106</v>
      </c>
      <c r="C5" s="528" t="s">
        <v>107</v>
      </c>
      <c r="D5" s="529"/>
      <c r="E5" s="231" t="s">
        <v>109</v>
      </c>
      <c r="F5" s="231" t="s">
        <v>108</v>
      </c>
      <c r="G5" s="231" t="s">
        <v>110</v>
      </c>
      <c r="H5" s="232" t="s">
        <v>175</v>
      </c>
      <c r="I5" s="232" t="s">
        <v>111</v>
      </c>
      <c r="J5" s="233" t="s">
        <v>112</v>
      </c>
      <c r="K5" s="234"/>
      <c r="L5" s="90"/>
      <c r="M5" s="90"/>
      <c r="N5" s="90"/>
      <c r="O5" s="89"/>
      <c r="P5" s="115"/>
    </row>
    <row r="6" spans="1:17" ht="51" customHeight="1">
      <c r="B6" s="258" t="s">
        <v>113</v>
      </c>
      <c r="C6" s="530">
        <v>44725</v>
      </c>
      <c r="D6" s="531"/>
      <c r="E6" s="452">
        <v>44908</v>
      </c>
      <c r="F6" s="452">
        <v>45090</v>
      </c>
      <c r="G6" s="452">
        <v>45273</v>
      </c>
      <c r="H6" s="452">
        <v>45456</v>
      </c>
      <c r="I6" s="452">
        <v>45639</v>
      </c>
      <c r="J6" s="455">
        <v>45821</v>
      </c>
      <c r="K6" s="127"/>
      <c r="L6" s="90"/>
      <c r="M6" s="90"/>
      <c r="N6" s="98"/>
      <c r="O6" s="87"/>
      <c r="P6" s="115"/>
      <c r="Q6" s="87"/>
    </row>
    <row r="7" spans="1:17" ht="45.75" customHeight="1">
      <c r="A7" s="107"/>
      <c r="B7" s="259" t="s">
        <v>114</v>
      </c>
      <c r="C7" s="532">
        <v>44789</v>
      </c>
      <c r="D7" s="533"/>
      <c r="E7" s="453">
        <v>44608</v>
      </c>
      <c r="F7" s="453">
        <v>45154</v>
      </c>
      <c r="G7" s="453">
        <v>45338</v>
      </c>
      <c r="H7" s="453">
        <v>45520</v>
      </c>
      <c r="I7" s="453">
        <v>45704</v>
      </c>
      <c r="J7" s="456">
        <v>45885</v>
      </c>
      <c r="L7" s="90"/>
      <c r="M7" s="90"/>
      <c r="N7" s="90"/>
      <c r="O7" s="89"/>
      <c r="P7" s="98"/>
    </row>
    <row r="8" spans="1:17" ht="44.25" customHeight="1">
      <c r="A8" s="108"/>
      <c r="B8" s="259" t="s">
        <v>115</v>
      </c>
      <c r="C8" s="532">
        <v>44868</v>
      </c>
      <c r="D8" s="533"/>
      <c r="E8" s="453">
        <v>45049</v>
      </c>
      <c r="F8" s="453">
        <v>45233</v>
      </c>
      <c r="G8" s="453">
        <v>45415</v>
      </c>
      <c r="H8" s="453">
        <v>45599</v>
      </c>
      <c r="I8" s="453">
        <v>45780</v>
      </c>
      <c r="J8" s="456">
        <v>45964</v>
      </c>
      <c r="K8" s="235"/>
      <c r="L8" s="90"/>
      <c r="M8" s="90"/>
      <c r="N8" s="90"/>
      <c r="P8" s="90"/>
      <c r="Q8" s="90"/>
    </row>
    <row r="9" spans="1:17" ht="39.75" customHeight="1">
      <c r="A9" s="108"/>
      <c r="B9" s="259" t="s">
        <v>116</v>
      </c>
      <c r="C9" s="532">
        <v>45439</v>
      </c>
      <c r="D9" s="533"/>
      <c r="E9" s="453">
        <v>45623</v>
      </c>
      <c r="F9" s="453">
        <v>45804</v>
      </c>
      <c r="G9" s="453">
        <v>45988</v>
      </c>
      <c r="H9" s="453">
        <v>46169</v>
      </c>
      <c r="I9" s="453">
        <v>46353</v>
      </c>
      <c r="J9" s="456">
        <v>46534</v>
      </c>
      <c r="K9" s="170"/>
      <c r="L9" s="90"/>
      <c r="M9" s="90"/>
      <c r="N9" s="96"/>
      <c r="O9" s="87"/>
      <c r="P9" s="115"/>
      <c r="Q9" s="116"/>
    </row>
    <row r="10" spans="1:17" ht="55.5" customHeight="1">
      <c r="A10" s="110"/>
      <c r="B10" s="259" t="s">
        <v>117</v>
      </c>
      <c r="C10" s="532">
        <v>44900</v>
      </c>
      <c r="D10" s="533"/>
      <c r="E10" s="453">
        <v>45082</v>
      </c>
      <c r="F10" s="453">
        <v>45265</v>
      </c>
      <c r="G10" s="453">
        <v>45448</v>
      </c>
      <c r="H10" s="453">
        <v>45631</v>
      </c>
      <c r="I10" s="453">
        <v>45813</v>
      </c>
      <c r="J10" s="456">
        <v>45813</v>
      </c>
      <c r="K10" s="127"/>
      <c r="L10" s="90"/>
      <c r="M10" s="90"/>
      <c r="N10" s="98"/>
      <c r="O10" s="89"/>
      <c r="P10" s="90"/>
    </row>
    <row r="11" spans="1:17" ht="44.25" customHeight="1">
      <c r="A11" s="109"/>
      <c r="B11" s="259" t="s">
        <v>118</v>
      </c>
      <c r="C11" s="532">
        <v>44930</v>
      </c>
      <c r="D11" s="533"/>
      <c r="E11" s="453">
        <v>45111</v>
      </c>
      <c r="F11" s="453">
        <v>45295</v>
      </c>
      <c r="G11" s="453">
        <v>45477</v>
      </c>
      <c r="H11" s="453">
        <v>45661</v>
      </c>
      <c r="I11" s="453">
        <v>45842</v>
      </c>
      <c r="J11" s="456">
        <v>46026</v>
      </c>
      <c r="L11" s="90"/>
      <c r="M11" s="98"/>
      <c r="N11" s="90"/>
      <c r="O11" s="97"/>
      <c r="P11" s="90"/>
      <c r="Q11" s="111"/>
    </row>
    <row r="12" spans="1:17" ht="66.75" customHeight="1" thickBot="1">
      <c r="A12" s="108"/>
      <c r="B12" s="260" t="s">
        <v>119</v>
      </c>
      <c r="C12" s="523">
        <v>44958</v>
      </c>
      <c r="D12" s="524"/>
      <c r="E12" s="454">
        <v>45139</v>
      </c>
      <c r="F12" s="454">
        <v>45323</v>
      </c>
      <c r="G12" s="454">
        <v>45505</v>
      </c>
      <c r="H12" s="454">
        <v>45689</v>
      </c>
      <c r="I12" s="454">
        <v>45870</v>
      </c>
      <c r="J12" s="457">
        <v>46054</v>
      </c>
      <c r="K12" s="235"/>
      <c r="L12" s="90"/>
      <c r="M12" s="90"/>
      <c r="N12" s="115"/>
      <c r="O12" s="90"/>
      <c r="P12" s="90"/>
      <c r="Q12" s="111"/>
    </row>
    <row r="13" spans="1:17" ht="15.75" thickBot="1">
      <c r="A13" s="87"/>
      <c r="B13" s="147"/>
      <c r="C13" s="138"/>
      <c r="D13" s="118"/>
      <c r="F13" s="138"/>
      <c r="H13" s="139"/>
      <c r="I13" s="139"/>
      <c r="J13" s="139"/>
      <c r="K13" s="111"/>
      <c r="L13" s="90"/>
      <c r="M13" s="117"/>
      <c r="N13" s="90"/>
      <c r="O13" s="90"/>
      <c r="P13" s="87"/>
    </row>
    <row r="14" spans="1:17" ht="30.75" customHeight="1">
      <c r="A14" s="112"/>
      <c r="B14" s="366" t="s">
        <v>124</v>
      </c>
      <c r="C14" s="386"/>
      <c r="D14" s="365" t="s">
        <v>125</v>
      </c>
      <c r="E14" s="140"/>
      <c r="F14" s="141"/>
      <c r="G14" s="142"/>
      <c r="H14" s="143"/>
      <c r="I14" s="144"/>
      <c r="J14" s="145"/>
      <c r="K14" s="390"/>
      <c r="L14" s="90"/>
      <c r="M14" s="90"/>
      <c r="N14" s="117"/>
      <c r="O14" s="90"/>
      <c r="P14" s="87"/>
    </row>
    <row r="15" spans="1:17" ht="8.25" customHeight="1" thickBot="1">
      <c r="A15" s="95"/>
      <c r="B15" s="367"/>
      <c r="C15" s="387"/>
      <c r="D15" s="370"/>
      <c r="E15" s="371"/>
      <c r="F15" s="371"/>
      <c r="G15" s="372"/>
      <c r="H15" s="371"/>
      <c r="I15" s="372"/>
      <c r="J15" s="373"/>
      <c r="L15" s="90"/>
      <c r="M15" s="115"/>
      <c r="N15" s="90"/>
      <c r="O15" s="87"/>
      <c r="P15" s="87"/>
    </row>
    <row r="16" spans="1:17" ht="74.25" customHeight="1" thickBot="1">
      <c r="A16" s="112"/>
      <c r="B16" s="368" t="s">
        <v>218</v>
      </c>
      <c r="C16" s="388"/>
      <c r="D16" s="374" t="s">
        <v>113</v>
      </c>
      <c r="E16" s="518" t="s">
        <v>366</v>
      </c>
      <c r="F16" s="519"/>
      <c r="G16" s="519"/>
      <c r="H16" s="519"/>
      <c r="I16" s="519"/>
      <c r="J16" s="520"/>
      <c r="K16" s="391"/>
      <c r="L16" s="126"/>
      <c r="M16" s="124"/>
      <c r="N16" s="123"/>
      <c r="P16" s="87"/>
    </row>
    <row r="17" spans="1:16" ht="108.75" customHeight="1" thickBot="1">
      <c r="A17" s="95"/>
      <c r="B17" s="369" t="s">
        <v>122</v>
      </c>
      <c r="C17" s="389"/>
      <c r="D17" s="374" t="s">
        <v>114</v>
      </c>
      <c r="E17" s="518" t="s">
        <v>367</v>
      </c>
      <c r="F17" s="519"/>
      <c r="G17" s="519"/>
      <c r="H17" s="519"/>
      <c r="I17" s="519"/>
      <c r="J17" s="520"/>
      <c r="K17" s="154"/>
      <c r="L17" s="137"/>
      <c r="M17" s="126"/>
      <c r="N17" s="126"/>
      <c r="O17" s="90"/>
      <c r="P17" s="87"/>
    </row>
    <row r="18" spans="1:16" ht="87" customHeight="1" thickBot="1">
      <c r="A18" s="113"/>
      <c r="B18" s="369" t="s">
        <v>123</v>
      </c>
      <c r="C18" s="389"/>
      <c r="D18" s="375" t="s">
        <v>115</v>
      </c>
      <c r="E18" s="518" t="s">
        <v>368</v>
      </c>
      <c r="F18" s="519"/>
      <c r="G18" s="519"/>
      <c r="H18" s="519"/>
      <c r="I18" s="519"/>
      <c r="J18" s="520"/>
      <c r="L18" s="126"/>
      <c r="M18" s="122"/>
      <c r="N18" s="121"/>
      <c r="O18" s="66"/>
      <c r="P18" s="95"/>
    </row>
    <row r="19" spans="1:16" ht="74.25" customHeight="1" thickBot="1">
      <c r="A19" s="90"/>
      <c r="B19" s="114"/>
      <c r="C19" s="95"/>
      <c r="D19" s="376" t="s">
        <v>116</v>
      </c>
      <c r="E19" s="518" t="s">
        <v>369</v>
      </c>
      <c r="F19" s="519"/>
      <c r="G19" s="519"/>
      <c r="H19" s="519"/>
      <c r="I19" s="519"/>
      <c r="J19" s="520"/>
      <c r="K19" s="154"/>
      <c r="L19" s="137"/>
      <c r="M19" s="122"/>
      <c r="N19" s="121"/>
      <c r="O19" s="123"/>
      <c r="P19" s="86"/>
    </row>
    <row r="20" spans="1:16" ht="108" customHeight="1" thickBot="1">
      <c r="A20" s="87"/>
      <c r="B20" s="98"/>
      <c r="D20" s="375" t="s">
        <v>117</v>
      </c>
      <c r="E20" s="518" t="s">
        <v>370</v>
      </c>
      <c r="F20" s="519"/>
      <c r="G20" s="519"/>
      <c r="H20" s="519"/>
      <c r="I20" s="519"/>
      <c r="J20" s="520"/>
      <c r="K20" s="392"/>
      <c r="L20" s="377"/>
      <c r="M20" s="125"/>
      <c r="N20" s="123"/>
      <c r="O20" s="121"/>
    </row>
    <row r="21" spans="1:16" s="269" customFormat="1" ht="81.75" customHeight="1" thickBot="1">
      <c r="B21" s="270"/>
      <c r="C21" s="271"/>
      <c r="D21" s="378" t="s">
        <v>118</v>
      </c>
      <c r="E21" s="518" t="s">
        <v>370</v>
      </c>
      <c r="F21" s="519"/>
      <c r="G21" s="519"/>
      <c r="H21" s="519"/>
      <c r="I21" s="519"/>
      <c r="J21" s="520"/>
      <c r="K21" s="393"/>
      <c r="L21" s="66"/>
      <c r="M21" s="123"/>
      <c r="N21" s="123"/>
      <c r="O21" s="128"/>
    </row>
    <row r="22" spans="1:16" ht="98.25" customHeight="1" thickBot="1">
      <c r="A22" s="91"/>
      <c r="B22" s="117"/>
      <c r="C22" s="95"/>
      <c r="D22" s="394" t="s">
        <v>119</v>
      </c>
      <c r="E22" s="518" t="s">
        <v>371</v>
      </c>
      <c r="F22" s="519"/>
      <c r="G22" s="519"/>
      <c r="H22" s="519"/>
      <c r="I22" s="519"/>
      <c r="J22" s="520"/>
      <c r="L22" s="123"/>
      <c r="M22" s="126"/>
      <c r="N22" s="126"/>
      <c r="O22" s="123"/>
      <c r="P22" s="66"/>
    </row>
    <row r="23" spans="1:16" ht="23.25" customHeight="1">
      <c r="A23" s="91"/>
      <c r="B23" s="111"/>
      <c r="C23" s="111"/>
      <c r="D23" s="90"/>
      <c r="F23" s="115"/>
      <c r="G23" s="89"/>
      <c r="H23" s="89"/>
      <c r="I23" s="115"/>
      <c r="K23" s="90"/>
      <c r="L23" s="90"/>
      <c r="M23" s="98"/>
      <c r="N23" s="115"/>
      <c r="O23" s="115"/>
    </row>
    <row r="24" spans="1:16" ht="22.5" customHeight="1">
      <c r="A24" s="91"/>
      <c r="B24" s="111"/>
      <c r="C24" s="111"/>
      <c r="D24" s="90"/>
      <c r="E24" s="86"/>
      <c r="F24" s="90"/>
      <c r="G24" s="97"/>
      <c r="H24" s="90"/>
      <c r="I24" s="90"/>
      <c r="J24" s="87"/>
      <c r="K24" s="87"/>
      <c r="L24" s="87"/>
      <c r="M24" s="90"/>
      <c r="N24" s="90"/>
      <c r="O24" s="117"/>
    </row>
    <row r="25" spans="1:16" ht="22.5" customHeight="1">
      <c r="A25" s="91"/>
      <c r="B25" s="90"/>
      <c r="C25" s="98"/>
      <c r="D25" s="98"/>
      <c r="E25" s="90"/>
      <c r="F25" s="90"/>
      <c r="G25" s="91"/>
      <c r="H25" s="90"/>
      <c r="I25" s="90"/>
      <c r="J25" s="89"/>
      <c r="K25" s="115"/>
      <c r="L25" s="106"/>
      <c r="M25" s="90"/>
      <c r="N25" s="115"/>
      <c r="O25" s="117"/>
    </row>
    <row r="26" spans="1:16">
      <c r="A26" s="88"/>
      <c r="B26" s="98"/>
      <c r="C26" s="98"/>
      <c r="D26" s="90"/>
      <c r="E26" s="111"/>
      <c r="F26" s="90"/>
      <c r="G26" s="98"/>
      <c r="H26" s="90"/>
      <c r="I26" s="116"/>
      <c r="J26" s="87"/>
      <c r="K26" s="87"/>
      <c r="L26" s="87"/>
      <c r="M26" s="90"/>
      <c r="N26" s="115"/>
      <c r="O26" s="115"/>
    </row>
    <row r="27" spans="1:16" ht="15.75" thickBot="1">
      <c r="A27" s="91"/>
      <c r="B27" s="90"/>
      <c r="C27" s="115"/>
      <c r="D27" s="115"/>
      <c r="E27" s="90"/>
      <c r="F27" s="117"/>
      <c r="G27" s="98"/>
      <c r="H27" s="98"/>
      <c r="I27" s="98"/>
      <c r="J27" s="98"/>
      <c r="K27" s="91"/>
      <c r="M27" s="98"/>
      <c r="N27" s="98"/>
      <c r="O27" s="117"/>
    </row>
    <row r="28" spans="1:16">
      <c r="A28" s="91"/>
      <c r="B28" s="115"/>
      <c r="C28" s="115"/>
      <c r="D28" s="115"/>
      <c r="E28" s="90"/>
      <c r="F28" s="98"/>
      <c r="G28" s="90"/>
      <c r="H28" s="98"/>
      <c r="I28" s="87"/>
      <c r="J28" s="132"/>
      <c r="K28" s="133"/>
      <c r="L28" s="86"/>
      <c r="M28" s="111"/>
      <c r="N28" s="98"/>
      <c r="O28" s="98"/>
    </row>
    <row r="29" spans="1:16">
      <c r="A29" s="90"/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88"/>
      <c r="M29" s="90"/>
      <c r="N29" s="88"/>
      <c r="O29" s="90"/>
    </row>
    <row r="30" spans="1:16">
      <c r="A30" s="90"/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7"/>
      <c r="M30" s="87"/>
      <c r="N30" s="88"/>
      <c r="O30" s="116"/>
    </row>
    <row r="31" spans="1:16">
      <c r="A31" s="90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1"/>
      <c r="M31" s="90"/>
      <c r="N31" s="116"/>
    </row>
    <row r="32" spans="1:16">
      <c r="A32" s="90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88"/>
      <c r="M32" s="115"/>
      <c r="N32" s="95"/>
    </row>
    <row r="33" spans="1:14">
      <c r="A33" s="90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116"/>
      <c r="M33" s="115"/>
    </row>
    <row r="34" spans="1:14">
      <c r="A34" s="90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106"/>
      <c r="M34" s="90"/>
    </row>
    <row r="35" spans="1:14">
      <c r="A35" s="90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1"/>
      <c r="M35" s="89"/>
      <c r="N35" s="106"/>
    </row>
    <row r="36" spans="1:14">
      <c r="A36" s="90"/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86"/>
      <c r="M36" s="111"/>
      <c r="N36" s="86"/>
    </row>
    <row r="37" spans="1:14">
      <c r="A37" s="90"/>
      <c r="B37" s="90"/>
      <c r="C37" s="90"/>
      <c r="D37" s="90"/>
      <c r="E37" s="90"/>
      <c r="F37" s="90"/>
      <c r="G37" s="90"/>
      <c r="H37" s="90"/>
      <c r="I37" s="90"/>
      <c r="J37" s="90"/>
      <c r="K37" s="90"/>
    </row>
    <row r="38" spans="1:14">
      <c r="A38" s="90"/>
      <c r="B38" s="90"/>
      <c r="C38" s="90"/>
      <c r="D38" s="90"/>
      <c r="E38" s="90"/>
      <c r="F38" s="90"/>
      <c r="G38" s="90"/>
      <c r="H38" s="90"/>
      <c r="I38" s="90"/>
      <c r="J38" s="90"/>
      <c r="K38" s="90"/>
    </row>
    <row r="39" spans="1:14">
      <c r="A39" s="90"/>
      <c r="B39" s="90"/>
      <c r="C39" s="90"/>
      <c r="D39" s="90"/>
      <c r="E39" s="90"/>
      <c r="F39" s="90"/>
      <c r="G39" s="90"/>
      <c r="H39" s="90"/>
      <c r="I39" s="90"/>
      <c r="J39" s="90"/>
      <c r="K39" s="90"/>
    </row>
    <row r="40" spans="1:14">
      <c r="A40" s="90"/>
      <c r="B40" s="90"/>
      <c r="C40" s="90"/>
      <c r="D40" s="90"/>
      <c r="E40" s="90"/>
      <c r="F40" s="90"/>
      <c r="G40" s="90"/>
      <c r="H40" s="90"/>
      <c r="I40" s="90"/>
      <c r="J40" s="90"/>
      <c r="K40" s="90"/>
    </row>
    <row r="41" spans="1:14">
      <c r="A41" s="90"/>
      <c r="B41" s="90"/>
      <c r="C41" s="90"/>
      <c r="D41" s="90"/>
      <c r="E41" s="90"/>
      <c r="F41" s="90"/>
      <c r="G41" s="90"/>
      <c r="H41" s="90"/>
      <c r="I41" s="90"/>
      <c r="J41" s="90"/>
      <c r="K41" s="90"/>
    </row>
    <row r="42" spans="1:14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</row>
    <row r="43" spans="1:14">
      <c r="A43" s="90"/>
      <c r="B43" s="90"/>
      <c r="C43" s="90"/>
      <c r="D43" s="90"/>
      <c r="E43" s="90"/>
      <c r="F43" s="90"/>
      <c r="G43" s="90"/>
      <c r="H43" s="90"/>
      <c r="I43" s="90"/>
      <c r="J43" s="90"/>
      <c r="K43" s="90"/>
    </row>
    <row r="44" spans="1:14">
      <c r="A44" s="90"/>
      <c r="B44" s="90"/>
      <c r="C44" s="90"/>
      <c r="D44" s="90"/>
      <c r="E44" s="90"/>
      <c r="F44" s="90"/>
      <c r="G44" s="90"/>
      <c r="H44" s="90"/>
      <c r="I44" s="90"/>
      <c r="J44" s="90"/>
      <c r="K44" s="90"/>
    </row>
    <row r="45" spans="1:14">
      <c r="A45" s="90"/>
      <c r="B45" s="90"/>
      <c r="C45" s="90"/>
      <c r="D45" s="90"/>
      <c r="E45" s="90"/>
      <c r="F45" s="90"/>
      <c r="G45" s="90"/>
      <c r="H45" s="90"/>
      <c r="I45" s="90"/>
      <c r="J45" s="90"/>
      <c r="K45" s="90"/>
    </row>
    <row r="46" spans="1:14">
      <c r="A46" s="90"/>
      <c r="B46" s="90"/>
      <c r="C46" s="90"/>
      <c r="D46" s="90"/>
      <c r="E46" s="90"/>
      <c r="F46" s="90"/>
      <c r="G46" s="90"/>
      <c r="H46" s="90"/>
      <c r="I46" s="90"/>
      <c r="J46" s="90"/>
      <c r="K46" s="90"/>
    </row>
    <row r="47" spans="1:14">
      <c r="A47" s="90"/>
      <c r="B47" s="90"/>
      <c r="C47" s="90"/>
      <c r="D47" s="90"/>
      <c r="E47" s="90"/>
      <c r="F47" s="90"/>
      <c r="G47" s="90"/>
      <c r="H47" s="90"/>
      <c r="I47" s="90"/>
      <c r="J47" s="90"/>
      <c r="K47" s="90"/>
    </row>
    <row r="48" spans="1:14">
      <c r="A48" s="90"/>
      <c r="B48" s="90"/>
      <c r="C48" s="90"/>
      <c r="D48" s="90"/>
      <c r="E48" s="90"/>
      <c r="F48" s="90"/>
      <c r="G48" s="90"/>
      <c r="H48" s="90"/>
      <c r="I48" s="90"/>
      <c r="J48" s="90"/>
      <c r="K48" s="90"/>
    </row>
    <row r="49" spans="1:11">
      <c r="A49" s="90"/>
      <c r="B49" s="90"/>
      <c r="C49" s="90"/>
      <c r="D49" s="90"/>
      <c r="E49" s="90"/>
      <c r="F49" s="90"/>
      <c r="G49" s="90"/>
      <c r="H49" s="90"/>
      <c r="I49" s="90"/>
      <c r="J49" s="90"/>
      <c r="K49" s="90"/>
    </row>
    <row r="50" spans="1:11">
      <c r="A50" s="90"/>
      <c r="B50" s="90"/>
      <c r="C50" s="90"/>
      <c r="D50" s="90"/>
      <c r="E50" s="90"/>
      <c r="F50" s="90"/>
      <c r="G50" s="90"/>
      <c r="H50" s="90"/>
      <c r="I50" s="90"/>
      <c r="J50" s="90"/>
      <c r="K50" s="90"/>
    </row>
  </sheetData>
  <mergeCells count="17">
    <mergeCell ref="C12:D12"/>
    <mergeCell ref="E20:J20"/>
    <mergeCell ref="E19:J19"/>
    <mergeCell ref="B1:D1"/>
    <mergeCell ref="E18:J18"/>
    <mergeCell ref="C5:D5"/>
    <mergeCell ref="C6:D6"/>
    <mergeCell ref="C7:D7"/>
    <mergeCell ref="C8:D8"/>
    <mergeCell ref="C9:D9"/>
    <mergeCell ref="C10:D10"/>
    <mergeCell ref="C11:D11"/>
    <mergeCell ref="E22:J22"/>
    <mergeCell ref="E21:J21"/>
    <mergeCell ref="E16:J16"/>
    <mergeCell ref="E17:J17"/>
    <mergeCell ref="I2:J2"/>
  </mergeCells>
  <pageMargins left="0" right="0" top="0" bottom="0" header="0" footer="0"/>
  <pageSetup paperSize="5" scale="47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0616E-6E49-4668-BE0E-44A00D54EB66}">
  <sheetPr>
    <pageSetUpPr fitToPage="1"/>
  </sheetPr>
  <dimension ref="A1:AB80"/>
  <sheetViews>
    <sheetView topLeftCell="B1" zoomScale="70" zoomScaleNormal="70" workbookViewId="0">
      <selection activeCell="B1" sqref="B1:Y1"/>
    </sheetView>
  </sheetViews>
  <sheetFormatPr baseColWidth="10" defaultRowHeight="15"/>
  <cols>
    <col min="1" max="1" width="3.5703125" customWidth="1"/>
    <col min="2" max="2" width="39" customWidth="1"/>
    <col min="3" max="3" width="20.85546875" customWidth="1"/>
    <col min="4" max="4" width="22" customWidth="1"/>
    <col min="5" max="5" width="12" customWidth="1"/>
    <col min="6" max="6" width="2.85546875" customWidth="1"/>
    <col min="7" max="7" width="10.5703125" customWidth="1"/>
    <col min="8" max="8" width="13" customWidth="1"/>
    <col min="9" max="9" width="3.140625" customWidth="1"/>
    <col min="10" max="10" width="5" customWidth="1"/>
    <col min="11" max="11" width="6.7109375" customWidth="1"/>
    <col min="12" max="12" width="2.85546875" customWidth="1"/>
    <col min="13" max="13" width="6" customWidth="1"/>
    <col min="14" max="14" width="8.85546875" customWidth="1"/>
    <col min="15" max="15" width="8.5703125" customWidth="1"/>
    <col min="16" max="16" width="11.42578125" customWidth="1"/>
    <col min="17" max="17" width="5.5703125" customWidth="1"/>
    <col min="18" max="18" width="17.140625" customWidth="1"/>
    <col min="19" max="19" width="21" customWidth="1"/>
    <col min="20" max="20" width="13.140625" customWidth="1"/>
    <col min="21" max="21" width="3.85546875" customWidth="1"/>
    <col min="22" max="22" width="11" customWidth="1"/>
    <col min="23" max="23" width="5.140625" customWidth="1"/>
    <col min="24" max="24" width="12.85546875" customWidth="1"/>
    <col min="25" max="25" width="17.140625" customWidth="1"/>
    <col min="26" max="26" width="0.140625" customWidth="1"/>
    <col min="27" max="27" width="7.85546875" customWidth="1"/>
  </cols>
  <sheetData>
    <row r="1" spans="1:28" ht="29.25" customHeight="1" thickBot="1">
      <c r="A1" s="198"/>
      <c r="B1" s="625" t="s">
        <v>0</v>
      </c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  <c r="N1" s="626"/>
      <c r="O1" s="626"/>
      <c r="P1" s="626"/>
      <c r="Q1" s="626"/>
      <c r="R1" s="626"/>
      <c r="S1" s="626"/>
      <c r="T1" s="626"/>
      <c r="U1" s="626"/>
      <c r="V1" s="626"/>
      <c r="W1" s="626"/>
      <c r="X1" s="626"/>
      <c r="Y1" s="627"/>
      <c r="Z1" s="193"/>
    </row>
    <row r="2" spans="1:28" ht="9" customHeight="1" thickBot="1">
      <c r="A2" s="196"/>
      <c r="B2" s="96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95"/>
      <c r="R2" s="117"/>
      <c r="S2" s="117"/>
      <c r="T2" s="117"/>
      <c r="U2" s="95"/>
      <c r="V2" s="117"/>
      <c r="W2" s="117"/>
      <c r="X2" s="117"/>
      <c r="Y2" s="95"/>
      <c r="Z2" s="90"/>
      <c r="AA2" s="111"/>
    </row>
    <row r="3" spans="1:28" ht="24.75" customHeight="1" thickBot="1">
      <c r="A3" s="199" t="s">
        <v>171</v>
      </c>
      <c r="B3" s="628" t="s">
        <v>211</v>
      </c>
      <c r="C3" s="629"/>
      <c r="D3" s="629"/>
      <c r="E3" s="629"/>
      <c r="F3" s="629"/>
      <c r="G3" s="629"/>
      <c r="H3" s="629"/>
      <c r="I3" s="629"/>
      <c r="J3" s="629"/>
      <c r="K3" s="629"/>
      <c r="L3" s="629"/>
      <c r="M3" s="629"/>
      <c r="N3" s="629"/>
      <c r="O3" s="629"/>
      <c r="P3" s="629"/>
      <c r="Q3" s="629"/>
      <c r="R3" s="629"/>
      <c r="S3" s="629"/>
      <c r="T3" s="629"/>
      <c r="U3" s="629"/>
      <c r="V3" s="629"/>
      <c r="W3" s="629"/>
      <c r="X3" s="629"/>
      <c r="Y3" s="630"/>
      <c r="Z3" s="194"/>
      <c r="AA3" s="111"/>
    </row>
    <row r="4" spans="1:28" ht="23.25" customHeight="1" thickBot="1">
      <c r="A4" s="200" t="s">
        <v>172</v>
      </c>
      <c r="B4" s="631" t="s">
        <v>221</v>
      </c>
      <c r="C4" s="632"/>
      <c r="D4" s="632"/>
      <c r="E4" s="632"/>
      <c r="F4" s="632"/>
      <c r="G4" s="632"/>
      <c r="H4" s="632"/>
      <c r="I4" s="632"/>
      <c r="J4" s="632"/>
      <c r="K4" s="632"/>
      <c r="L4" s="632"/>
      <c r="M4" s="632"/>
      <c r="N4" s="632"/>
      <c r="O4" s="632"/>
      <c r="P4" s="632"/>
      <c r="Q4" s="632"/>
      <c r="R4" s="632"/>
      <c r="S4" s="632"/>
      <c r="T4" s="632"/>
      <c r="U4" s="632"/>
      <c r="V4" s="632"/>
      <c r="W4" s="632"/>
      <c r="X4" s="632"/>
      <c r="Y4" s="633"/>
      <c r="Z4" s="195"/>
      <c r="AA4" s="111"/>
    </row>
    <row r="5" spans="1:28" ht="15.75" thickBot="1">
      <c r="A5" s="197"/>
      <c r="B5" s="96"/>
      <c r="C5" s="117"/>
      <c r="D5" s="117"/>
      <c r="E5" s="117"/>
      <c r="F5" s="115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95"/>
      <c r="R5" s="95"/>
      <c r="S5" s="117"/>
      <c r="T5" s="117"/>
      <c r="U5" s="95"/>
      <c r="V5" s="117"/>
      <c r="W5" s="117"/>
      <c r="X5" s="117"/>
      <c r="Y5" s="95"/>
      <c r="Z5" s="90"/>
      <c r="AA5" s="111"/>
    </row>
    <row r="6" spans="1:28" ht="24.75" customHeight="1" thickBot="1">
      <c r="A6" s="201"/>
      <c r="B6" s="637" t="s">
        <v>128</v>
      </c>
      <c r="C6" s="638"/>
      <c r="D6" s="638"/>
      <c r="E6" s="639"/>
      <c r="F6" s="97"/>
      <c r="G6" s="160"/>
      <c r="H6" s="603" t="s">
        <v>133</v>
      </c>
      <c r="I6" s="604"/>
      <c r="J6" s="604"/>
      <c r="K6" s="605"/>
      <c r="L6" s="97"/>
      <c r="M6" s="160"/>
      <c r="N6" s="615" t="s">
        <v>152</v>
      </c>
      <c r="O6" s="616"/>
      <c r="P6" s="617"/>
      <c r="Q6" s="167"/>
      <c r="R6" s="169"/>
      <c r="S6" s="610" t="s">
        <v>134</v>
      </c>
      <c r="T6" s="611"/>
      <c r="U6" s="170"/>
      <c r="V6" s="174"/>
      <c r="W6" s="161"/>
      <c r="X6" s="610" t="s">
        <v>135</v>
      </c>
      <c r="Y6" s="611"/>
      <c r="Z6" s="88"/>
      <c r="AA6" s="111"/>
    </row>
    <row r="7" spans="1:28" ht="30.75" customHeight="1" thickBot="1">
      <c r="A7" s="201"/>
      <c r="B7" s="211" t="s">
        <v>129</v>
      </c>
      <c r="C7" s="203" t="s">
        <v>130</v>
      </c>
      <c r="D7" s="204" t="s">
        <v>131</v>
      </c>
      <c r="E7" s="205" t="s">
        <v>132</v>
      </c>
      <c r="F7" s="97"/>
      <c r="G7" s="127"/>
      <c r="H7" s="612">
        <f>I23</f>
        <v>68</v>
      </c>
      <c r="I7" s="614"/>
      <c r="J7" s="614"/>
      <c r="K7" s="613"/>
      <c r="L7" s="97"/>
      <c r="M7" s="127"/>
      <c r="N7" s="618">
        <f>L23</f>
        <v>187</v>
      </c>
      <c r="O7" s="619"/>
      <c r="P7" s="620"/>
      <c r="Q7" s="168"/>
      <c r="R7" s="170"/>
      <c r="S7" s="612">
        <f>O23</f>
        <v>473</v>
      </c>
      <c r="T7" s="613"/>
      <c r="U7" s="97"/>
      <c r="V7" s="173"/>
      <c r="W7" s="90"/>
      <c r="X7" s="612">
        <f>R23</f>
        <v>526</v>
      </c>
      <c r="Y7" s="613"/>
      <c r="Z7" s="159"/>
      <c r="AA7" s="111"/>
    </row>
    <row r="8" spans="1:28" ht="21.75" customHeight="1" thickBot="1">
      <c r="A8" s="201"/>
      <c r="B8" s="213" t="s">
        <v>374</v>
      </c>
      <c r="C8" s="207" t="s">
        <v>382</v>
      </c>
      <c r="D8" s="202">
        <v>2019</v>
      </c>
      <c r="E8" s="222"/>
      <c r="F8" s="97"/>
      <c r="G8" s="162"/>
      <c r="H8" s="163"/>
      <c r="I8" s="164"/>
      <c r="J8" s="172"/>
      <c r="K8" s="165"/>
      <c r="L8" s="97"/>
      <c r="M8" s="162"/>
      <c r="N8" s="166"/>
      <c r="O8" s="166"/>
      <c r="P8" s="165"/>
      <c r="Q8" s="97"/>
      <c r="R8" s="171"/>
      <c r="S8" s="166"/>
      <c r="T8" s="165"/>
      <c r="U8" s="86"/>
      <c r="V8" s="162"/>
      <c r="W8" s="166"/>
      <c r="X8" s="166"/>
      <c r="Y8" s="165"/>
      <c r="Z8" s="88"/>
      <c r="AA8" s="111"/>
    </row>
    <row r="9" spans="1:28" ht="18" customHeight="1" thickBot="1">
      <c r="A9" s="206"/>
      <c r="B9" s="213" t="s">
        <v>375</v>
      </c>
      <c r="C9" s="208" t="s">
        <v>383</v>
      </c>
      <c r="D9" s="152">
        <v>2024</v>
      </c>
      <c r="E9" s="223"/>
      <c r="F9" s="88"/>
      <c r="G9" s="117"/>
      <c r="H9" s="117"/>
      <c r="I9" s="117"/>
      <c r="J9" s="117"/>
      <c r="K9" s="117"/>
      <c r="L9" s="117"/>
      <c r="M9" s="117"/>
      <c r="N9" s="117"/>
      <c r="O9" s="180"/>
      <c r="P9" s="117"/>
      <c r="Q9" s="95"/>
      <c r="R9" s="95"/>
      <c r="S9" s="117"/>
      <c r="T9" s="117"/>
      <c r="U9" s="98"/>
      <c r="V9" s="117"/>
      <c r="W9" s="117"/>
      <c r="X9" s="117"/>
      <c r="Y9" s="95"/>
      <c r="Z9" s="90"/>
      <c r="AA9" s="111"/>
    </row>
    <row r="10" spans="1:28" ht="21" customHeight="1">
      <c r="A10" s="89"/>
      <c r="B10" s="213" t="s">
        <v>376</v>
      </c>
      <c r="C10" s="208" t="s">
        <v>383</v>
      </c>
      <c r="D10" s="152">
        <v>2024</v>
      </c>
      <c r="E10" s="223"/>
      <c r="F10" s="97"/>
      <c r="G10" s="644" t="s">
        <v>136</v>
      </c>
      <c r="H10" s="645"/>
      <c r="I10" s="645"/>
      <c r="J10" s="645"/>
      <c r="K10" s="645"/>
      <c r="L10" s="645"/>
      <c r="M10" s="645"/>
      <c r="N10" s="645"/>
      <c r="O10" s="645"/>
      <c r="P10" s="645"/>
      <c r="Q10" s="645"/>
      <c r="R10" s="645"/>
      <c r="S10" s="645"/>
      <c r="T10" s="645"/>
      <c r="U10" s="645"/>
      <c r="V10" s="645"/>
      <c r="W10" s="645"/>
      <c r="X10" s="645"/>
      <c r="Y10" s="646"/>
      <c r="Z10" s="88"/>
      <c r="AA10" s="111"/>
    </row>
    <row r="11" spans="1:28" ht="19.5" customHeight="1">
      <c r="A11" s="87"/>
      <c r="B11" s="213" t="s">
        <v>377</v>
      </c>
      <c r="C11" s="212" t="s">
        <v>383</v>
      </c>
      <c r="D11" s="152">
        <v>2024</v>
      </c>
      <c r="E11" s="223"/>
      <c r="F11" s="97"/>
      <c r="G11" s="647" t="s">
        <v>137</v>
      </c>
      <c r="H11" s="642"/>
      <c r="I11" s="642" t="s">
        <v>138</v>
      </c>
      <c r="J11" s="642"/>
      <c r="K11" s="642"/>
      <c r="L11" s="642" t="s">
        <v>139</v>
      </c>
      <c r="M11" s="642"/>
      <c r="N11" s="642"/>
      <c r="O11" s="642" t="s">
        <v>140</v>
      </c>
      <c r="P11" s="642"/>
      <c r="Q11" s="642"/>
      <c r="R11" s="642" t="s">
        <v>135</v>
      </c>
      <c r="S11" s="642"/>
      <c r="T11" s="642"/>
      <c r="U11" s="642"/>
      <c r="V11" s="642"/>
      <c r="W11" s="642"/>
      <c r="X11" s="642"/>
      <c r="Y11" s="643"/>
      <c r="Z11" s="88"/>
      <c r="AA11" s="111"/>
    </row>
    <row r="12" spans="1:28" ht="17.25" customHeight="1">
      <c r="A12" s="87"/>
      <c r="B12" s="214" t="s">
        <v>378</v>
      </c>
      <c r="C12" s="216" t="s">
        <v>383</v>
      </c>
      <c r="D12" s="208">
        <v>2024</v>
      </c>
      <c r="E12" s="223"/>
      <c r="F12" s="97"/>
      <c r="G12" s="647"/>
      <c r="H12" s="642"/>
      <c r="I12" s="642"/>
      <c r="J12" s="642"/>
      <c r="K12" s="642"/>
      <c r="L12" s="642"/>
      <c r="M12" s="642"/>
      <c r="N12" s="642"/>
      <c r="O12" s="642"/>
      <c r="P12" s="642"/>
      <c r="Q12" s="642"/>
      <c r="R12" s="569" t="s">
        <v>141</v>
      </c>
      <c r="S12" s="569"/>
      <c r="T12" s="569" t="s">
        <v>142</v>
      </c>
      <c r="U12" s="569"/>
      <c r="V12" s="569" t="s">
        <v>143</v>
      </c>
      <c r="W12" s="569"/>
      <c r="X12" s="569" t="s">
        <v>144</v>
      </c>
      <c r="Y12" s="600"/>
      <c r="Z12" s="88"/>
      <c r="AA12" s="87"/>
    </row>
    <row r="13" spans="1:28" ht="18.75" customHeight="1">
      <c r="A13" s="87"/>
      <c r="B13" s="213" t="s">
        <v>379</v>
      </c>
      <c r="C13" s="207" t="s">
        <v>383</v>
      </c>
      <c r="D13" s="152">
        <v>2024</v>
      </c>
      <c r="E13" s="223"/>
      <c r="F13" s="97"/>
      <c r="G13" s="647"/>
      <c r="H13" s="642"/>
      <c r="I13" s="642"/>
      <c r="J13" s="642"/>
      <c r="K13" s="642"/>
      <c r="L13" s="642"/>
      <c r="M13" s="642"/>
      <c r="N13" s="642"/>
      <c r="O13" s="642"/>
      <c r="P13" s="642"/>
      <c r="Q13" s="642"/>
      <c r="R13" s="569"/>
      <c r="S13" s="569"/>
      <c r="T13" s="569"/>
      <c r="U13" s="569"/>
      <c r="V13" s="569"/>
      <c r="W13" s="569"/>
      <c r="X13" s="640"/>
      <c r="Y13" s="641"/>
      <c r="Z13" s="88"/>
      <c r="AA13" s="89"/>
    </row>
    <row r="14" spans="1:28" ht="18.75" customHeight="1">
      <c r="A14" s="87"/>
      <c r="B14" s="213" t="s">
        <v>380</v>
      </c>
      <c r="C14" s="208" t="s">
        <v>383</v>
      </c>
      <c r="D14" s="152">
        <v>2024</v>
      </c>
      <c r="E14" s="223"/>
      <c r="F14" s="97"/>
      <c r="G14" s="621" t="s">
        <v>18</v>
      </c>
      <c r="H14" s="622"/>
      <c r="I14" s="599">
        <v>4</v>
      </c>
      <c r="J14" s="623"/>
      <c r="K14" s="624"/>
      <c r="L14" s="597">
        <v>8</v>
      </c>
      <c r="M14" s="597"/>
      <c r="N14" s="597"/>
      <c r="O14" s="597">
        <v>30</v>
      </c>
      <c r="P14" s="597"/>
      <c r="Q14" s="597"/>
      <c r="R14" s="597">
        <v>53</v>
      </c>
      <c r="S14" s="597"/>
      <c r="T14" s="597">
        <v>0</v>
      </c>
      <c r="U14" s="597"/>
      <c r="V14" s="597">
        <v>8</v>
      </c>
      <c r="W14" s="599"/>
      <c r="X14" s="597">
        <v>2</v>
      </c>
      <c r="Y14" s="598"/>
      <c r="Z14" s="88"/>
    </row>
    <row r="15" spans="1:28" ht="19.5" customHeight="1" thickBot="1">
      <c r="A15" s="87"/>
      <c r="B15" s="215" t="s">
        <v>381</v>
      </c>
      <c r="C15" s="210" t="s">
        <v>383</v>
      </c>
      <c r="D15" s="209">
        <v>2024</v>
      </c>
      <c r="E15" s="224"/>
      <c r="F15" s="97"/>
      <c r="G15" s="621" t="s">
        <v>16</v>
      </c>
      <c r="H15" s="622"/>
      <c r="I15" s="599">
        <v>11</v>
      </c>
      <c r="J15" s="623"/>
      <c r="K15" s="624"/>
      <c r="L15" s="597">
        <v>30</v>
      </c>
      <c r="M15" s="597"/>
      <c r="N15" s="597"/>
      <c r="O15" s="597">
        <v>105</v>
      </c>
      <c r="P15" s="597"/>
      <c r="Q15" s="597"/>
      <c r="R15" s="597">
        <v>105</v>
      </c>
      <c r="S15" s="597"/>
      <c r="T15" s="597">
        <v>8</v>
      </c>
      <c r="U15" s="597"/>
      <c r="V15" s="597">
        <v>0</v>
      </c>
      <c r="W15" s="599"/>
      <c r="X15" s="597">
        <v>4</v>
      </c>
      <c r="Y15" s="598"/>
      <c r="Z15" s="88"/>
      <c r="AA15" s="111"/>
    </row>
    <row r="16" spans="1:28" ht="24" customHeight="1" thickBot="1">
      <c r="A16" s="90"/>
      <c r="B16" s="117"/>
      <c r="C16" s="117"/>
      <c r="D16" s="117"/>
      <c r="E16" s="117"/>
      <c r="F16" s="87"/>
      <c r="G16" s="621" t="s">
        <v>19</v>
      </c>
      <c r="H16" s="622"/>
      <c r="I16" s="599">
        <v>19</v>
      </c>
      <c r="J16" s="623"/>
      <c r="K16" s="624"/>
      <c r="L16" s="597">
        <v>58</v>
      </c>
      <c r="M16" s="597"/>
      <c r="N16" s="597"/>
      <c r="O16" s="597">
        <v>99</v>
      </c>
      <c r="P16" s="597"/>
      <c r="Q16" s="597"/>
      <c r="R16" s="597">
        <v>107</v>
      </c>
      <c r="S16" s="597"/>
      <c r="T16" s="597">
        <v>8</v>
      </c>
      <c r="U16" s="597"/>
      <c r="V16" s="597">
        <v>6</v>
      </c>
      <c r="W16" s="599"/>
      <c r="X16" s="597">
        <v>7</v>
      </c>
      <c r="Y16" s="598"/>
      <c r="Z16" s="88"/>
      <c r="AA16" s="111"/>
      <c r="AB16" s="218"/>
    </row>
    <row r="17" spans="1:27" ht="21" customHeight="1">
      <c r="A17" s="87"/>
      <c r="B17" s="634" t="s">
        <v>146</v>
      </c>
      <c r="C17" s="635"/>
      <c r="D17" s="635"/>
      <c r="E17" s="636"/>
      <c r="F17" s="97"/>
      <c r="G17" s="621" t="s">
        <v>17</v>
      </c>
      <c r="H17" s="622"/>
      <c r="I17" s="599">
        <v>15</v>
      </c>
      <c r="J17" s="623"/>
      <c r="K17" s="624"/>
      <c r="L17" s="597">
        <v>49</v>
      </c>
      <c r="M17" s="597"/>
      <c r="N17" s="597"/>
      <c r="O17" s="597">
        <v>127</v>
      </c>
      <c r="P17" s="597"/>
      <c r="Q17" s="597"/>
      <c r="R17" s="597">
        <v>134</v>
      </c>
      <c r="S17" s="597"/>
      <c r="T17" s="597">
        <v>12</v>
      </c>
      <c r="U17" s="597"/>
      <c r="V17" s="597">
        <v>5</v>
      </c>
      <c r="W17" s="599"/>
      <c r="X17" s="597">
        <v>7</v>
      </c>
      <c r="Y17" s="598"/>
      <c r="Z17" s="88"/>
      <c r="AA17" s="111"/>
    </row>
    <row r="18" spans="1:27" ht="34.5" customHeight="1">
      <c r="A18" s="87"/>
      <c r="B18" s="175" t="s">
        <v>147</v>
      </c>
      <c r="C18" s="151" t="s">
        <v>141</v>
      </c>
      <c r="D18" s="150" t="s">
        <v>127</v>
      </c>
      <c r="E18" s="176" t="s">
        <v>148</v>
      </c>
      <c r="F18" s="97"/>
      <c r="G18" s="621" t="s">
        <v>387</v>
      </c>
      <c r="H18" s="622"/>
      <c r="I18" s="599">
        <v>1</v>
      </c>
      <c r="J18" s="623"/>
      <c r="K18" s="624"/>
      <c r="L18" s="597">
        <v>2</v>
      </c>
      <c r="M18" s="597"/>
      <c r="N18" s="597"/>
      <c r="O18" s="597">
        <v>4</v>
      </c>
      <c r="P18" s="597"/>
      <c r="Q18" s="597"/>
      <c r="R18" s="597">
        <v>4</v>
      </c>
      <c r="S18" s="597"/>
      <c r="T18" s="597">
        <v>0</v>
      </c>
      <c r="U18" s="597"/>
      <c r="V18" s="597">
        <v>2</v>
      </c>
      <c r="W18" s="599"/>
      <c r="X18" s="597">
        <v>2</v>
      </c>
      <c r="Y18" s="598"/>
      <c r="Z18" s="88"/>
      <c r="AA18" s="111"/>
    </row>
    <row r="19" spans="1:27" ht="30.75" customHeight="1">
      <c r="A19" s="87"/>
      <c r="B19" s="177" t="s">
        <v>149</v>
      </c>
      <c r="C19" s="152">
        <v>16</v>
      </c>
      <c r="D19" s="157" t="s">
        <v>386</v>
      </c>
      <c r="E19" s="225"/>
      <c r="F19" s="97"/>
      <c r="G19" s="621" t="s">
        <v>388</v>
      </c>
      <c r="H19" s="622"/>
      <c r="I19" s="599">
        <v>5</v>
      </c>
      <c r="J19" s="623"/>
      <c r="K19" s="624"/>
      <c r="L19" s="597">
        <v>8</v>
      </c>
      <c r="M19" s="597"/>
      <c r="N19" s="597"/>
      <c r="O19" s="597">
        <v>22</v>
      </c>
      <c r="P19" s="597"/>
      <c r="Q19" s="597"/>
      <c r="R19" s="597">
        <v>22</v>
      </c>
      <c r="S19" s="597"/>
      <c r="T19" s="597">
        <v>0</v>
      </c>
      <c r="U19" s="597"/>
      <c r="V19" s="597">
        <v>2</v>
      </c>
      <c r="W19" s="599"/>
      <c r="X19" s="597">
        <v>0</v>
      </c>
      <c r="Y19" s="598"/>
      <c r="Z19" s="88"/>
      <c r="AA19" s="111"/>
    </row>
    <row r="20" spans="1:27" ht="30" customHeight="1">
      <c r="A20" s="87"/>
      <c r="B20" s="177" t="s">
        <v>150</v>
      </c>
      <c r="C20" s="157">
        <v>13</v>
      </c>
      <c r="D20" s="157" t="s">
        <v>386</v>
      </c>
      <c r="E20" s="225"/>
      <c r="F20" s="97"/>
      <c r="G20" s="621" t="s">
        <v>22</v>
      </c>
      <c r="H20" s="622"/>
      <c r="I20" s="599">
        <v>9</v>
      </c>
      <c r="J20" s="623"/>
      <c r="K20" s="624"/>
      <c r="L20" s="597">
        <v>22</v>
      </c>
      <c r="M20" s="597"/>
      <c r="N20" s="597"/>
      <c r="O20" s="597">
        <v>32</v>
      </c>
      <c r="P20" s="597"/>
      <c r="Q20" s="597"/>
      <c r="R20" s="597">
        <v>33</v>
      </c>
      <c r="S20" s="597"/>
      <c r="T20" s="597">
        <v>0</v>
      </c>
      <c r="U20" s="597"/>
      <c r="V20" s="597">
        <v>0</v>
      </c>
      <c r="W20" s="599"/>
      <c r="X20" s="597">
        <v>0</v>
      </c>
      <c r="Y20" s="598"/>
      <c r="Z20" s="88"/>
      <c r="AA20" s="111"/>
    </row>
    <row r="21" spans="1:27" ht="30" customHeight="1">
      <c r="A21" s="87"/>
      <c r="B21" s="177" t="s">
        <v>384</v>
      </c>
      <c r="C21" s="157">
        <v>35</v>
      </c>
      <c r="D21" s="157" t="s">
        <v>386</v>
      </c>
      <c r="E21" s="225"/>
      <c r="F21" s="97"/>
      <c r="G21" s="621" t="s">
        <v>20</v>
      </c>
      <c r="H21" s="622"/>
      <c r="I21" s="599">
        <v>3</v>
      </c>
      <c r="J21" s="623"/>
      <c r="K21" s="624"/>
      <c r="L21" s="597">
        <v>8</v>
      </c>
      <c r="M21" s="597"/>
      <c r="N21" s="597"/>
      <c r="O21" s="597">
        <v>50</v>
      </c>
      <c r="P21" s="597"/>
      <c r="Q21" s="597"/>
      <c r="R21" s="597">
        <v>62</v>
      </c>
      <c r="S21" s="597"/>
      <c r="T21" s="597">
        <v>0</v>
      </c>
      <c r="U21" s="597"/>
      <c r="V21" s="597">
        <v>10</v>
      </c>
      <c r="W21" s="599"/>
      <c r="X21" s="597">
        <v>11</v>
      </c>
      <c r="Y21" s="598"/>
      <c r="Z21" s="88"/>
      <c r="AA21" s="111"/>
    </row>
    <row r="22" spans="1:27" ht="32.25" customHeight="1">
      <c r="A22" s="87"/>
      <c r="B22" s="177" t="s">
        <v>151</v>
      </c>
      <c r="C22" s="157">
        <v>21</v>
      </c>
      <c r="D22" s="157" t="s">
        <v>386</v>
      </c>
      <c r="E22" s="225"/>
      <c r="F22" s="97"/>
      <c r="G22" s="621" t="s">
        <v>389</v>
      </c>
      <c r="H22" s="622"/>
      <c r="I22" s="599">
        <v>1</v>
      </c>
      <c r="J22" s="623"/>
      <c r="K22" s="624"/>
      <c r="L22" s="597">
        <v>2</v>
      </c>
      <c r="M22" s="597"/>
      <c r="N22" s="597"/>
      <c r="O22" s="597">
        <v>4</v>
      </c>
      <c r="P22" s="597"/>
      <c r="Q22" s="597"/>
      <c r="R22" s="597">
        <v>6</v>
      </c>
      <c r="S22" s="597"/>
      <c r="T22" s="597">
        <v>0</v>
      </c>
      <c r="U22" s="597"/>
      <c r="V22" s="597">
        <v>0</v>
      </c>
      <c r="W22" s="599"/>
      <c r="X22" s="597">
        <v>3</v>
      </c>
      <c r="Y22" s="598"/>
      <c r="Z22" s="88"/>
      <c r="AA22" s="111"/>
    </row>
    <row r="23" spans="1:27" ht="30.75" customHeight="1" thickBot="1">
      <c r="A23" s="87"/>
      <c r="B23" s="178" t="s">
        <v>385</v>
      </c>
      <c r="C23" s="179">
        <v>2</v>
      </c>
      <c r="D23" s="179" t="s">
        <v>386</v>
      </c>
      <c r="E23" s="226"/>
      <c r="F23" s="97"/>
      <c r="G23" s="609" t="s">
        <v>145</v>
      </c>
      <c r="H23" s="601"/>
      <c r="I23" s="601">
        <f>SUM(I14:K22)</f>
        <v>68</v>
      </c>
      <c r="J23" s="601"/>
      <c r="K23" s="601"/>
      <c r="L23" s="601">
        <f>SUM(L14:N22)</f>
        <v>187</v>
      </c>
      <c r="M23" s="601"/>
      <c r="N23" s="601"/>
      <c r="O23" s="606">
        <f>SUM(O14:Q22)</f>
        <v>473</v>
      </c>
      <c r="P23" s="607"/>
      <c r="Q23" s="608"/>
      <c r="R23" s="606">
        <f>SUM(R14:S22)</f>
        <v>526</v>
      </c>
      <c r="S23" s="608"/>
      <c r="T23" s="606">
        <f>SUM(T14:U22)</f>
        <v>28</v>
      </c>
      <c r="U23" s="608"/>
      <c r="V23" s="606">
        <f>SUM(V14:W22)</f>
        <v>33</v>
      </c>
      <c r="W23" s="607"/>
      <c r="X23" s="601">
        <f>SUM(X14:Y22)</f>
        <v>36</v>
      </c>
      <c r="Y23" s="602"/>
      <c r="Z23" s="88"/>
      <c r="AA23" s="111"/>
    </row>
    <row r="24" spans="1:27" ht="12" customHeight="1">
      <c r="A24" s="90"/>
      <c r="B24" s="115"/>
      <c r="C24" s="115"/>
      <c r="D24" s="115"/>
      <c r="E24" s="115"/>
      <c r="F24" s="90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89"/>
      <c r="R24" s="89"/>
      <c r="S24" s="115"/>
      <c r="T24" s="115"/>
      <c r="U24" s="89"/>
      <c r="V24" s="115"/>
      <c r="W24" s="115"/>
      <c r="X24" s="115"/>
      <c r="Y24" s="89"/>
      <c r="Z24" s="90"/>
      <c r="AA24" s="111"/>
    </row>
    <row r="25" spans="1:27" ht="9" customHeight="1" thickBot="1">
      <c r="A25" s="90"/>
      <c r="B25" s="90"/>
      <c r="C25" s="90"/>
      <c r="D25" s="90"/>
      <c r="E25" s="90"/>
      <c r="F25" s="90"/>
      <c r="G25" s="98"/>
      <c r="H25" s="98"/>
      <c r="I25" s="98"/>
      <c r="J25" s="98"/>
      <c r="K25" s="90"/>
      <c r="L25" s="98"/>
      <c r="M25" s="98"/>
      <c r="N25" s="98"/>
      <c r="O25" s="98"/>
      <c r="P25" s="98"/>
      <c r="Q25" s="111"/>
      <c r="R25" s="111"/>
      <c r="S25" s="98"/>
      <c r="T25" s="98"/>
      <c r="U25" s="111"/>
      <c r="V25" s="98"/>
      <c r="W25" s="98"/>
      <c r="X25" s="98"/>
      <c r="Y25" s="111"/>
      <c r="Z25" s="90"/>
      <c r="AA25" s="111"/>
    </row>
    <row r="26" spans="1:27" ht="37.5" customHeight="1">
      <c r="A26" s="90"/>
      <c r="B26" s="90"/>
      <c r="C26" s="90"/>
      <c r="D26" s="90"/>
      <c r="E26" s="90"/>
      <c r="F26" s="87"/>
      <c r="G26" s="153"/>
      <c r="H26" s="564" t="s">
        <v>160</v>
      </c>
      <c r="I26" s="565"/>
      <c r="J26" s="566"/>
      <c r="K26" s="97"/>
      <c r="L26" s="573" t="s">
        <v>153</v>
      </c>
      <c r="M26" s="574"/>
      <c r="N26" s="574"/>
      <c r="O26" s="574"/>
      <c r="P26" s="574"/>
      <c r="Q26" s="574"/>
      <c r="R26" s="574"/>
      <c r="S26" s="574"/>
      <c r="T26" s="574"/>
      <c r="U26" s="574"/>
      <c r="V26" s="574"/>
      <c r="W26" s="574"/>
      <c r="X26" s="574"/>
      <c r="Y26" s="575"/>
      <c r="Z26" s="88"/>
      <c r="AA26" s="111"/>
    </row>
    <row r="27" spans="1:27" ht="32.25" customHeight="1">
      <c r="A27" s="90"/>
      <c r="B27" s="90"/>
      <c r="C27" s="90"/>
      <c r="D27" s="90"/>
      <c r="E27" s="90"/>
      <c r="F27" s="87"/>
      <c r="G27" s="154"/>
      <c r="H27" s="546">
        <f>Y38</f>
        <v>64</v>
      </c>
      <c r="I27" s="547"/>
      <c r="J27" s="548"/>
      <c r="K27" s="97"/>
      <c r="L27" s="595" t="s">
        <v>137</v>
      </c>
      <c r="M27" s="569"/>
      <c r="N27" s="569"/>
      <c r="O27" s="569" t="s">
        <v>154</v>
      </c>
      <c r="P27" s="569"/>
      <c r="Q27" s="569" t="s">
        <v>155</v>
      </c>
      <c r="R27" s="569"/>
      <c r="S27" s="569" t="s">
        <v>156</v>
      </c>
      <c r="T27" s="569" t="s">
        <v>157</v>
      </c>
      <c r="U27" s="569"/>
      <c r="V27" s="569" t="s">
        <v>158</v>
      </c>
      <c r="W27" s="569" t="s">
        <v>159</v>
      </c>
      <c r="X27" s="569"/>
      <c r="Y27" s="600" t="s">
        <v>145</v>
      </c>
      <c r="Z27" s="88"/>
      <c r="AA27" s="87"/>
    </row>
    <row r="28" spans="1:27" ht="9.75" customHeight="1">
      <c r="A28" s="90"/>
      <c r="B28" s="90"/>
      <c r="C28" s="90"/>
      <c r="D28" s="90"/>
      <c r="E28" s="90"/>
      <c r="F28" s="87"/>
      <c r="G28" s="154"/>
      <c r="H28" s="90"/>
      <c r="I28" s="90"/>
      <c r="J28" s="185"/>
      <c r="K28" s="97"/>
      <c r="L28" s="595"/>
      <c r="M28" s="569"/>
      <c r="N28" s="569"/>
      <c r="O28" s="569"/>
      <c r="P28" s="569"/>
      <c r="Q28" s="569"/>
      <c r="R28" s="569"/>
      <c r="S28" s="569"/>
      <c r="T28" s="569"/>
      <c r="U28" s="569"/>
      <c r="V28" s="569"/>
      <c r="W28" s="569"/>
      <c r="X28" s="569"/>
      <c r="Y28" s="600"/>
      <c r="Z28" s="88"/>
      <c r="AA28" s="111"/>
    </row>
    <row r="29" spans="1:27" ht="17.25" customHeight="1" thickBot="1">
      <c r="A29" s="90"/>
      <c r="B29" s="90"/>
      <c r="C29" s="90"/>
      <c r="D29" s="90"/>
      <c r="E29" s="90"/>
      <c r="F29" s="87"/>
      <c r="G29" s="155"/>
      <c r="H29" s="186"/>
      <c r="I29" s="186"/>
      <c r="J29" s="156"/>
      <c r="K29" s="97"/>
      <c r="L29" s="581" t="s">
        <v>18</v>
      </c>
      <c r="M29" s="549"/>
      <c r="N29" s="549"/>
      <c r="O29" s="549">
        <v>3</v>
      </c>
      <c r="P29" s="549"/>
      <c r="Q29" s="549">
        <v>1</v>
      </c>
      <c r="R29" s="549"/>
      <c r="S29" s="79">
        <v>0</v>
      </c>
      <c r="T29" s="549">
        <v>0</v>
      </c>
      <c r="U29" s="549"/>
      <c r="V29" s="79">
        <v>3</v>
      </c>
      <c r="W29" s="549">
        <v>0</v>
      </c>
      <c r="X29" s="550"/>
      <c r="Y29" s="219">
        <v>6</v>
      </c>
      <c r="Z29" s="88"/>
      <c r="AA29" s="111"/>
    </row>
    <row r="30" spans="1:27" ht="15.75" thickBot="1">
      <c r="A30" s="90"/>
      <c r="B30" s="90"/>
      <c r="C30" s="90"/>
      <c r="D30" s="90"/>
      <c r="E30" s="90"/>
      <c r="F30" s="90"/>
      <c r="G30" s="117"/>
      <c r="H30" s="117"/>
      <c r="I30" s="117"/>
      <c r="J30" s="117"/>
      <c r="K30" s="87"/>
      <c r="L30" s="581" t="s">
        <v>16</v>
      </c>
      <c r="M30" s="549"/>
      <c r="N30" s="549"/>
      <c r="O30" s="549">
        <v>0</v>
      </c>
      <c r="P30" s="549"/>
      <c r="Q30" s="549">
        <v>0</v>
      </c>
      <c r="R30" s="549"/>
      <c r="S30" s="79">
        <v>9</v>
      </c>
      <c r="T30" s="549">
        <v>3</v>
      </c>
      <c r="U30" s="549"/>
      <c r="V30" s="79">
        <v>2</v>
      </c>
      <c r="W30" s="549">
        <v>1</v>
      </c>
      <c r="X30" s="550"/>
      <c r="Y30" s="219">
        <v>11</v>
      </c>
      <c r="Z30" s="88"/>
      <c r="AA30" s="87"/>
    </row>
    <row r="31" spans="1:27" ht="21">
      <c r="A31" s="90"/>
      <c r="B31" s="90"/>
      <c r="C31" s="90"/>
      <c r="D31" s="90"/>
      <c r="E31" s="90"/>
      <c r="F31" s="87"/>
      <c r="G31" s="153"/>
      <c r="H31" s="570" t="s">
        <v>150</v>
      </c>
      <c r="I31" s="571"/>
      <c r="J31" s="572"/>
      <c r="K31" s="97"/>
      <c r="L31" s="581" t="s">
        <v>19</v>
      </c>
      <c r="M31" s="549"/>
      <c r="N31" s="549"/>
      <c r="O31" s="549">
        <v>1</v>
      </c>
      <c r="P31" s="549"/>
      <c r="Q31" s="549">
        <v>0</v>
      </c>
      <c r="R31" s="549"/>
      <c r="S31" s="79">
        <v>3</v>
      </c>
      <c r="T31" s="549">
        <v>4</v>
      </c>
      <c r="U31" s="549"/>
      <c r="V31" s="79">
        <v>2</v>
      </c>
      <c r="W31" s="549">
        <v>0</v>
      </c>
      <c r="X31" s="550"/>
      <c r="Y31" s="219">
        <v>6</v>
      </c>
      <c r="Z31" s="88"/>
      <c r="AA31" s="87"/>
    </row>
    <row r="32" spans="1:27" ht="17.25" customHeight="1">
      <c r="A32" s="90"/>
      <c r="B32" s="90"/>
      <c r="C32" s="90"/>
      <c r="D32" s="90"/>
      <c r="E32" s="90"/>
      <c r="F32" s="87"/>
      <c r="G32" s="154"/>
      <c r="H32" s="90"/>
      <c r="I32" s="90"/>
      <c r="J32" s="185"/>
      <c r="K32" s="97"/>
      <c r="L32" s="581" t="s">
        <v>17</v>
      </c>
      <c r="M32" s="549"/>
      <c r="N32" s="549"/>
      <c r="O32" s="549">
        <v>2</v>
      </c>
      <c r="P32" s="549"/>
      <c r="Q32" s="549">
        <v>0</v>
      </c>
      <c r="R32" s="549"/>
      <c r="S32" s="79">
        <v>4</v>
      </c>
      <c r="T32" s="549">
        <v>2</v>
      </c>
      <c r="U32" s="549"/>
      <c r="V32" s="79">
        <v>9</v>
      </c>
      <c r="W32" s="549">
        <v>2</v>
      </c>
      <c r="X32" s="550"/>
      <c r="Y32" s="219">
        <v>15</v>
      </c>
      <c r="Z32" s="88"/>
      <c r="AA32" s="87"/>
    </row>
    <row r="33" spans="1:27" ht="31.5" customHeight="1">
      <c r="A33" s="90"/>
      <c r="B33" s="90"/>
      <c r="C33" s="90"/>
      <c r="D33" s="90"/>
      <c r="E33" s="90"/>
      <c r="F33" s="87"/>
      <c r="G33" s="154"/>
      <c r="H33" s="546">
        <f>O38</f>
        <v>13</v>
      </c>
      <c r="I33" s="547"/>
      <c r="J33" s="548"/>
      <c r="K33" s="97"/>
      <c r="L33" s="581" t="s">
        <v>387</v>
      </c>
      <c r="M33" s="549"/>
      <c r="N33" s="549"/>
      <c r="O33" s="549">
        <v>2</v>
      </c>
      <c r="P33" s="549"/>
      <c r="Q33" s="549">
        <v>2</v>
      </c>
      <c r="R33" s="549"/>
      <c r="S33" s="79">
        <v>0</v>
      </c>
      <c r="T33" s="549">
        <v>0</v>
      </c>
      <c r="U33" s="549"/>
      <c r="V33" s="79">
        <v>1</v>
      </c>
      <c r="W33" s="549">
        <v>1</v>
      </c>
      <c r="X33" s="550"/>
      <c r="Y33" s="219">
        <v>3</v>
      </c>
      <c r="Z33" s="88"/>
      <c r="AA33" s="217"/>
    </row>
    <row r="34" spans="1:27" ht="18" customHeight="1">
      <c r="A34" s="90"/>
      <c r="B34" s="90"/>
      <c r="C34" s="90"/>
      <c r="D34" s="90"/>
      <c r="E34" s="90"/>
      <c r="F34" s="87"/>
      <c r="G34" s="154"/>
      <c r="H34" s="90"/>
      <c r="I34" s="90"/>
      <c r="J34" s="185"/>
      <c r="K34" s="97"/>
      <c r="L34" s="581" t="s">
        <v>388</v>
      </c>
      <c r="M34" s="549"/>
      <c r="N34" s="549"/>
      <c r="O34" s="549">
        <v>1</v>
      </c>
      <c r="P34" s="549"/>
      <c r="Q34" s="549">
        <v>0</v>
      </c>
      <c r="R34" s="549"/>
      <c r="S34" s="79">
        <v>0</v>
      </c>
      <c r="T34" s="549">
        <v>0</v>
      </c>
      <c r="U34" s="549"/>
      <c r="V34" s="79">
        <v>4</v>
      </c>
      <c r="W34" s="549">
        <v>0</v>
      </c>
      <c r="X34" s="550"/>
      <c r="Y34" s="219">
        <v>5</v>
      </c>
      <c r="Z34" s="88"/>
      <c r="AA34" s="87"/>
    </row>
    <row r="35" spans="1:27" ht="15.75" customHeight="1" thickBot="1">
      <c r="A35" s="90"/>
      <c r="B35" s="90"/>
      <c r="C35" s="90"/>
      <c r="D35" s="90"/>
      <c r="E35" s="90"/>
      <c r="F35" s="87"/>
      <c r="G35" s="155"/>
      <c r="H35" s="186"/>
      <c r="I35" s="186"/>
      <c r="J35" s="156"/>
      <c r="K35" s="97"/>
      <c r="L35" s="581" t="s">
        <v>22</v>
      </c>
      <c r="M35" s="549"/>
      <c r="N35" s="549"/>
      <c r="O35" s="576">
        <v>0</v>
      </c>
      <c r="P35" s="576"/>
      <c r="Q35" s="576">
        <v>0</v>
      </c>
      <c r="R35" s="576"/>
      <c r="S35" s="182">
        <v>0</v>
      </c>
      <c r="T35" s="576">
        <v>0</v>
      </c>
      <c r="U35" s="576"/>
      <c r="V35" s="182">
        <v>5</v>
      </c>
      <c r="W35" s="576">
        <v>0</v>
      </c>
      <c r="X35" s="596"/>
      <c r="Y35" s="219">
        <v>5</v>
      </c>
      <c r="Z35" s="88"/>
      <c r="AA35" s="111"/>
    </row>
    <row r="36" spans="1:27" ht="21" customHeight="1" thickBot="1">
      <c r="A36" s="90"/>
      <c r="B36" s="90"/>
      <c r="C36" s="90"/>
      <c r="D36" s="90"/>
      <c r="E36" s="90"/>
      <c r="F36" s="90"/>
      <c r="G36" s="117"/>
      <c r="H36" s="117"/>
      <c r="I36" s="117"/>
      <c r="J36" s="117"/>
      <c r="K36" s="87"/>
      <c r="L36" s="581" t="s">
        <v>20</v>
      </c>
      <c r="M36" s="549"/>
      <c r="N36" s="550"/>
      <c r="O36" s="553">
        <v>4</v>
      </c>
      <c r="P36" s="553"/>
      <c r="Q36" s="553">
        <v>1</v>
      </c>
      <c r="R36" s="553"/>
      <c r="S36" s="183">
        <v>0</v>
      </c>
      <c r="T36" s="553">
        <v>0</v>
      </c>
      <c r="U36" s="553"/>
      <c r="V36" s="183">
        <v>6</v>
      </c>
      <c r="W36" s="553">
        <v>1</v>
      </c>
      <c r="X36" s="577"/>
      <c r="Y36" s="219">
        <v>10</v>
      </c>
      <c r="Z36" s="88"/>
      <c r="AA36" s="87"/>
    </row>
    <row r="37" spans="1:27" ht="19.5" customHeight="1">
      <c r="A37" s="90"/>
      <c r="B37" s="90"/>
      <c r="C37" s="90"/>
      <c r="D37" s="90"/>
      <c r="E37" s="90"/>
      <c r="F37" s="87"/>
      <c r="G37" s="153"/>
      <c r="H37" s="570" t="s">
        <v>149</v>
      </c>
      <c r="I37" s="571"/>
      <c r="J37" s="572"/>
      <c r="K37" s="97"/>
      <c r="L37" s="581" t="s">
        <v>389</v>
      </c>
      <c r="M37" s="549"/>
      <c r="N37" s="550"/>
      <c r="O37" s="553">
        <v>0</v>
      </c>
      <c r="P37" s="553"/>
      <c r="Q37" s="553">
        <v>0</v>
      </c>
      <c r="R37" s="553"/>
      <c r="S37" s="183">
        <v>0</v>
      </c>
      <c r="T37" s="553">
        <v>0</v>
      </c>
      <c r="U37" s="553"/>
      <c r="V37" s="183">
        <v>3</v>
      </c>
      <c r="W37" s="553">
        <v>3</v>
      </c>
      <c r="X37" s="577"/>
      <c r="Y37" s="219">
        <v>3</v>
      </c>
      <c r="Z37" s="88"/>
    </row>
    <row r="38" spans="1:27" ht="14.25" customHeight="1" thickBot="1">
      <c r="A38" s="90"/>
      <c r="B38" s="90"/>
      <c r="C38" s="90"/>
      <c r="D38" s="90"/>
      <c r="E38" s="90"/>
      <c r="F38" s="87"/>
      <c r="G38" s="154"/>
      <c r="H38" s="90"/>
      <c r="I38" s="90"/>
      <c r="J38" s="185"/>
      <c r="K38" s="97"/>
      <c r="L38" s="589" t="s">
        <v>145</v>
      </c>
      <c r="M38" s="590"/>
      <c r="N38" s="591"/>
      <c r="O38" s="554">
        <f>SUM(O29:P37)</f>
        <v>13</v>
      </c>
      <c r="P38" s="554"/>
      <c r="Q38" s="554">
        <f>SUM(Q29:R37)</f>
        <v>4</v>
      </c>
      <c r="R38" s="554"/>
      <c r="S38" s="220">
        <f>SUM(S29:S37)</f>
        <v>16</v>
      </c>
      <c r="T38" s="554">
        <f>SUM(T29:U37)</f>
        <v>9</v>
      </c>
      <c r="U38" s="554"/>
      <c r="V38" s="220">
        <f>SUM(V29:V37)</f>
        <v>35</v>
      </c>
      <c r="W38" s="554">
        <f>SUM(W29:X37)</f>
        <v>8</v>
      </c>
      <c r="X38" s="554"/>
      <c r="Y38" s="221">
        <f>SUM(Y29:Y37)</f>
        <v>64</v>
      </c>
      <c r="Z38" s="88"/>
      <c r="AA38" s="111"/>
    </row>
    <row r="39" spans="1:27" ht="25.5" customHeight="1">
      <c r="A39" s="90"/>
      <c r="B39" s="90"/>
      <c r="C39" s="90"/>
      <c r="D39" s="90"/>
      <c r="E39" s="90"/>
      <c r="F39" s="87"/>
      <c r="G39" s="154"/>
      <c r="H39" s="546">
        <f>S38</f>
        <v>16</v>
      </c>
      <c r="I39" s="547"/>
      <c r="J39" s="548"/>
      <c r="K39" s="97"/>
      <c r="L39" s="584"/>
      <c r="M39" s="592"/>
      <c r="N39" s="593"/>
      <c r="O39" s="584"/>
      <c r="P39" s="585"/>
      <c r="Q39" s="567"/>
      <c r="R39" s="568"/>
      <c r="S39" s="115"/>
      <c r="T39" s="555"/>
      <c r="U39" s="555"/>
      <c r="V39" s="115"/>
      <c r="W39" s="555"/>
      <c r="X39" s="555"/>
      <c r="Y39" s="146"/>
      <c r="Z39" s="90"/>
      <c r="AA39" s="87"/>
    </row>
    <row r="40" spans="1:27" ht="12" customHeight="1">
      <c r="A40" s="90"/>
      <c r="B40" s="90"/>
      <c r="C40" s="90"/>
      <c r="D40" s="90"/>
      <c r="E40" s="90"/>
      <c r="F40" s="87"/>
      <c r="G40" s="154"/>
      <c r="H40" s="90"/>
      <c r="I40" s="90"/>
      <c r="J40" s="185"/>
      <c r="K40" s="97"/>
      <c r="L40" s="557"/>
      <c r="M40" s="594"/>
      <c r="N40" s="558"/>
      <c r="O40" s="586"/>
      <c r="P40" s="583"/>
      <c r="Q40" s="582"/>
      <c r="R40" s="583"/>
      <c r="S40" s="90"/>
      <c r="T40" s="556"/>
      <c r="U40" s="556"/>
      <c r="V40" s="90"/>
      <c r="W40" s="556"/>
      <c r="X40" s="556"/>
      <c r="Y40" s="158"/>
      <c r="Z40" s="90"/>
    </row>
    <row r="41" spans="1:27" ht="9" customHeight="1" thickBot="1">
      <c r="A41" s="90"/>
      <c r="B41" s="90"/>
      <c r="C41" s="90"/>
      <c r="D41" s="90"/>
      <c r="E41" s="90"/>
      <c r="F41" s="87"/>
      <c r="G41" s="155"/>
      <c r="H41" s="186"/>
      <c r="I41" s="186"/>
      <c r="J41" s="156"/>
      <c r="K41" s="97"/>
      <c r="L41" s="557"/>
      <c r="M41" s="594"/>
      <c r="N41" s="558"/>
      <c r="O41" s="587"/>
      <c r="P41" s="588"/>
      <c r="Q41" s="557"/>
      <c r="R41" s="558"/>
      <c r="S41" s="90"/>
      <c r="T41" s="557"/>
      <c r="U41" s="558"/>
      <c r="V41" s="90"/>
      <c r="W41" s="557"/>
      <c r="X41" s="558"/>
      <c r="Y41" s="158"/>
      <c r="Z41" s="90"/>
      <c r="AA41" s="111"/>
    </row>
    <row r="42" spans="1:27" ht="24" thickBot="1">
      <c r="A42" s="90"/>
      <c r="B42" s="90"/>
      <c r="C42" s="90"/>
      <c r="D42" s="90"/>
      <c r="E42" s="90"/>
      <c r="F42" s="90"/>
      <c r="G42" s="117"/>
      <c r="H42" s="117"/>
      <c r="I42" s="117"/>
      <c r="J42" s="117"/>
      <c r="K42" s="87"/>
      <c r="L42" s="578"/>
      <c r="M42" s="579"/>
      <c r="N42" s="580"/>
      <c r="O42" s="567"/>
      <c r="P42" s="568"/>
      <c r="Q42" s="90"/>
      <c r="R42" s="551" t="s">
        <v>204</v>
      </c>
      <c r="S42" s="552"/>
      <c r="T42" s="116"/>
      <c r="U42" s="559"/>
      <c r="V42" s="560"/>
      <c r="W42" s="559"/>
      <c r="X42" s="560"/>
      <c r="Y42" s="158"/>
      <c r="Z42" s="90"/>
      <c r="AA42" s="87"/>
    </row>
    <row r="43" spans="1:27" ht="26.25" customHeight="1">
      <c r="A43" s="90"/>
      <c r="B43" s="90"/>
      <c r="C43" s="90"/>
      <c r="D43" s="90"/>
      <c r="E43" s="90"/>
      <c r="F43" s="87"/>
      <c r="G43" s="153"/>
      <c r="H43" s="562" t="s">
        <v>161</v>
      </c>
      <c r="I43" s="562"/>
      <c r="J43" s="563"/>
      <c r="K43" s="97"/>
      <c r="L43" s="153"/>
      <c r="M43" s="184"/>
      <c r="N43" s="537" t="s">
        <v>151</v>
      </c>
      <c r="O43" s="538"/>
      <c r="P43" s="539"/>
      <c r="Q43" s="154"/>
      <c r="R43" s="340" t="s">
        <v>205</v>
      </c>
      <c r="S43" s="353"/>
      <c r="T43" s="350" t="s">
        <v>208</v>
      </c>
      <c r="U43" s="341"/>
      <c r="V43" s="341"/>
      <c r="W43" s="341"/>
      <c r="X43" s="354"/>
      <c r="Y43" s="347"/>
      <c r="Z43" s="343"/>
      <c r="AA43" s="348"/>
    </row>
    <row r="44" spans="1:27" ht="12" customHeight="1">
      <c r="A44" s="90"/>
      <c r="B44" s="90"/>
      <c r="C44" s="90"/>
      <c r="D44" s="90"/>
      <c r="E44" s="90"/>
      <c r="F44" s="87"/>
      <c r="G44" s="154"/>
      <c r="H44" s="90"/>
      <c r="I44" s="90"/>
      <c r="J44" s="185"/>
      <c r="K44" s="97"/>
      <c r="L44" s="154"/>
      <c r="M44" s="90"/>
      <c r="N44" s="90"/>
      <c r="O44" s="90"/>
      <c r="P44" s="185"/>
      <c r="Q44" s="360"/>
      <c r="R44" s="342"/>
      <c r="S44" s="357"/>
      <c r="T44" s="358"/>
      <c r="U44" s="355"/>
      <c r="V44" s="356"/>
      <c r="W44" s="356"/>
      <c r="X44" s="356"/>
      <c r="Y44" s="362"/>
      <c r="Z44" s="356"/>
      <c r="AA44" s="357"/>
    </row>
    <row r="45" spans="1:27" ht="27" customHeight="1">
      <c r="A45" s="90"/>
      <c r="B45" s="90"/>
      <c r="C45" s="90"/>
      <c r="D45" s="90"/>
      <c r="E45" s="90"/>
      <c r="F45" s="87"/>
      <c r="G45" s="154"/>
      <c r="H45" s="546">
        <f>SUM(V38)</f>
        <v>35</v>
      </c>
      <c r="I45" s="547"/>
      <c r="J45" s="548"/>
      <c r="K45" s="97"/>
      <c r="L45" s="154"/>
      <c r="M45" s="90"/>
      <c r="N45" s="90"/>
      <c r="O45" s="540">
        <f>SUM(Q38,T38,W38)</f>
        <v>21</v>
      </c>
      <c r="P45" s="541"/>
      <c r="Q45" s="154"/>
      <c r="R45" s="341" t="s">
        <v>206</v>
      </c>
      <c r="S45" s="351"/>
      <c r="T45" s="349" t="s">
        <v>209</v>
      </c>
      <c r="U45" s="350"/>
      <c r="V45" s="343"/>
      <c r="W45" s="343"/>
      <c r="X45" s="348"/>
      <c r="Y45" s="361"/>
      <c r="Z45" s="343"/>
      <c r="AA45" s="348"/>
    </row>
    <row r="46" spans="1:27" ht="17.25" customHeight="1">
      <c r="A46" s="90"/>
      <c r="B46" s="90"/>
      <c r="C46" s="90"/>
      <c r="D46" s="90"/>
      <c r="E46" s="90"/>
      <c r="F46" s="87"/>
      <c r="G46" s="154"/>
      <c r="H46" s="90"/>
      <c r="I46" s="90"/>
      <c r="J46" s="185"/>
      <c r="K46" s="97"/>
      <c r="L46" s="154"/>
      <c r="M46" s="90"/>
      <c r="N46" s="90"/>
      <c r="O46" s="542"/>
      <c r="P46" s="543"/>
      <c r="Q46" s="154"/>
      <c r="R46" s="342"/>
      <c r="S46" s="357"/>
      <c r="T46" s="358"/>
      <c r="U46" s="355"/>
      <c r="V46" s="356"/>
      <c r="W46" s="356"/>
      <c r="X46" s="356"/>
      <c r="Y46" s="363"/>
      <c r="Z46" s="356"/>
      <c r="AA46" s="359"/>
    </row>
    <row r="47" spans="1:27" ht="19.5" customHeight="1" thickBot="1">
      <c r="A47" s="90"/>
      <c r="B47" s="90"/>
      <c r="C47" s="90"/>
      <c r="D47" s="90"/>
      <c r="E47" s="90"/>
      <c r="F47" s="87"/>
      <c r="G47" s="155"/>
      <c r="H47" s="186"/>
      <c r="I47" s="186"/>
      <c r="J47" s="156"/>
      <c r="K47" s="97"/>
      <c r="L47" s="155"/>
      <c r="M47" s="186"/>
      <c r="N47" s="186"/>
      <c r="O47" s="186"/>
      <c r="P47" s="156"/>
      <c r="R47" s="349" t="s">
        <v>207</v>
      </c>
      <c r="S47" s="348"/>
      <c r="T47" s="349" t="s">
        <v>210</v>
      </c>
      <c r="U47" s="350"/>
      <c r="V47" s="343"/>
      <c r="W47" s="343"/>
      <c r="X47" s="348"/>
      <c r="Y47" s="364"/>
      <c r="Z47" s="343"/>
      <c r="AA47" s="352"/>
    </row>
    <row r="48" spans="1:27" ht="18.75" customHeight="1">
      <c r="A48" s="90"/>
      <c r="B48" s="90"/>
      <c r="C48" s="90"/>
      <c r="D48" s="90"/>
      <c r="E48" s="98"/>
      <c r="F48" s="111"/>
      <c r="G48" s="115"/>
      <c r="H48" s="117"/>
      <c r="I48" s="117"/>
      <c r="J48" s="115"/>
      <c r="K48" s="86"/>
      <c r="L48" s="184"/>
      <c r="M48" s="184"/>
      <c r="N48" s="184"/>
      <c r="O48" s="184"/>
      <c r="P48" s="95"/>
      <c r="Q48" s="90"/>
      <c r="R48" s="87"/>
      <c r="S48" s="90"/>
      <c r="T48" s="90"/>
      <c r="U48" s="87"/>
      <c r="V48" s="90"/>
      <c r="W48" s="90"/>
      <c r="X48" s="90"/>
      <c r="Y48" s="87"/>
      <c r="Z48" s="90"/>
      <c r="AA48" s="111"/>
    </row>
    <row r="49" spans="1:28" ht="28.5" customHeight="1">
      <c r="A49" s="90"/>
      <c r="B49" s="90"/>
      <c r="C49" s="90"/>
      <c r="D49" s="90"/>
      <c r="E49" s="90"/>
      <c r="F49" s="87"/>
      <c r="G49" s="90"/>
      <c r="H49" s="98"/>
      <c r="I49" s="98"/>
      <c r="J49" s="90"/>
      <c r="K49" s="90"/>
      <c r="L49" s="115"/>
      <c r="M49" s="115"/>
      <c r="N49" s="115"/>
      <c r="O49" s="115"/>
      <c r="P49" s="90"/>
      <c r="Q49" s="90"/>
      <c r="R49" s="87"/>
      <c r="S49" s="90"/>
      <c r="T49" s="90"/>
      <c r="U49" s="87"/>
      <c r="V49" s="90"/>
      <c r="W49" s="90"/>
      <c r="X49" s="90"/>
      <c r="Y49" s="87"/>
      <c r="Z49" s="90"/>
      <c r="AA49" s="111"/>
    </row>
    <row r="50" spans="1:28" ht="16.5" thickBot="1">
      <c r="A50" s="90"/>
      <c r="B50" s="90"/>
      <c r="C50" s="90"/>
      <c r="D50" s="90"/>
      <c r="E50" s="90"/>
      <c r="F50" s="87"/>
      <c r="G50" s="187"/>
      <c r="H50" s="544"/>
      <c r="I50" s="544"/>
      <c r="J50" s="545"/>
      <c r="K50" s="88"/>
      <c r="L50" s="115"/>
      <c r="M50" s="115"/>
      <c r="N50" s="115"/>
      <c r="O50" s="115"/>
      <c r="P50" s="90"/>
      <c r="Q50" s="87"/>
      <c r="R50" s="87"/>
      <c r="S50" s="90"/>
      <c r="T50" s="90"/>
      <c r="U50" s="87"/>
      <c r="V50" s="90"/>
      <c r="W50" s="90"/>
      <c r="X50" s="90"/>
      <c r="Y50" s="87"/>
      <c r="Z50" s="90"/>
      <c r="AA50" s="111"/>
    </row>
    <row r="51" spans="1:28">
      <c r="A51" s="90"/>
      <c r="B51" s="90"/>
      <c r="C51" s="90"/>
      <c r="D51" s="90"/>
      <c r="E51" s="90"/>
      <c r="F51" s="90"/>
      <c r="G51" s="115"/>
      <c r="H51" s="115"/>
      <c r="I51" s="115"/>
      <c r="J51" s="115"/>
      <c r="K51" s="90"/>
      <c r="L51" s="90"/>
      <c r="M51" s="90"/>
      <c r="N51" s="90"/>
      <c r="O51" s="90"/>
      <c r="P51" s="90"/>
      <c r="Q51" s="87"/>
      <c r="R51" s="87"/>
      <c r="S51" s="90"/>
      <c r="T51" s="90"/>
      <c r="U51" s="87"/>
      <c r="V51" s="90"/>
      <c r="W51" s="90"/>
      <c r="X51" s="90"/>
      <c r="Y51" s="87"/>
      <c r="Z51" s="90"/>
    </row>
    <row r="52" spans="1:28" ht="36">
      <c r="A52" s="90"/>
      <c r="B52" s="90"/>
      <c r="C52" s="90"/>
      <c r="D52" s="90"/>
      <c r="E52" s="90"/>
      <c r="F52" s="90"/>
      <c r="G52" s="90"/>
      <c r="H52" s="561"/>
      <c r="I52" s="561"/>
      <c r="J52" s="561"/>
      <c r="K52" s="90"/>
      <c r="L52" s="90"/>
      <c r="M52" s="90"/>
      <c r="N52" s="90"/>
      <c r="O52" s="90"/>
      <c r="P52" s="90"/>
      <c r="Q52" s="87"/>
      <c r="R52" s="87"/>
      <c r="S52" s="90"/>
      <c r="T52" s="90"/>
      <c r="U52" s="87"/>
      <c r="V52" s="90"/>
      <c r="W52" s="90"/>
      <c r="X52" s="90"/>
      <c r="Y52" s="87"/>
      <c r="Z52" s="90"/>
      <c r="AA52" s="111"/>
    </row>
    <row r="53" spans="1:28">
      <c r="A53" s="90"/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87"/>
      <c r="R53" s="87"/>
      <c r="S53" s="90"/>
      <c r="T53" s="90"/>
      <c r="U53" s="87"/>
      <c r="V53" s="90"/>
      <c r="W53" s="90"/>
      <c r="X53" s="90"/>
      <c r="Y53" s="87"/>
      <c r="Z53" s="90"/>
      <c r="AA53" s="111"/>
    </row>
    <row r="54" spans="1:28" ht="3" customHeight="1">
      <c r="A54" s="90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87"/>
      <c r="R54" s="87"/>
      <c r="S54" s="90"/>
      <c r="T54" s="90"/>
      <c r="U54" s="87"/>
      <c r="V54" s="90"/>
      <c r="W54" s="90"/>
      <c r="X54" s="90"/>
      <c r="Y54" s="87"/>
      <c r="Z54" s="90"/>
      <c r="AA54" s="111"/>
    </row>
    <row r="55" spans="1:28" ht="5.25" customHeight="1">
      <c r="A55" s="90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87"/>
      <c r="R55" s="87"/>
      <c r="S55" s="90"/>
      <c r="T55" s="90"/>
      <c r="U55" s="87"/>
      <c r="V55" s="90"/>
      <c r="W55" s="90"/>
      <c r="X55" s="534"/>
      <c r="Y55" s="535"/>
      <c r="Z55" s="535"/>
      <c r="AA55" s="535"/>
      <c r="AB55" s="536"/>
    </row>
    <row r="56" spans="1:28" ht="23.25" hidden="1">
      <c r="A56" s="90"/>
      <c r="B56" s="90"/>
      <c r="C56" s="90"/>
      <c r="D56" s="90"/>
      <c r="E56" s="115"/>
      <c r="F56" s="115"/>
      <c r="G56" s="115"/>
      <c r="H56" s="115"/>
      <c r="I56" s="115"/>
      <c r="J56" s="115"/>
      <c r="K56" s="115"/>
      <c r="L56" s="90"/>
      <c r="M56" s="90"/>
      <c r="N56" s="90"/>
      <c r="O56" s="90"/>
      <c r="P56" s="90"/>
      <c r="Q56" s="87"/>
      <c r="R56" s="87"/>
      <c r="S56" s="90"/>
      <c r="T56" s="90"/>
      <c r="U56" s="87"/>
      <c r="V56" s="90"/>
      <c r="W56" s="90"/>
      <c r="X56" s="344"/>
      <c r="Y56" s="345"/>
      <c r="Z56" s="90"/>
      <c r="AA56" s="90"/>
      <c r="AB56" s="87"/>
    </row>
    <row r="57" spans="1:28" ht="23.25">
      <c r="A57" s="90"/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87"/>
      <c r="R57" s="87"/>
      <c r="S57" s="90"/>
      <c r="T57" s="90"/>
      <c r="U57" s="87"/>
      <c r="V57" s="90"/>
      <c r="W57" s="90"/>
      <c r="X57" s="346"/>
      <c r="Y57" s="345"/>
      <c r="Z57" s="90"/>
      <c r="AA57" s="90"/>
      <c r="AB57" s="87"/>
    </row>
    <row r="58" spans="1:28" ht="23.25">
      <c r="A58" s="90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87"/>
      <c r="R58" s="87"/>
      <c r="S58" s="90"/>
      <c r="T58" s="90"/>
      <c r="U58" s="87"/>
      <c r="V58" s="90"/>
      <c r="W58" s="90"/>
      <c r="X58" s="344"/>
      <c r="Y58" s="345"/>
      <c r="Z58" s="90"/>
      <c r="AA58" s="90"/>
      <c r="AB58" s="87"/>
    </row>
    <row r="59" spans="1:28" ht="23.25">
      <c r="A59" s="90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87"/>
      <c r="R59" s="87"/>
      <c r="S59" s="90"/>
      <c r="T59" s="90"/>
      <c r="U59" s="87"/>
      <c r="V59" s="90"/>
      <c r="W59" s="90"/>
      <c r="X59" s="346"/>
      <c r="Y59" s="345"/>
      <c r="Z59" s="90"/>
      <c r="AA59" s="90"/>
      <c r="AB59" s="87"/>
    </row>
    <row r="60" spans="1:28">
      <c r="A60" s="90"/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87"/>
      <c r="R60" s="87"/>
      <c r="S60" s="90"/>
      <c r="T60" s="90"/>
      <c r="U60" s="87"/>
      <c r="V60" s="90"/>
      <c r="W60" s="90"/>
      <c r="X60" s="90"/>
      <c r="Y60" s="87"/>
      <c r="Z60" s="90"/>
      <c r="AA60" s="111"/>
    </row>
    <row r="61" spans="1:28">
      <c r="A61" s="90"/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87"/>
      <c r="R61" s="87"/>
      <c r="X61" s="90"/>
      <c r="Y61" s="87"/>
      <c r="Z61" s="90"/>
    </row>
    <row r="62" spans="1:28">
      <c r="A62" s="90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87"/>
      <c r="R62" s="87"/>
      <c r="X62" s="90"/>
      <c r="Y62" s="87"/>
      <c r="Z62" s="90"/>
    </row>
    <row r="63" spans="1:28" ht="23.25">
      <c r="A63" s="90"/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87"/>
      <c r="R63" s="87"/>
      <c r="U63" s="534"/>
      <c r="V63" s="535"/>
      <c r="W63" s="535"/>
      <c r="X63" s="535"/>
      <c r="Y63" s="536"/>
      <c r="Z63" s="90"/>
    </row>
    <row r="64" spans="1:28" ht="23.25">
      <c r="A64" s="90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87"/>
      <c r="R64" s="87"/>
      <c r="U64" s="344"/>
      <c r="V64" s="345"/>
      <c r="W64" s="90"/>
      <c r="X64" s="90"/>
      <c r="Y64" s="87"/>
      <c r="Z64" s="90"/>
    </row>
    <row r="65" spans="1:26" ht="23.25">
      <c r="A65" s="90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87"/>
      <c r="R65" s="87"/>
      <c r="U65" s="346"/>
      <c r="V65" s="345"/>
      <c r="W65" s="90"/>
      <c r="X65" s="90"/>
      <c r="Y65" s="87"/>
      <c r="Z65" s="90"/>
    </row>
    <row r="66" spans="1:26" ht="23.25">
      <c r="A66" s="90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87"/>
      <c r="R66" s="87"/>
      <c r="U66" s="344"/>
      <c r="V66" s="345"/>
      <c r="W66" s="90"/>
      <c r="X66" s="90"/>
      <c r="Y66" s="87"/>
      <c r="Z66" s="90"/>
    </row>
    <row r="67" spans="1:26" ht="23.25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87"/>
      <c r="R67" s="87"/>
      <c r="S67" s="90"/>
      <c r="T67" s="90"/>
      <c r="U67" s="346"/>
      <c r="V67" s="345"/>
      <c r="W67" s="90"/>
      <c r="X67" s="90"/>
      <c r="Y67" s="87"/>
      <c r="Z67" s="90"/>
    </row>
    <row r="68" spans="1:26">
      <c r="A68" s="90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87"/>
      <c r="R68" s="87"/>
      <c r="S68" s="90"/>
      <c r="T68" s="90"/>
      <c r="U68" s="87"/>
      <c r="V68" s="90"/>
      <c r="W68" s="90"/>
      <c r="X68" s="90"/>
      <c r="Y68" s="87"/>
      <c r="Z68" s="90"/>
    </row>
    <row r="69" spans="1:26">
      <c r="A69" s="90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87"/>
      <c r="R69" s="87"/>
      <c r="S69" s="90"/>
      <c r="T69" s="90"/>
      <c r="U69" s="87"/>
      <c r="V69" s="90"/>
      <c r="W69" s="90"/>
      <c r="X69" s="90"/>
      <c r="Y69" s="87"/>
      <c r="Z69" s="90"/>
    </row>
    <row r="70" spans="1:26">
      <c r="A70" s="90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87"/>
      <c r="R70" s="87"/>
      <c r="S70" s="90"/>
      <c r="T70" s="90"/>
      <c r="U70" s="87"/>
      <c r="V70" s="90"/>
      <c r="W70" s="90"/>
      <c r="X70" s="90"/>
      <c r="Y70" s="87"/>
      <c r="Z70" s="90"/>
    </row>
    <row r="71" spans="1:26">
      <c r="A71" s="90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87"/>
      <c r="R71" s="87"/>
      <c r="S71" s="90"/>
      <c r="T71" s="90"/>
      <c r="U71" s="87"/>
      <c r="V71" s="90"/>
      <c r="W71" s="90"/>
      <c r="X71" s="90"/>
      <c r="Y71" s="87"/>
      <c r="Z71" s="90"/>
    </row>
    <row r="72" spans="1:26">
      <c r="A72" s="90"/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87"/>
      <c r="R72" s="87"/>
      <c r="S72" s="90"/>
      <c r="T72" s="90"/>
      <c r="U72" s="87"/>
      <c r="V72" s="90"/>
      <c r="W72" s="90"/>
      <c r="X72" s="90"/>
      <c r="Y72" s="87"/>
      <c r="Z72" s="90"/>
    </row>
    <row r="73" spans="1:26">
      <c r="A73" s="90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87"/>
      <c r="R73" s="87"/>
      <c r="S73" s="90"/>
      <c r="T73" s="90"/>
      <c r="U73" s="87"/>
      <c r="V73" s="90"/>
      <c r="W73" s="90"/>
      <c r="X73" s="90"/>
      <c r="Y73" s="87"/>
      <c r="Z73" s="90"/>
    </row>
    <row r="74" spans="1:26">
      <c r="A74" s="90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87"/>
      <c r="R74" s="87"/>
      <c r="S74" s="90"/>
      <c r="T74" s="90"/>
      <c r="U74" s="87"/>
      <c r="V74" s="90"/>
      <c r="W74" s="90"/>
      <c r="X74" s="90"/>
      <c r="Y74" s="87"/>
      <c r="Z74" s="90"/>
    </row>
    <row r="75" spans="1:26">
      <c r="A75" s="98"/>
      <c r="B75" s="98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R75" s="87"/>
      <c r="S75" s="90"/>
      <c r="T75" s="90"/>
      <c r="U75" s="87"/>
      <c r="V75" s="90"/>
      <c r="W75" s="90"/>
      <c r="X75" s="90"/>
      <c r="Y75" s="87"/>
      <c r="Z75" s="90"/>
    </row>
    <row r="76" spans="1:26">
      <c r="A76" s="90"/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87"/>
      <c r="R76" s="87"/>
      <c r="S76" s="90"/>
      <c r="T76" s="90"/>
      <c r="U76" s="87"/>
      <c r="V76" s="90"/>
      <c r="W76" s="90"/>
      <c r="X76" s="90"/>
      <c r="Y76" s="87"/>
      <c r="Z76" s="90"/>
    </row>
    <row r="77" spans="1:26">
      <c r="A77" s="90"/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87"/>
      <c r="R77" s="87"/>
      <c r="S77" s="90"/>
      <c r="T77" s="90"/>
      <c r="U77" s="87"/>
      <c r="V77" s="90"/>
      <c r="W77" s="90"/>
      <c r="X77" s="90"/>
      <c r="Y77" s="87"/>
      <c r="Z77" s="90"/>
    </row>
    <row r="78" spans="1:26">
      <c r="A78" s="90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87"/>
      <c r="R78" s="87"/>
      <c r="S78" s="90"/>
      <c r="T78" s="90"/>
      <c r="U78" s="87"/>
      <c r="V78" s="90"/>
      <c r="W78" s="90"/>
      <c r="X78" s="90"/>
      <c r="Y78" s="87"/>
      <c r="Z78" s="90"/>
    </row>
    <row r="79" spans="1:26">
      <c r="R79" s="87"/>
      <c r="S79" s="90"/>
      <c r="T79" s="90"/>
      <c r="U79" s="87"/>
      <c r="V79" s="90"/>
      <c r="W79" s="90"/>
      <c r="X79" s="90"/>
      <c r="Y79" s="87"/>
      <c r="Z79" s="90"/>
    </row>
    <row r="80" spans="1:26">
      <c r="V80" s="90"/>
      <c r="W80" s="90"/>
      <c r="X80" s="90"/>
      <c r="Y80" s="87"/>
      <c r="Z80" s="90"/>
    </row>
  </sheetData>
  <mergeCells count="196">
    <mergeCell ref="O19:Q19"/>
    <mergeCell ref="X6:Y6"/>
    <mergeCell ref="V12:W13"/>
    <mergeCell ref="G14:H14"/>
    <mergeCell ref="I14:K14"/>
    <mergeCell ref="I15:K15"/>
    <mergeCell ref="I16:K16"/>
    <mergeCell ref="I17:K17"/>
    <mergeCell ref="B1:Y1"/>
    <mergeCell ref="B3:Y3"/>
    <mergeCell ref="B4:Y4"/>
    <mergeCell ref="B17:E17"/>
    <mergeCell ref="B6:E6"/>
    <mergeCell ref="X12:Y13"/>
    <mergeCell ref="R11:Y11"/>
    <mergeCell ref="G10:Y10"/>
    <mergeCell ref="G11:H13"/>
    <mergeCell ref="I11:K13"/>
    <mergeCell ref="L11:N13"/>
    <mergeCell ref="O11:Q13"/>
    <mergeCell ref="R12:S13"/>
    <mergeCell ref="T12:U13"/>
    <mergeCell ref="T15:U15"/>
    <mergeCell ref="T16:U16"/>
    <mergeCell ref="G22:H22"/>
    <mergeCell ref="G15:H15"/>
    <mergeCell ref="G16:H16"/>
    <mergeCell ref="G17:H17"/>
    <mergeCell ref="G18:H18"/>
    <mergeCell ref="G19:H19"/>
    <mergeCell ref="G20:H20"/>
    <mergeCell ref="I21:K21"/>
    <mergeCell ref="I22:K22"/>
    <mergeCell ref="G21:H21"/>
    <mergeCell ref="I18:K18"/>
    <mergeCell ref="I19:K19"/>
    <mergeCell ref="I20:K20"/>
    <mergeCell ref="N7:P7"/>
    <mergeCell ref="X15:Y15"/>
    <mergeCell ref="X16:Y16"/>
    <mergeCell ref="X17:Y17"/>
    <mergeCell ref="X18:Y18"/>
    <mergeCell ref="X19:Y19"/>
    <mergeCell ref="X20:Y20"/>
    <mergeCell ref="X21:Y21"/>
    <mergeCell ref="X22:Y22"/>
    <mergeCell ref="O18:Q18"/>
    <mergeCell ref="R19:S19"/>
    <mergeCell ref="R20:S20"/>
    <mergeCell ref="O15:Q15"/>
    <mergeCell ref="O16:Q16"/>
    <mergeCell ref="O17:Q17"/>
    <mergeCell ref="X7:Y7"/>
    <mergeCell ref="O21:Q21"/>
    <mergeCell ref="O22:Q22"/>
    <mergeCell ref="L22:N22"/>
    <mergeCell ref="L20:N20"/>
    <mergeCell ref="L21:N21"/>
    <mergeCell ref="R14:S14"/>
    <mergeCell ref="R15:S15"/>
    <mergeCell ref="R16:S16"/>
    <mergeCell ref="O20:Q20"/>
    <mergeCell ref="W27:X28"/>
    <mergeCell ref="R18:S18"/>
    <mergeCell ref="X23:Y23"/>
    <mergeCell ref="H6:K6"/>
    <mergeCell ref="I23:K23"/>
    <mergeCell ref="L23:N23"/>
    <mergeCell ref="O23:Q23"/>
    <mergeCell ref="R23:S23"/>
    <mergeCell ref="T23:U23"/>
    <mergeCell ref="V23:W23"/>
    <mergeCell ref="G23:H23"/>
    <mergeCell ref="V22:W22"/>
    <mergeCell ref="L14:N14"/>
    <mergeCell ref="L15:N15"/>
    <mergeCell ref="L16:N16"/>
    <mergeCell ref="L17:N17"/>
    <mergeCell ref="L18:N18"/>
    <mergeCell ref="L19:N19"/>
    <mergeCell ref="S6:T6"/>
    <mergeCell ref="S7:T7"/>
    <mergeCell ref="O14:Q14"/>
    <mergeCell ref="H7:K7"/>
    <mergeCell ref="N6:P6"/>
    <mergeCell ref="R21:S21"/>
    <mergeCell ref="R22:S22"/>
    <mergeCell ref="T14:U14"/>
    <mergeCell ref="V27:V28"/>
    <mergeCell ref="T22:U22"/>
    <mergeCell ref="T18:U18"/>
    <mergeCell ref="T19:U19"/>
    <mergeCell ref="T20:U20"/>
    <mergeCell ref="T21:U21"/>
    <mergeCell ref="R17:S17"/>
    <mergeCell ref="T17:U17"/>
    <mergeCell ref="V14:W14"/>
    <mergeCell ref="X14:Y14"/>
    <mergeCell ref="V15:W15"/>
    <mergeCell ref="V16:W16"/>
    <mergeCell ref="V17:W17"/>
    <mergeCell ref="V18:W18"/>
    <mergeCell ref="V19:W19"/>
    <mergeCell ref="V20:W20"/>
    <mergeCell ref="V21:W21"/>
    <mergeCell ref="Y27:Y28"/>
    <mergeCell ref="L29:N29"/>
    <mergeCell ref="O29:P29"/>
    <mergeCell ref="W29:X29"/>
    <mergeCell ref="T27:U28"/>
    <mergeCell ref="L34:N34"/>
    <mergeCell ref="L35:N35"/>
    <mergeCell ref="O30:P30"/>
    <mergeCell ref="O31:P31"/>
    <mergeCell ref="O32:P32"/>
    <mergeCell ref="O33:P33"/>
    <mergeCell ref="O34:P34"/>
    <mergeCell ref="L27:N28"/>
    <mergeCell ref="W31:X31"/>
    <mergeCell ref="W32:X32"/>
    <mergeCell ref="W33:X33"/>
    <mergeCell ref="W34:X34"/>
    <mergeCell ref="W35:X35"/>
    <mergeCell ref="S27:S28"/>
    <mergeCell ref="L30:N30"/>
    <mergeCell ref="L31:N31"/>
    <mergeCell ref="L32:N32"/>
    <mergeCell ref="L33:N33"/>
    <mergeCell ref="W36:X36"/>
    <mergeCell ref="W37:X37"/>
    <mergeCell ref="W38:X38"/>
    <mergeCell ref="L42:N42"/>
    <mergeCell ref="O35:P35"/>
    <mergeCell ref="O36:P36"/>
    <mergeCell ref="O37:P37"/>
    <mergeCell ref="O38:P38"/>
    <mergeCell ref="L36:N36"/>
    <mergeCell ref="L37:N37"/>
    <mergeCell ref="Q40:R40"/>
    <mergeCell ref="O39:P39"/>
    <mergeCell ref="O40:P40"/>
    <mergeCell ref="O41:P41"/>
    <mergeCell ref="L38:N38"/>
    <mergeCell ref="L39:N39"/>
    <mergeCell ref="L40:N40"/>
    <mergeCell ref="L41:N41"/>
    <mergeCell ref="Q38:R38"/>
    <mergeCell ref="Q39:R39"/>
    <mergeCell ref="H27:J27"/>
    <mergeCell ref="H26:J26"/>
    <mergeCell ref="O42:P42"/>
    <mergeCell ref="Q29:R29"/>
    <mergeCell ref="Q30:R30"/>
    <mergeCell ref="Q31:R31"/>
    <mergeCell ref="Q32:R32"/>
    <mergeCell ref="Q33:R33"/>
    <mergeCell ref="Q34:R34"/>
    <mergeCell ref="O27:P28"/>
    <mergeCell ref="Q27:R28"/>
    <mergeCell ref="H31:J31"/>
    <mergeCell ref="H37:J37"/>
    <mergeCell ref="L26:Y26"/>
    <mergeCell ref="T29:U29"/>
    <mergeCell ref="T30:U30"/>
    <mergeCell ref="T31:U31"/>
    <mergeCell ref="T32:U32"/>
    <mergeCell ref="T33:U33"/>
    <mergeCell ref="T34:U34"/>
    <mergeCell ref="T35:U35"/>
    <mergeCell ref="T36:U36"/>
    <mergeCell ref="Q35:R35"/>
    <mergeCell ref="Q36:R36"/>
    <mergeCell ref="U63:Y63"/>
    <mergeCell ref="X55:AB55"/>
    <mergeCell ref="N43:P43"/>
    <mergeCell ref="O45:P46"/>
    <mergeCell ref="H50:J50"/>
    <mergeCell ref="H33:J33"/>
    <mergeCell ref="H39:J39"/>
    <mergeCell ref="H45:J45"/>
    <mergeCell ref="W30:X30"/>
    <mergeCell ref="R42:S42"/>
    <mergeCell ref="Q37:R37"/>
    <mergeCell ref="T37:U37"/>
    <mergeCell ref="T38:U38"/>
    <mergeCell ref="T39:U39"/>
    <mergeCell ref="T40:U40"/>
    <mergeCell ref="T41:U41"/>
    <mergeCell ref="U42:V42"/>
    <mergeCell ref="Q41:R41"/>
    <mergeCell ref="H52:J52"/>
    <mergeCell ref="W39:X39"/>
    <mergeCell ref="W40:X40"/>
    <mergeCell ref="W41:X41"/>
    <mergeCell ref="W42:X42"/>
    <mergeCell ref="H43:J43"/>
  </mergeCells>
  <conditionalFormatting sqref="E8:E15">
    <cfRule type="expression" dxfId="5" priority="10">
      <formula>SEARCH("No actualizado",$C8)&gt;0</formula>
    </cfRule>
    <cfRule type="expression" dxfId="4" priority="11">
      <formula>SEARCH("Actualizado",$C8)&gt;0</formula>
    </cfRule>
    <cfRule type="expression" dxfId="3" priority="12">
      <formula>SEARCH("Pendiente Actualizar",$C8)&gt;0</formula>
    </cfRule>
  </conditionalFormatting>
  <conditionalFormatting sqref="E19:E23">
    <cfRule type="expression" dxfId="2" priority="1">
      <formula>SEARCH("No monitoreado",$D19)&gt;0</formula>
    </cfRule>
    <cfRule type="expression" dxfId="1" priority="2">
      <formula>SEARCH("Monitoreo pendiente",$D19)&gt;0</formula>
    </cfRule>
    <cfRule type="expression" dxfId="0" priority="3">
      <formula>SEARCH("Monitoreado",$D19)&gt;0</formula>
    </cfRule>
  </conditionalFormatting>
  <pageMargins left="1.1811023622047245" right="0" top="0" bottom="0" header="0" footer="0"/>
  <pageSetup paperSize="5" scale="55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E18F1-799D-476D-B08B-4464C9057C2B}">
  <dimension ref="A2:K94"/>
  <sheetViews>
    <sheetView topLeftCell="A13" zoomScale="85" zoomScaleNormal="85" workbookViewId="0">
      <selection activeCell="C15" sqref="C15:E39"/>
    </sheetView>
  </sheetViews>
  <sheetFormatPr baseColWidth="10" defaultRowHeight="15"/>
  <cols>
    <col min="2" max="2" width="14.7109375" customWidth="1"/>
    <col min="3" max="3" width="14.5703125" customWidth="1"/>
  </cols>
  <sheetData>
    <row r="2" spans="1:6">
      <c r="B2" s="650" t="s">
        <v>162</v>
      </c>
      <c r="C2" s="650"/>
      <c r="D2" s="650"/>
      <c r="E2" s="650"/>
      <c r="F2" s="650"/>
    </row>
    <row r="3" spans="1:6">
      <c r="B3" s="651" t="s">
        <v>163</v>
      </c>
      <c r="C3" s="651"/>
      <c r="D3" s="651"/>
      <c r="E3" s="651"/>
      <c r="F3" s="651"/>
    </row>
    <row r="4" spans="1:6">
      <c r="B4" s="81" t="s">
        <v>164</v>
      </c>
      <c r="C4" s="81" t="s">
        <v>165</v>
      </c>
      <c r="D4" s="81" t="s">
        <v>166</v>
      </c>
      <c r="E4" s="81" t="s">
        <v>167</v>
      </c>
      <c r="F4" s="81" t="s">
        <v>168</v>
      </c>
    </row>
    <row r="5" spans="1:6">
      <c r="A5" s="181"/>
      <c r="B5" s="81">
        <v>1</v>
      </c>
      <c r="C5" s="81">
        <v>2</v>
      </c>
      <c r="D5" s="81">
        <v>3</v>
      </c>
      <c r="E5" s="81">
        <v>4</v>
      </c>
      <c r="F5" s="81">
        <v>5</v>
      </c>
    </row>
    <row r="6" spans="1:6">
      <c r="A6" s="81">
        <v>5</v>
      </c>
      <c r="B6" s="188">
        <v>0</v>
      </c>
      <c r="C6" s="188">
        <v>0</v>
      </c>
      <c r="D6" s="189">
        <v>2</v>
      </c>
      <c r="E6" s="189">
        <v>0</v>
      </c>
      <c r="F6" s="189">
        <v>0</v>
      </c>
    </row>
    <row r="7" spans="1:6">
      <c r="A7" s="81">
        <v>4</v>
      </c>
      <c r="B7" s="190">
        <v>2</v>
      </c>
      <c r="C7" s="188">
        <v>12</v>
      </c>
      <c r="D7" s="188">
        <v>22</v>
      </c>
      <c r="E7" s="189">
        <v>19</v>
      </c>
      <c r="F7" s="189">
        <v>0</v>
      </c>
    </row>
    <row r="8" spans="1:6">
      <c r="A8" s="81">
        <v>3</v>
      </c>
      <c r="B8" s="191">
        <v>3</v>
      </c>
      <c r="C8" s="190">
        <v>32</v>
      </c>
      <c r="D8" s="188">
        <v>86</v>
      </c>
      <c r="E8" s="189">
        <v>48</v>
      </c>
      <c r="F8" s="189">
        <v>2</v>
      </c>
    </row>
    <row r="9" spans="1:6">
      <c r="A9" s="81">
        <v>2</v>
      </c>
      <c r="B9" s="191">
        <v>12</v>
      </c>
      <c r="C9" s="191">
        <v>58</v>
      </c>
      <c r="D9" s="190">
        <v>70</v>
      </c>
      <c r="E9" s="188">
        <v>31</v>
      </c>
      <c r="F9" s="189">
        <v>11</v>
      </c>
    </row>
    <row r="10" spans="1:6">
      <c r="A10" s="81">
        <v>1</v>
      </c>
      <c r="B10" s="191">
        <v>35</v>
      </c>
      <c r="C10" s="191">
        <v>19</v>
      </c>
      <c r="D10" s="190">
        <v>25</v>
      </c>
      <c r="E10" s="188">
        <v>21</v>
      </c>
      <c r="F10" s="188">
        <v>16</v>
      </c>
    </row>
    <row r="14" spans="1:6" ht="15.75">
      <c r="C14" s="256" t="s">
        <v>169</v>
      </c>
      <c r="D14" s="256" t="s">
        <v>163</v>
      </c>
      <c r="E14" s="257" t="s">
        <v>145</v>
      </c>
    </row>
    <row r="15" spans="1:6">
      <c r="C15" s="81">
        <v>1</v>
      </c>
      <c r="D15" s="81">
        <v>1</v>
      </c>
      <c r="E15" s="2">
        <v>29</v>
      </c>
    </row>
    <row r="16" spans="1:6">
      <c r="C16" s="81">
        <v>2</v>
      </c>
      <c r="D16" s="81">
        <v>1</v>
      </c>
      <c r="E16" s="2">
        <v>11</v>
      </c>
    </row>
    <row r="17" spans="3:8">
      <c r="C17" s="81">
        <v>3</v>
      </c>
      <c r="D17" s="81">
        <v>1</v>
      </c>
      <c r="E17" s="2">
        <v>3</v>
      </c>
    </row>
    <row r="18" spans="3:8">
      <c r="C18" s="81">
        <v>4</v>
      </c>
      <c r="D18" s="81">
        <v>1</v>
      </c>
      <c r="E18" s="2">
        <v>1</v>
      </c>
    </row>
    <row r="19" spans="3:8">
      <c r="C19" s="81">
        <v>5</v>
      </c>
      <c r="D19" s="81">
        <v>1</v>
      </c>
      <c r="E19" s="2">
        <v>0</v>
      </c>
    </row>
    <row r="20" spans="3:8">
      <c r="C20" s="81">
        <v>1</v>
      </c>
      <c r="D20" s="81">
        <v>2</v>
      </c>
      <c r="E20" s="2">
        <v>22</v>
      </c>
    </row>
    <row r="21" spans="3:8">
      <c r="C21" s="81">
        <v>2</v>
      </c>
      <c r="D21" s="81">
        <v>2</v>
      </c>
      <c r="E21" s="2">
        <v>55</v>
      </c>
    </row>
    <row r="22" spans="3:8">
      <c r="C22" s="81">
        <v>3</v>
      </c>
      <c r="D22" s="81">
        <v>2</v>
      </c>
      <c r="E22" s="2">
        <v>33</v>
      </c>
    </row>
    <row r="23" spans="3:8">
      <c r="C23" s="81">
        <v>4</v>
      </c>
      <c r="D23" s="81">
        <v>2</v>
      </c>
      <c r="E23" s="2">
        <v>14</v>
      </c>
    </row>
    <row r="24" spans="3:8">
      <c r="C24" s="81">
        <v>5</v>
      </c>
      <c r="D24" s="81">
        <v>2</v>
      </c>
      <c r="E24" s="2">
        <v>0</v>
      </c>
    </row>
    <row r="25" spans="3:8">
      <c r="C25" s="81">
        <v>1</v>
      </c>
      <c r="D25" s="81">
        <v>3</v>
      </c>
      <c r="E25" s="2">
        <v>25</v>
      </c>
    </row>
    <row r="26" spans="3:8">
      <c r="C26" s="81">
        <v>2</v>
      </c>
      <c r="D26" s="81">
        <v>3</v>
      </c>
      <c r="E26" s="2">
        <v>72</v>
      </c>
      <c r="G26" s="648" t="s">
        <v>169</v>
      </c>
      <c r="H26" s="649">
        <v>5</v>
      </c>
    </row>
    <row r="27" spans="3:8">
      <c r="C27" s="81">
        <v>3</v>
      </c>
      <c r="D27" s="81">
        <v>3</v>
      </c>
      <c r="E27" s="2">
        <v>96</v>
      </c>
      <c r="G27" s="648"/>
      <c r="H27" s="649"/>
    </row>
    <row r="28" spans="3:8">
      <c r="C28" s="81">
        <v>4</v>
      </c>
      <c r="D28" s="81">
        <v>3</v>
      </c>
      <c r="E28" s="2">
        <v>21</v>
      </c>
      <c r="G28" s="648"/>
      <c r="H28" s="649"/>
    </row>
    <row r="29" spans="3:8">
      <c r="C29" s="81">
        <v>5</v>
      </c>
      <c r="D29" s="81">
        <v>3</v>
      </c>
      <c r="E29" s="2">
        <v>2</v>
      </c>
      <c r="G29" s="648"/>
      <c r="H29" s="649"/>
    </row>
    <row r="30" spans="3:8">
      <c r="C30" s="81">
        <v>1</v>
      </c>
      <c r="D30" s="81">
        <v>4</v>
      </c>
      <c r="E30" s="2">
        <v>22</v>
      </c>
      <c r="G30" s="648"/>
      <c r="H30" s="649"/>
    </row>
    <row r="31" spans="3:8">
      <c r="C31" s="81">
        <v>2</v>
      </c>
      <c r="D31" s="81">
        <v>4</v>
      </c>
      <c r="E31" s="2">
        <v>31</v>
      </c>
      <c r="G31" s="648"/>
      <c r="H31" s="649">
        <v>4</v>
      </c>
    </row>
    <row r="32" spans="3:8">
      <c r="C32" s="81">
        <v>3</v>
      </c>
      <c r="D32" s="81">
        <v>4</v>
      </c>
      <c r="E32" s="2">
        <v>45</v>
      </c>
      <c r="G32" s="648"/>
      <c r="H32" s="649"/>
    </row>
    <row r="33" spans="3:8">
      <c r="C33" s="81">
        <v>4</v>
      </c>
      <c r="D33" s="81">
        <v>4</v>
      </c>
      <c r="E33" s="2">
        <v>18</v>
      </c>
      <c r="G33" s="648"/>
      <c r="H33" s="649"/>
    </row>
    <row r="34" spans="3:8">
      <c r="C34" s="81">
        <v>5</v>
      </c>
      <c r="D34" s="81">
        <v>4</v>
      </c>
      <c r="E34" s="2">
        <v>0</v>
      </c>
      <c r="G34" s="648"/>
      <c r="H34" s="649"/>
    </row>
    <row r="35" spans="3:8">
      <c r="C35" s="81">
        <v>1</v>
      </c>
      <c r="D35" s="81">
        <v>5</v>
      </c>
      <c r="E35" s="2">
        <v>14</v>
      </c>
      <c r="G35" s="648"/>
      <c r="H35" s="649"/>
    </row>
    <row r="36" spans="3:8">
      <c r="C36" s="81">
        <v>2</v>
      </c>
      <c r="D36" s="81">
        <v>5</v>
      </c>
      <c r="E36" s="2">
        <v>10</v>
      </c>
      <c r="G36" s="648"/>
      <c r="H36" s="649">
        <v>3</v>
      </c>
    </row>
    <row r="37" spans="3:8">
      <c r="C37" s="81">
        <v>3</v>
      </c>
      <c r="D37" s="81">
        <v>5</v>
      </c>
      <c r="E37" s="2">
        <v>2</v>
      </c>
      <c r="G37" s="648"/>
      <c r="H37" s="649"/>
    </row>
    <row r="38" spans="3:8">
      <c r="C38" s="81">
        <v>4</v>
      </c>
      <c r="D38" s="81">
        <v>5</v>
      </c>
      <c r="E38" s="2">
        <v>0</v>
      </c>
      <c r="G38" s="648"/>
      <c r="H38" s="649"/>
    </row>
    <row r="39" spans="3:8">
      <c r="C39" s="81">
        <v>5</v>
      </c>
      <c r="D39" s="81">
        <v>5</v>
      </c>
      <c r="E39" s="2">
        <v>0</v>
      </c>
      <c r="G39" s="648"/>
      <c r="H39" s="649"/>
    </row>
    <row r="40" spans="3:8">
      <c r="G40" s="648"/>
      <c r="H40" s="649"/>
    </row>
    <row r="41" spans="3:8">
      <c r="G41" s="648"/>
      <c r="H41" s="649">
        <v>2</v>
      </c>
    </row>
    <row r="42" spans="3:8">
      <c r="G42" s="648"/>
      <c r="H42" s="649"/>
    </row>
    <row r="43" spans="3:8">
      <c r="G43" s="648"/>
      <c r="H43" s="649"/>
    </row>
    <row r="44" spans="3:8">
      <c r="G44" s="648"/>
      <c r="H44" s="649"/>
    </row>
    <row r="45" spans="3:8">
      <c r="G45" s="648"/>
      <c r="H45" s="649"/>
    </row>
    <row r="46" spans="3:8">
      <c r="G46" s="648"/>
      <c r="H46" s="649">
        <v>1</v>
      </c>
    </row>
    <row r="47" spans="3:8">
      <c r="G47" s="648"/>
      <c r="H47" s="649"/>
    </row>
    <row r="48" spans="3:8">
      <c r="G48" s="648"/>
      <c r="H48" s="649"/>
    </row>
    <row r="49" spans="7:10">
      <c r="G49" s="648"/>
      <c r="H49" s="649"/>
    </row>
    <row r="50" spans="7:10">
      <c r="G50" s="648"/>
      <c r="H50" s="649"/>
    </row>
    <row r="55" spans="7:10">
      <c r="H55" s="192"/>
      <c r="I55" s="649"/>
      <c r="J55" s="648"/>
    </row>
    <row r="56" spans="7:10">
      <c r="H56" s="192"/>
      <c r="I56" s="649"/>
      <c r="J56" s="648"/>
    </row>
    <row r="57" spans="7:10">
      <c r="H57" s="192"/>
      <c r="I57" s="649"/>
      <c r="J57" s="648"/>
    </row>
    <row r="58" spans="7:10">
      <c r="H58" s="192"/>
      <c r="I58" s="649"/>
      <c r="J58" s="648"/>
    </row>
    <row r="59" spans="7:10">
      <c r="H59" s="192"/>
      <c r="I59" s="649"/>
      <c r="J59" s="648"/>
    </row>
    <row r="60" spans="7:10">
      <c r="H60" s="192"/>
      <c r="I60" s="649"/>
      <c r="J60" s="648"/>
    </row>
    <row r="61" spans="7:10">
      <c r="H61" s="192"/>
      <c r="I61" s="649"/>
      <c r="J61" s="648"/>
    </row>
    <row r="62" spans="7:10">
      <c r="H62" s="192"/>
      <c r="I62" s="649"/>
      <c r="J62" s="648"/>
    </row>
    <row r="63" spans="7:10">
      <c r="H63" s="192"/>
      <c r="I63" s="649"/>
      <c r="J63" s="648"/>
    </row>
    <row r="64" spans="7:10">
      <c r="H64" s="192"/>
      <c r="I64" s="649"/>
      <c r="J64" s="648"/>
    </row>
    <row r="65" spans="8:11">
      <c r="H65" s="192"/>
      <c r="I65" s="649"/>
      <c r="J65" s="648"/>
    </row>
    <row r="66" spans="8:11">
      <c r="H66" s="192"/>
      <c r="I66" s="649"/>
      <c r="J66" s="648"/>
    </row>
    <row r="67" spans="8:11">
      <c r="H67" s="192"/>
      <c r="I67" s="649"/>
      <c r="J67" s="648"/>
    </row>
    <row r="68" spans="8:11">
      <c r="H68" s="192"/>
      <c r="I68" s="649"/>
      <c r="J68" s="648"/>
    </row>
    <row r="69" spans="8:11">
      <c r="H69" s="192"/>
      <c r="I69" s="649"/>
      <c r="J69" s="648"/>
    </row>
    <row r="70" spans="8:11">
      <c r="H70" s="192"/>
      <c r="I70" s="649"/>
      <c r="J70" s="648"/>
      <c r="K70" s="648" t="s">
        <v>170</v>
      </c>
    </row>
    <row r="71" spans="8:11">
      <c r="H71" s="192"/>
      <c r="I71" s="649"/>
      <c r="J71" s="648"/>
      <c r="K71" s="648"/>
    </row>
    <row r="72" spans="8:11">
      <c r="H72" s="192"/>
      <c r="I72" s="649"/>
      <c r="J72" s="648"/>
      <c r="K72" s="648"/>
    </row>
    <row r="73" spans="8:11">
      <c r="H73" s="192"/>
      <c r="I73" s="649"/>
      <c r="J73" s="648"/>
      <c r="K73" s="648"/>
    </row>
    <row r="74" spans="8:11">
      <c r="H74" s="192"/>
      <c r="I74" s="649"/>
      <c r="J74" s="648"/>
      <c r="K74" s="648"/>
    </row>
    <row r="75" spans="8:11">
      <c r="H75" s="192"/>
      <c r="I75" s="649"/>
      <c r="J75" s="648"/>
      <c r="K75" s="648"/>
    </row>
    <row r="76" spans="8:11">
      <c r="H76" s="192"/>
      <c r="I76" s="649"/>
      <c r="J76" s="648"/>
      <c r="K76" s="648"/>
    </row>
    <row r="77" spans="8:11">
      <c r="H77" s="192"/>
      <c r="I77" s="649"/>
      <c r="J77" s="648"/>
      <c r="K77" s="648"/>
    </row>
    <row r="78" spans="8:11">
      <c r="H78" s="192"/>
      <c r="I78" s="649"/>
      <c r="J78" s="648"/>
      <c r="K78" s="648"/>
    </row>
    <row r="79" spans="8:11">
      <c r="H79" s="192"/>
      <c r="I79" s="649"/>
      <c r="J79" s="648"/>
      <c r="K79" s="648"/>
    </row>
    <row r="80" spans="8:11">
      <c r="K80" s="648"/>
    </row>
    <row r="81" spans="11:11">
      <c r="K81" s="648"/>
    </row>
    <row r="82" spans="11:11">
      <c r="K82" s="648"/>
    </row>
    <row r="83" spans="11:11">
      <c r="K83" s="648"/>
    </row>
    <row r="84" spans="11:11">
      <c r="K84" s="648"/>
    </row>
    <row r="85" spans="11:11">
      <c r="K85" s="648"/>
    </row>
    <row r="86" spans="11:11">
      <c r="K86" s="648"/>
    </row>
    <row r="87" spans="11:11">
      <c r="K87" s="648"/>
    </row>
    <row r="88" spans="11:11">
      <c r="K88" s="648"/>
    </row>
    <row r="89" spans="11:11">
      <c r="K89" s="648"/>
    </row>
    <row r="90" spans="11:11">
      <c r="K90" s="648"/>
    </row>
    <row r="91" spans="11:11">
      <c r="K91" s="648"/>
    </row>
    <row r="92" spans="11:11">
      <c r="K92" s="648"/>
    </row>
    <row r="93" spans="11:11">
      <c r="K93" s="648"/>
    </row>
    <row r="94" spans="11:11">
      <c r="K94" s="648"/>
    </row>
  </sheetData>
  <mergeCells count="15">
    <mergeCell ref="K70:K94"/>
    <mergeCell ref="I75:I79"/>
    <mergeCell ref="B2:F2"/>
    <mergeCell ref="B3:F3"/>
    <mergeCell ref="G26:G50"/>
    <mergeCell ref="H26:H30"/>
    <mergeCell ref="H31:H35"/>
    <mergeCell ref="H36:H40"/>
    <mergeCell ref="H41:H45"/>
    <mergeCell ref="H46:H50"/>
    <mergeCell ref="I55:I59"/>
    <mergeCell ref="J55:J79"/>
    <mergeCell ref="I60:I64"/>
    <mergeCell ref="I65:I69"/>
    <mergeCell ref="I70:I7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F885C-585F-44F5-99E6-29EE0EF3D457}">
  <dimension ref="A1:U46"/>
  <sheetViews>
    <sheetView topLeftCell="A6" zoomScale="55" zoomScaleNormal="55" workbookViewId="0">
      <selection activeCell="T5" sqref="T5"/>
    </sheetView>
  </sheetViews>
  <sheetFormatPr baseColWidth="10" defaultRowHeight="15"/>
  <cols>
    <col min="1" max="1" width="3.140625" customWidth="1"/>
    <col min="2" max="2" width="50.140625" customWidth="1"/>
    <col min="3" max="3" width="33.7109375" customWidth="1"/>
    <col min="4" max="4" width="39.5703125" customWidth="1"/>
    <col min="5" max="5" width="21.7109375" customWidth="1"/>
    <col min="6" max="6" width="20.42578125" customWidth="1"/>
    <col min="7" max="7" width="6.42578125" customWidth="1"/>
    <col min="8" max="8" width="39.85546875" customWidth="1"/>
    <col min="9" max="9" width="0.5703125" customWidth="1"/>
    <col min="10" max="10" width="4.28515625" customWidth="1"/>
    <col min="11" max="11" width="31" customWidth="1"/>
    <col min="12" max="12" width="4.140625" customWidth="1"/>
    <col min="13" max="13" width="8.28515625" customWidth="1"/>
    <col min="14" max="14" width="32.28515625" customWidth="1"/>
    <col min="15" max="15" width="5.28515625" customWidth="1"/>
    <col min="16" max="16" width="15.42578125" customWidth="1"/>
    <col min="17" max="17" width="4.28515625" customWidth="1"/>
    <col min="18" max="18" width="4.42578125" customWidth="1"/>
    <col min="19" max="19" width="2.42578125" customWidth="1"/>
  </cols>
  <sheetData>
    <row r="1" spans="1:21" ht="21">
      <c r="A1" s="90"/>
      <c r="B1" s="691" t="s">
        <v>176</v>
      </c>
      <c r="C1" s="692"/>
      <c r="D1" s="692"/>
      <c r="E1" s="692"/>
      <c r="F1" s="692"/>
      <c r="G1" s="692"/>
      <c r="H1" s="692"/>
      <c r="I1" s="692"/>
      <c r="J1" s="692"/>
      <c r="K1" s="692"/>
      <c r="L1" s="692"/>
      <c r="M1" s="692"/>
      <c r="N1" s="692"/>
      <c r="O1" s="692"/>
      <c r="P1" s="693"/>
      <c r="Q1" s="90"/>
      <c r="R1" s="90"/>
      <c r="S1" s="90"/>
      <c r="T1" s="90"/>
      <c r="U1" s="90"/>
    </row>
    <row r="2" spans="1:21" ht="18.75" customHeight="1">
      <c r="A2" s="90"/>
      <c r="B2" s="687" t="s">
        <v>177</v>
      </c>
      <c r="C2" s="688"/>
      <c r="D2" s="688"/>
      <c r="E2" s="688"/>
      <c r="F2" s="688"/>
      <c r="G2" s="689" t="s">
        <v>221</v>
      </c>
      <c r="H2" s="689"/>
      <c r="I2" s="689"/>
      <c r="J2" s="689"/>
      <c r="K2" s="689"/>
      <c r="L2" s="689"/>
      <c r="M2" s="689"/>
      <c r="N2" s="689"/>
      <c r="O2" s="689"/>
      <c r="P2" s="690"/>
      <c r="Q2" s="90"/>
      <c r="R2" s="90"/>
      <c r="S2" s="90"/>
      <c r="T2" s="90"/>
      <c r="U2" s="90"/>
    </row>
    <row r="3" spans="1:21" ht="6" customHeight="1">
      <c r="A3" s="90"/>
      <c r="B3" s="237"/>
      <c r="C3" s="241"/>
      <c r="D3" s="240"/>
      <c r="E3" s="241"/>
      <c r="F3" s="240"/>
      <c r="G3" s="240"/>
      <c r="H3" s="240"/>
      <c r="I3" s="241"/>
      <c r="J3" s="242"/>
      <c r="K3" s="239"/>
      <c r="L3" s="237"/>
      <c r="M3" s="237"/>
      <c r="N3" s="237"/>
      <c r="O3" s="237"/>
      <c r="P3" s="238"/>
      <c r="Q3" s="90"/>
      <c r="R3" s="90"/>
      <c r="S3" s="90"/>
      <c r="T3" s="90"/>
      <c r="U3" s="90"/>
    </row>
    <row r="4" spans="1:21" ht="27.75" customHeight="1">
      <c r="A4" s="90"/>
      <c r="B4" s="111"/>
      <c r="C4" s="98"/>
      <c r="D4" s="98"/>
      <c r="E4" s="91"/>
      <c r="F4" s="91"/>
      <c r="G4" s="91"/>
      <c r="H4" s="88"/>
      <c r="I4" s="96"/>
      <c r="J4" s="243"/>
      <c r="K4" s="680" t="s">
        <v>217</v>
      </c>
      <c r="L4" s="680"/>
      <c r="M4" s="680"/>
      <c r="N4" s="680"/>
      <c r="O4" s="680"/>
      <c r="P4" s="680"/>
      <c r="Q4" s="90"/>
      <c r="R4" s="90"/>
      <c r="S4" s="90"/>
      <c r="T4" s="90"/>
      <c r="U4" s="90"/>
    </row>
    <row r="5" spans="1:21" ht="36" customHeight="1" thickBot="1">
      <c r="A5" s="90"/>
      <c r="B5" s="111"/>
      <c r="H5" s="87"/>
      <c r="I5" s="90"/>
      <c r="J5" s="244"/>
      <c r="K5" s="698" t="s">
        <v>179</v>
      </c>
      <c r="L5" s="698"/>
      <c r="M5" s="698" t="s">
        <v>182</v>
      </c>
      <c r="N5" s="698"/>
      <c r="O5" s="698" t="s">
        <v>183</v>
      </c>
      <c r="P5" s="698"/>
      <c r="Q5" s="88"/>
      <c r="R5" s="90"/>
      <c r="S5" s="90"/>
      <c r="T5" s="90"/>
      <c r="U5" s="90"/>
    </row>
    <row r="6" spans="1:21" ht="58.5" customHeight="1">
      <c r="A6" s="90"/>
      <c r="B6" s="87"/>
      <c r="H6" s="87"/>
      <c r="I6" s="90"/>
      <c r="J6" s="87"/>
      <c r="K6" s="676" t="s">
        <v>194</v>
      </c>
      <c r="L6" s="677"/>
      <c r="M6" s="697" t="s">
        <v>392</v>
      </c>
      <c r="N6" s="677"/>
      <c r="O6" s="697" t="s">
        <v>156</v>
      </c>
      <c r="P6" s="699"/>
      <c r="Q6" s="88"/>
      <c r="R6" s="90"/>
      <c r="S6" s="90"/>
      <c r="T6" s="90"/>
      <c r="U6" s="90"/>
    </row>
    <row r="7" spans="1:21" ht="50.25" customHeight="1">
      <c r="A7" s="90"/>
      <c r="C7" s="90"/>
      <c r="D7" s="90"/>
      <c r="E7" s="678"/>
      <c r="F7" s="679"/>
      <c r="G7" s="679"/>
      <c r="H7" s="679"/>
      <c r="I7" s="90"/>
      <c r="J7" s="111"/>
      <c r="K7" s="672" t="s">
        <v>194</v>
      </c>
      <c r="L7" s="669"/>
      <c r="M7" s="668" t="s">
        <v>393</v>
      </c>
      <c r="N7" s="669"/>
      <c r="O7" s="668" t="s">
        <v>156</v>
      </c>
      <c r="P7" s="675"/>
      <c r="Q7" s="88"/>
      <c r="R7" s="90"/>
      <c r="S7" s="90"/>
      <c r="T7" s="90"/>
      <c r="U7" s="90"/>
    </row>
    <row r="8" spans="1:21" ht="50.25" customHeight="1">
      <c r="A8" s="87"/>
      <c r="B8" s="90"/>
      <c r="C8" s="90"/>
      <c r="D8" s="90"/>
      <c r="I8" s="90"/>
      <c r="J8" s="87"/>
      <c r="K8" s="672" t="s">
        <v>193</v>
      </c>
      <c r="L8" s="669"/>
      <c r="M8" s="668" t="s">
        <v>394</v>
      </c>
      <c r="N8" s="669"/>
      <c r="O8" s="668" t="s">
        <v>156</v>
      </c>
      <c r="P8" s="675"/>
      <c r="Q8" s="88"/>
      <c r="R8" s="90"/>
      <c r="S8" s="90"/>
      <c r="T8" s="90"/>
      <c r="U8" s="90"/>
    </row>
    <row r="9" spans="1:21" ht="55.5" customHeight="1">
      <c r="A9" s="87"/>
      <c r="B9" s="90"/>
      <c r="C9" s="90"/>
      <c r="D9" s="90"/>
      <c r="I9" s="90"/>
      <c r="J9" s="111"/>
      <c r="K9" s="672" t="s">
        <v>193</v>
      </c>
      <c r="L9" s="669"/>
      <c r="M9" s="668" t="s">
        <v>395</v>
      </c>
      <c r="N9" s="669"/>
      <c r="O9" s="668" t="s">
        <v>156</v>
      </c>
      <c r="P9" s="675"/>
      <c r="Q9" s="88"/>
      <c r="R9" s="90"/>
      <c r="S9" s="90"/>
      <c r="T9" s="90"/>
      <c r="U9" s="90"/>
    </row>
    <row r="10" spans="1:21" ht="88.5" customHeight="1" thickBot="1">
      <c r="A10" s="87"/>
      <c r="B10" s="90"/>
      <c r="C10" s="90"/>
      <c r="D10" s="90"/>
      <c r="I10" s="90"/>
      <c r="J10" s="87"/>
      <c r="K10" s="672" t="s">
        <v>193</v>
      </c>
      <c r="L10" s="669"/>
      <c r="M10" s="668" t="s">
        <v>396</v>
      </c>
      <c r="N10" s="669"/>
      <c r="O10" s="668" t="s">
        <v>156</v>
      </c>
      <c r="P10" s="675"/>
      <c r="Q10" s="88"/>
      <c r="R10" s="90"/>
      <c r="S10" s="90"/>
      <c r="T10" s="90"/>
      <c r="U10" s="90"/>
    </row>
    <row r="11" spans="1:21" ht="44.25" customHeight="1">
      <c r="A11" s="87"/>
      <c r="B11" s="90"/>
      <c r="C11" s="90"/>
      <c r="D11" s="87"/>
      <c r="E11" s="694" t="s">
        <v>181</v>
      </c>
      <c r="F11" s="695"/>
      <c r="G11" s="695"/>
      <c r="H11" s="696"/>
      <c r="I11" s="88"/>
      <c r="J11" s="111"/>
      <c r="K11" s="672" t="s">
        <v>390</v>
      </c>
      <c r="L11" s="669"/>
      <c r="M11" s="668" t="s">
        <v>397</v>
      </c>
      <c r="N11" s="669"/>
      <c r="O11" s="668" t="s">
        <v>156</v>
      </c>
      <c r="P11" s="675"/>
      <c r="Q11" s="88"/>
      <c r="R11" s="90"/>
      <c r="S11" s="90"/>
      <c r="T11" s="90"/>
      <c r="U11" s="90"/>
    </row>
    <row r="12" spans="1:21" ht="47.25" customHeight="1" thickBot="1">
      <c r="A12" s="87"/>
      <c r="B12" s="90"/>
      <c r="C12" s="90"/>
      <c r="D12" s="87"/>
      <c r="E12" s="681" t="s">
        <v>179</v>
      </c>
      <c r="F12" s="682"/>
      <c r="G12" s="683"/>
      <c r="H12" s="438" t="s">
        <v>180</v>
      </c>
      <c r="I12" s="88"/>
      <c r="J12" s="111"/>
      <c r="K12" s="672" t="s">
        <v>390</v>
      </c>
      <c r="L12" s="669"/>
      <c r="M12" s="668" t="s">
        <v>398</v>
      </c>
      <c r="N12" s="669"/>
      <c r="O12" s="668" t="s">
        <v>405</v>
      </c>
      <c r="P12" s="675"/>
      <c r="Q12" s="88"/>
      <c r="R12" s="90"/>
      <c r="S12" s="90"/>
      <c r="T12" s="90"/>
      <c r="U12" s="90"/>
    </row>
    <row r="13" spans="1:21" ht="42" customHeight="1">
      <c r="A13" s="87"/>
      <c r="B13" s="90"/>
      <c r="C13" s="90"/>
      <c r="D13" s="87"/>
      <c r="E13" s="684" t="s">
        <v>196</v>
      </c>
      <c r="F13" s="685"/>
      <c r="G13" s="686"/>
      <c r="H13" s="303">
        <v>2</v>
      </c>
      <c r="I13" s="88"/>
      <c r="J13" s="87"/>
      <c r="K13" s="672" t="s">
        <v>391</v>
      </c>
      <c r="L13" s="669"/>
      <c r="M13" s="668" t="s">
        <v>399</v>
      </c>
      <c r="N13" s="669"/>
      <c r="O13" s="668" t="s">
        <v>156</v>
      </c>
      <c r="P13" s="675"/>
      <c r="Q13" s="88"/>
      <c r="R13" s="90"/>
      <c r="S13" s="90"/>
      <c r="T13" s="90"/>
      <c r="U13" s="90"/>
    </row>
    <row r="14" spans="1:21" ht="60.75" customHeight="1">
      <c r="A14" s="87"/>
      <c r="B14" s="90"/>
      <c r="C14" s="90"/>
      <c r="D14" s="87"/>
      <c r="E14" s="658" t="s">
        <v>194</v>
      </c>
      <c r="F14" s="659"/>
      <c r="G14" s="660"/>
      <c r="H14" s="304">
        <v>26</v>
      </c>
      <c r="I14" s="88"/>
      <c r="J14" s="95"/>
      <c r="K14" s="672" t="s">
        <v>391</v>
      </c>
      <c r="L14" s="669"/>
      <c r="M14" s="668" t="s">
        <v>400</v>
      </c>
      <c r="N14" s="669"/>
      <c r="O14" s="668" t="s">
        <v>156</v>
      </c>
      <c r="P14" s="675"/>
      <c r="Q14" s="88"/>
      <c r="R14" s="90"/>
      <c r="S14" s="90"/>
      <c r="T14" s="90"/>
      <c r="U14" s="90"/>
    </row>
    <row r="15" spans="1:21" ht="42" customHeight="1">
      <c r="A15" s="87"/>
      <c r="B15" s="90"/>
      <c r="C15" s="90"/>
      <c r="D15" s="87"/>
      <c r="E15" s="658" t="s">
        <v>195</v>
      </c>
      <c r="F15" s="659"/>
      <c r="G15" s="660"/>
      <c r="H15" s="304">
        <v>5</v>
      </c>
      <c r="I15" s="88"/>
      <c r="J15" s="87"/>
      <c r="K15" s="672" t="s">
        <v>193</v>
      </c>
      <c r="L15" s="669"/>
      <c r="M15" s="668" t="s">
        <v>401</v>
      </c>
      <c r="N15" s="669"/>
      <c r="O15" s="668" t="s">
        <v>156</v>
      </c>
      <c r="P15" s="675"/>
      <c r="Q15" s="88"/>
      <c r="R15" s="90"/>
      <c r="S15" s="90"/>
      <c r="T15" s="90"/>
      <c r="U15" s="90"/>
    </row>
    <row r="16" spans="1:21" ht="45.75" customHeight="1">
      <c r="A16" s="87"/>
      <c r="B16" s="90"/>
      <c r="C16" s="90"/>
      <c r="D16" s="87"/>
      <c r="E16" s="658" t="s">
        <v>197</v>
      </c>
      <c r="F16" s="659"/>
      <c r="G16" s="660"/>
      <c r="H16" s="304">
        <v>29</v>
      </c>
      <c r="I16" s="88"/>
      <c r="J16" s="111"/>
      <c r="K16" s="672" t="s">
        <v>193</v>
      </c>
      <c r="L16" s="669"/>
      <c r="M16" s="668" t="s">
        <v>402</v>
      </c>
      <c r="N16" s="669"/>
      <c r="O16" s="668" t="s">
        <v>156</v>
      </c>
      <c r="P16" s="675"/>
      <c r="Q16" s="88"/>
      <c r="R16" s="90"/>
      <c r="S16" s="90"/>
      <c r="T16" s="90"/>
      <c r="U16" s="90"/>
    </row>
    <row r="17" spans="1:21" ht="66" customHeight="1">
      <c r="A17" s="87"/>
      <c r="D17" s="106"/>
      <c r="E17" s="658" t="s">
        <v>198</v>
      </c>
      <c r="F17" s="659"/>
      <c r="G17" s="660"/>
      <c r="H17" s="304">
        <v>6</v>
      </c>
      <c r="I17" s="88"/>
      <c r="J17" s="111"/>
      <c r="K17" s="672" t="s">
        <v>195</v>
      </c>
      <c r="L17" s="669"/>
      <c r="M17" s="668" t="s">
        <v>403</v>
      </c>
      <c r="N17" s="669"/>
      <c r="O17" s="668" t="s">
        <v>405</v>
      </c>
      <c r="P17" s="675"/>
      <c r="Q17" s="88"/>
      <c r="R17" s="90"/>
      <c r="S17" s="90"/>
      <c r="T17" s="90"/>
      <c r="U17" s="90"/>
    </row>
    <row r="18" spans="1:21" ht="44.25" customHeight="1" thickBot="1">
      <c r="A18" s="87"/>
      <c r="C18" s="115"/>
      <c r="D18" s="87"/>
      <c r="E18" s="661" t="s">
        <v>199</v>
      </c>
      <c r="F18" s="662"/>
      <c r="G18" s="663"/>
      <c r="H18" s="305">
        <v>25</v>
      </c>
      <c r="I18" s="88"/>
      <c r="J18" s="87"/>
      <c r="K18" s="673" t="s">
        <v>195</v>
      </c>
      <c r="L18" s="671"/>
      <c r="M18" s="670" t="s">
        <v>404</v>
      </c>
      <c r="N18" s="671"/>
      <c r="O18" s="670" t="s">
        <v>405</v>
      </c>
      <c r="P18" s="674"/>
      <c r="Q18" s="88"/>
      <c r="R18" s="90"/>
      <c r="S18" s="87"/>
      <c r="T18" s="90"/>
      <c r="U18" s="90"/>
    </row>
    <row r="19" spans="1:21" ht="11.25" customHeight="1" thickBot="1">
      <c r="A19" s="87"/>
      <c r="B19" s="91"/>
      <c r="C19" s="111"/>
      <c r="D19" s="98"/>
      <c r="E19" s="252"/>
      <c r="F19" s="236"/>
      <c r="G19" s="236"/>
      <c r="H19" s="236"/>
      <c r="I19" s="98"/>
      <c r="J19" s="87"/>
      <c r="K19" s="273"/>
      <c r="L19" s="95"/>
      <c r="M19" s="117"/>
      <c r="O19" s="115"/>
      <c r="P19" s="295"/>
      <c r="Q19" s="88"/>
      <c r="R19" s="90"/>
      <c r="S19" s="87"/>
      <c r="T19" s="90"/>
      <c r="U19" s="90"/>
    </row>
    <row r="20" spans="1:21" ht="56.25" customHeight="1" thickBot="1">
      <c r="A20" s="87"/>
      <c r="B20" s="439" t="s">
        <v>178</v>
      </c>
      <c r="C20" s="440" t="s">
        <v>212</v>
      </c>
      <c r="D20" s="246"/>
      <c r="E20" s="98"/>
      <c r="F20" s="98"/>
      <c r="G20" s="98"/>
      <c r="H20" s="98"/>
      <c r="I20" s="98"/>
      <c r="J20" s="95"/>
      <c r="K20" s="296"/>
      <c r="L20" s="292"/>
      <c r="M20" s="90"/>
      <c r="N20" s="90"/>
      <c r="O20" s="88"/>
      <c r="P20" s="185"/>
      <c r="Q20" s="88"/>
      <c r="R20" s="90"/>
      <c r="T20" s="90"/>
      <c r="U20" s="90"/>
    </row>
    <row r="21" spans="1:21" ht="3.75" customHeight="1" thickBot="1">
      <c r="A21" s="87"/>
      <c r="B21" s="441"/>
      <c r="C21" s="442"/>
      <c r="D21" s="274"/>
      <c r="E21" s="272"/>
      <c r="F21" s="284"/>
      <c r="G21" s="281"/>
      <c r="H21" s="272"/>
      <c r="I21" s="278"/>
      <c r="J21" s="290"/>
      <c r="K21" s="297"/>
      <c r="L21" s="279"/>
      <c r="M21" s="87"/>
      <c r="N21" s="90"/>
      <c r="O21" s="88"/>
      <c r="P21" s="185"/>
      <c r="Q21" s="88"/>
      <c r="R21" s="90"/>
      <c r="T21" s="90"/>
      <c r="U21" s="90"/>
    </row>
    <row r="22" spans="1:21" ht="35.25" customHeight="1" thickBot="1">
      <c r="A22" s="87"/>
      <c r="B22" s="293" t="s">
        <v>196</v>
      </c>
      <c r="C22" s="294">
        <v>2</v>
      </c>
      <c r="D22" s="274"/>
      <c r="E22" s="283"/>
      <c r="F22" s="302" t="s">
        <v>181</v>
      </c>
      <c r="G22" s="282"/>
      <c r="H22" s="664" t="s">
        <v>184</v>
      </c>
      <c r="I22" s="665"/>
      <c r="J22" s="291"/>
      <c r="K22" s="298"/>
      <c r="L22" s="279"/>
      <c r="M22" s="115"/>
      <c r="N22" s="90"/>
      <c r="O22" s="88"/>
      <c r="P22" s="185"/>
      <c r="Q22" s="88"/>
      <c r="R22" s="90"/>
      <c r="T22" s="90"/>
      <c r="U22" s="90"/>
    </row>
    <row r="23" spans="1:21" ht="35.25" customHeight="1" thickBot="1">
      <c r="A23" s="87"/>
      <c r="B23" s="248" t="s">
        <v>194</v>
      </c>
      <c r="C23" s="249">
        <v>26</v>
      </c>
      <c r="D23" s="274"/>
      <c r="E23" s="276"/>
      <c r="F23" s="285">
        <f>SUM(H13:H18)</f>
        <v>93</v>
      </c>
      <c r="G23" s="275"/>
      <c r="H23" s="286">
        <f>SUM(C22:C27)</f>
        <v>93</v>
      </c>
      <c r="I23" s="277"/>
      <c r="J23" s="291"/>
      <c r="K23" s="299"/>
      <c r="L23" s="280"/>
      <c r="M23" s="300"/>
      <c r="N23" s="300"/>
      <c r="O23" s="88"/>
      <c r="P23" s="185"/>
      <c r="Q23" s="88"/>
      <c r="R23" s="90"/>
      <c r="T23" s="90"/>
      <c r="U23" s="90"/>
    </row>
    <row r="24" spans="1:21" ht="35.25" customHeight="1" thickBot="1">
      <c r="A24" s="87"/>
      <c r="B24" s="250" t="s">
        <v>195</v>
      </c>
      <c r="C24" s="251">
        <v>5</v>
      </c>
      <c r="D24" s="246"/>
      <c r="E24" s="117"/>
      <c r="F24" s="117"/>
      <c r="G24" s="90"/>
      <c r="H24" s="115"/>
      <c r="I24" s="115"/>
      <c r="J24" s="89"/>
      <c r="K24" s="273"/>
      <c r="L24" s="135"/>
      <c r="M24" s="136"/>
      <c r="N24" s="134"/>
      <c r="O24" s="91"/>
      <c r="P24" s="379"/>
      <c r="Q24" s="88"/>
      <c r="R24" s="90"/>
      <c r="T24" s="90"/>
      <c r="U24" s="90"/>
    </row>
    <row r="25" spans="1:21" ht="33" customHeight="1" thickBot="1">
      <c r="A25" s="87"/>
      <c r="B25" s="250" t="s">
        <v>197</v>
      </c>
      <c r="C25" s="251">
        <v>29</v>
      </c>
      <c r="D25" s="274"/>
      <c r="E25" s="186"/>
      <c r="F25" s="186"/>
      <c r="G25" s="98"/>
      <c r="I25" s="166"/>
      <c r="J25" s="87"/>
      <c r="K25" s="382" t="s">
        <v>214</v>
      </c>
      <c r="L25" s="184"/>
      <c r="M25" s="381"/>
      <c r="N25" s="384"/>
      <c r="O25" s="383"/>
      <c r="P25" s="278"/>
      <c r="Q25" s="88"/>
      <c r="R25" s="90"/>
      <c r="T25" s="90"/>
      <c r="U25" s="90"/>
    </row>
    <row r="26" spans="1:21" ht="44.25" customHeight="1">
      <c r="A26" s="87"/>
      <c r="B26" s="250" t="s">
        <v>198</v>
      </c>
      <c r="C26" s="251">
        <v>6</v>
      </c>
      <c r="D26" s="274"/>
      <c r="E26" s="288"/>
      <c r="F26" s="301" t="s">
        <v>185</v>
      </c>
      <c r="H26" s="666" t="s">
        <v>213</v>
      </c>
      <c r="I26" s="667"/>
      <c r="J26" s="380"/>
      <c r="K26" s="652" t="s">
        <v>216</v>
      </c>
      <c r="L26" s="653"/>
      <c r="M26" s="653"/>
      <c r="N26" s="654"/>
      <c r="O26" s="88"/>
      <c r="P26" s="185"/>
      <c r="Q26" s="88"/>
      <c r="R26" s="90"/>
      <c r="T26" s="90"/>
      <c r="U26" s="90"/>
    </row>
    <row r="27" spans="1:21" ht="36.75" customHeight="1" thickBot="1">
      <c r="A27" s="87"/>
      <c r="B27" s="253" t="s">
        <v>199</v>
      </c>
      <c r="C27" s="254">
        <v>25</v>
      </c>
      <c r="D27" s="246"/>
      <c r="E27" s="287"/>
      <c r="F27" s="289">
        <v>45657</v>
      </c>
      <c r="G27" s="86"/>
      <c r="H27" s="255">
        <f>COUNTA(O6:P27)</f>
        <v>13</v>
      </c>
      <c r="I27" s="247"/>
      <c r="J27" s="245"/>
      <c r="K27" s="655" t="s">
        <v>215</v>
      </c>
      <c r="L27" s="656"/>
      <c r="M27" s="656"/>
      <c r="N27" s="657"/>
      <c r="O27" s="186"/>
      <c r="P27" s="156"/>
      <c r="Q27" s="88"/>
      <c r="R27" s="90"/>
      <c r="T27" s="90"/>
      <c r="U27" s="90"/>
    </row>
    <row r="28" spans="1:21" ht="44.25" customHeight="1">
      <c r="A28" s="90"/>
      <c r="B28" s="117"/>
      <c r="C28" s="117"/>
      <c r="D28" s="117"/>
      <c r="E28" s="117"/>
      <c r="F28" s="95"/>
      <c r="G28" s="95"/>
      <c r="H28" s="95"/>
      <c r="I28" s="98"/>
      <c r="J28" s="111"/>
      <c r="K28" s="135"/>
      <c r="L28" s="117"/>
      <c r="M28" s="117"/>
      <c r="N28" s="307"/>
      <c r="O28" s="96"/>
      <c r="P28" s="115"/>
      <c r="Q28" s="90"/>
      <c r="R28" s="90"/>
      <c r="S28" s="87"/>
      <c r="T28" s="90"/>
      <c r="U28" s="90"/>
    </row>
    <row r="29" spans="1:21" ht="43.5" customHeight="1">
      <c r="A29" s="87"/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88"/>
      <c r="R29" s="90"/>
      <c r="S29" s="87"/>
      <c r="T29" s="90"/>
      <c r="U29" s="90"/>
    </row>
    <row r="30" spans="1:21" ht="45" customHeight="1">
      <c r="A30" s="87"/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88"/>
      <c r="R30" s="90"/>
      <c r="S30" s="90"/>
      <c r="T30" s="90"/>
      <c r="U30" s="90"/>
    </row>
    <row r="31" spans="1:21">
      <c r="A31" s="87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88"/>
      <c r="R31" s="90"/>
      <c r="S31" s="90"/>
      <c r="T31" s="90"/>
      <c r="U31" s="90"/>
    </row>
    <row r="32" spans="1:21">
      <c r="A32" s="87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88"/>
      <c r="R32" s="90"/>
      <c r="S32" s="90"/>
      <c r="T32" s="90"/>
      <c r="U32" s="90"/>
    </row>
    <row r="33" spans="1:21">
      <c r="A33" s="87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88"/>
      <c r="R33" s="90"/>
      <c r="S33" s="90"/>
      <c r="T33" s="90"/>
      <c r="U33" s="90"/>
    </row>
    <row r="34" spans="1:21">
      <c r="A34" s="87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88"/>
      <c r="R34" s="90"/>
      <c r="S34" s="90"/>
      <c r="T34" s="90"/>
      <c r="U34" s="90"/>
    </row>
    <row r="35" spans="1:21">
      <c r="A35" s="87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88"/>
      <c r="R35" s="90"/>
      <c r="S35" s="90"/>
      <c r="T35" s="90"/>
      <c r="U35" s="90"/>
    </row>
    <row r="36" spans="1:21">
      <c r="A36" s="87"/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88"/>
      <c r="R36" s="90"/>
      <c r="S36" s="90"/>
      <c r="T36" s="90"/>
      <c r="U36" s="90"/>
    </row>
    <row r="37" spans="1:21">
      <c r="A37" s="87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88"/>
      <c r="R37" s="90"/>
      <c r="S37" s="90"/>
      <c r="T37" s="90"/>
      <c r="U37" s="90"/>
    </row>
    <row r="38" spans="1:21">
      <c r="A38" s="87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88"/>
      <c r="R38" s="90"/>
      <c r="S38" s="90"/>
      <c r="T38" s="90"/>
      <c r="U38" s="90"/>
    </row>
    <row r="39" spans="1:21">
      <c r="A39" s="87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88"/>
      <c r="R39" s="90"/>
      <c r="S39" s="90"/>
      <c r="T39" s="90"/>
      <c r="U39" s="90"/>
    </row>
    <row r="40" spans="1:21">
      <c r="A40" s="87"/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88"/>
      <c r="R40" s="90"/>
      <c r="S40" s="90"/>
      <c r="T40" s="90"/>
      <c r="U40" s="90"/>
    </row>
    <row r="41" spans="1:21">
      <c r="A41" s="87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88"/>
      <c r="R41" s="90"/>
      <c r="S41" s="90"/>
      <c r="T41" s="90"/>
      <c r="U41" s="90"/>
    </row>
    <row r="42" spans="1:21">
      <c r="A42" s="87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88"/>
      <c r="R42" s="90"/>
      <c r="S42" s="90"/>
      <c r="T42" s="90"/>
      <c r="U42" s="90"/>
    </row>
    <row r="43" spans="1:21">
      <c r="A43" s="87"/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88"/>
      <c r="R43" s="90"/>
      <c r="S43" s="90"/>
      <c r="T43" s="90"/>
      <c r="U43" s="90"/>
    </row>
    <row r="44" spans="1:21">
      <c r="A44" s="87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88"/>
      <c r="R44" s="90"/>
      <c r="S44" s="90"/>
      <c r="T44" s="90"/>
      <c r="U44" s="90"/>
    </row>
    <row r="45" spans="1:21">
      <c r="A45" s="87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88"/>
      <c r="R45" s="90"/>
      <c r="S45" s="90"/>
      <c r="T45" s="90"/>
      <c r="U45" s="90"/>
    </row>
    <row r="46" spans="1:21">
      <c r="A46" s="87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88"/>
      <c r="R46" s="90"/>
      <c r="S46" s="90"/>
      <c r="T46" s="90"/>
      <c r="U46" s="90"/>
    </row>
  </sheetData>
  <mergeCells count="59">
    <mergeCell ref="B2:F2"/>
    <mergeCell ref="G2:P2"/>
    <mergeCell ref="B1:P1"/>
    <mergeCell ref="E11:H11"/>
    <mergeCell ref="M6:N6"/>
    <mergeCell ref="M7:N7"/>
    <mergeCell ref="O10:P10"/>
    <mergeCell ref="O11:P11"/>
    <mergeCell ref="M5:N5"/>
    <mergeCell ref="K5:L5"/>
    <mergeCell ref="O5:P5"/>
    <mergeCell ref="O6:P6"/>
    <mergeCell ref="O7:P7"/>
    <mergeCell ref="O8:P8"/>
    <mergeCell ref="O9:P9"/>
    <mergeCell ref="M10:N10"/>
    <mergeCell ref="M11:N11"/>
    <mergeCell ref="E7:H7"/>
    <mergeCell ref="K4:P4"/>
    <mergeCell ref="M15:N15"/>
    <mergeCell ref="K16:L16"/>
    <mergeCell ref="M8:N8"/>
    <mergeCell ref="M9:N9"/>
    <mergeCell ref="E12:G12"/>
    <mergeCell ref="E13:G13"/>
    <mergeCell ref="E14:G14"/>
    <mergeCell ref="E16:G16"/>
    <mergeCell ref="M16:N16"/>
    <mergeCell ref="K11:L11"/>
    <mergeCell ref="K12:L12"/>
    <mergeCell ref="K13:L13"/>
    <mergeCell ref="K14:L14"/>
    <mergeCell ref="K6:L6"/>
    <mergeCell ref="K7:L7"/>
    <mergeCell ref="K8:L8"/>
    <mergeCell ref="K9:L9"/>
    <mergeCell ref="K10:L10"/>
    <mergeCell ref="O18:P18"/>
    <mergeCell ref="O17:P17"/>
    <mergeCell ref="O16:P16"/>
    <mergeCell ref="O15:P15"/>
    <mergeCell ref="M12:N12"/>
    <mergeCell ref="M13:N13"/>
    <mergeCell ref="M14:N14"/>
    <mergeCell ref="O12:P12"/>
    <mergeCell ref="O13:P13"/>
    <mergeCell ref="O14:P14"/>
    <mergeCell ref="K26:N26"/>
    <mergeCell ref="K27:N27"/>
    <mergeCell ref="E17:G17"/>
    <mergeCell ref="E18:G18"/>
    <mergeCell ref="E15:G15"/>
    <mergeCell ref="H22:I22"/>
    <mergeCell ref="H26:I26"/>
    <mergeCell ref="M17:N17"/>
    <mergeCell ref="M18:N18"/>
    <mergeCell ref="K17:L17"/>
    <mergeCell ref="K18:L18"/>
    <mergeCell ref="K15:L15"/>
  </mergeCells>
  <phoneticPr fontId="32" type="noConversion"/>
  <printOptions horizontalCentered="1" verticalCentered="1"/>
  <pageMargins left="0" right="0" top="0" bottom="0" header="0" footer="0"/>
  <pageSetup paperSize="5" scale="55" fitToWidth="0" orientation="landscape" r:id="rId1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CB4CB-723F-4226-9945-2E6AC2F3F309}">
  <dimension ref="A2:D14"/>
  <sheetViews>
    <sheetView workbookViewId="0">
      <selection activeCell="A3" sqref="A3:D14"/>
    </sheetView>
  </sheetViews>
  <sheetFormatPr baseColWidth="10" defaultRowHeight="15"/>
  <cols>
    <col min="2" max="2" width="45.85546875" customWidth="1"/>
    <col min="3" max="3" width="14.5703125" customWidth="1"/>
  </cols>
  <sheetData>
    <row r="2" spans="1:4" ht="18.75">
      <c r="A2" s="306" t="s">
        <v>186</v>
      </c>
      <c r="B2" s="306" t="s">
        <v>187</v>
      </c>
      <c r="C2" s="306" t="s">
        <v>188</v>
      </c>
      <c r="D2" s="306" t="s">
        <v>189</v>
      </c>
    </row>
    <row r="3" spans="1:4" ht="58.5" customHeight="1">
      <c r="A3" s="435">
        <v>45646</v>
      </c>
      <c r="B3" s="431" t="s">
        <v>406</v>
      </c>
      <c r="C3" s="437">
        <v>2</v>
      </c>
      <c r="D3" s="437">
        <v>0</v>
      </c>
    </row>
    <row r="4" spans="1:4" ht="68.25" customHeight="1">
      <c r="A4" s="436">
        <v>45294</v>
      </c>
      <c r="B4" s="432" t="s">
        <v>407</v>
      </c>
      <c r="C4" s="437">
        <v>-1</v>
      </c>
      <c r="D4" s="437">
        <v>0</v>
      </c>
    </row>
    <row r="5" spans="1:4" ht="47.25" customHeight="1">
      <c r="A5" s="436">
        <v>45317</v>
      </c>
      <c r="B5" s="431" t="s">
        <v>408</v>
      </c>
      <c r="C5" s="437">
        <v>1.5</v>
      </c>
      <c r="D5" s="437">
        <v>0</v>
      </c>
    </row>
    <row r="6" spans="1:4" ht="45" customHeight="1">
      <c r="A6" s="436">
        <v>45677</v>
      </c>
      <c r="B6" s="432" t="s">
        <v>409</v>
      </c>
      <c r="C6" s="437">
        <v>-1</v>
      </c>
      <c r="D6" s="437">
        <v>0</v>
      </c>
    </row>
    <row r="7" spans="1:4" ht="66" customHeight="1">
      <c r="A7" s="436">
        <v>45748</v>
      </c>
      <c r="B7" s="431" t="s">
        <v>410</v>
      </c>
      <c r="C7" s="437">
        <v>1</v>
      </c>
      <c r="D7" s="437">
        <v>0</v>
      </c>
    </row>
    <row r="8" spans="1:4" ht="48.75" customHeight="1">
      <c r="A8" s="436">
        <v>45796</v>
      </c>
      <c r="B8" s="432" t="s">
        <v>411</v>
      </c>
      <c r="C8" s="437">
        <v>2</v>
      </c>
      <c r="D8" s="437">
        <v>0</v>
      </c>
    </row>
    <row r="9" spans="1:4" ht="52.5" customHeight="1">
      <c r="A9" s="436">
        <v>45432</v>
      </c>
      <c r="B9" s="431" t="s">
        <v>412</v>
      </c>
      <c r="C9" s="437">
        <v>1</v>
      </c>
      <c r="D9" s="437">
        <v>0</v>
      </c>
    </row>
    <row r="10" spans="1:4" ht="32.25" customHeight="1">
      <c r="A10" s="436">
        <v>45435</v>
      </c>
      <c r="B10" s="432" t="s">
        <v>413</v>
      </c>
      <c r="C10" s="437">
        <v>-1</v>
      </c>
      <c r="D10" s="437">
        <v>0</v>
      </c>
    </row>
    <row r="11" spans="1:4" ht="14.25" customHeight="1">
      <c r="A11" s="436">
        <v>45442</v>
      </c>
      <c r="B11" s="431" t="s">
        <v>414</v>
      </c>
      <c r="C11" s="437">
        <v>-1</v>
      </c>
      <c r="D11" s="437">
        <v>0</v>
      </c>
    </row>
    <row r="12" spans="1:4">
      <c r="A12" s="436">
        <v>45449</v>
      </c>
      <c r="B12" s="433" t="s">
        <v>415</v>
      </c>
      <c r="C12" s="437">
        <v>-1</v>
      </c>
      <c r="D12" s="437">
        <v>0</v>
      </c>
    </row>
    <row r="13" spans="1:4">
      <c r="A13" s="436">
        <v>45456</v>
      </c>
      <c r="B13" s="432" t="s">
        <v>416</v>
      </c>
      <c r="C13" s="437">
        <v>-1</v>
      </c>
      <c r="D13" s="437">
        <v>0</v>
      </c>
    </row>
    <row r="14" spans="1:4" ht="30">
      <c r="A14" s="436">
        <v>45463</v>
      </c>
      <c r="B14" s="434" t="s">
        <v>417</v>
      </c>
      <c r="C14" s="437">
        <v>1</v>
      </c>
      <c r="D14" s="437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E554BA5E2FA5449283D399C0FD5B7C" ma:contentTypeVersion="18" ma:contentTypeDescription="Crear nuevo documento." ma:contentTypeScope="" ma:versionID="dd0678842d65e4207392abd035356b9c">
  <xsd:schema xmlns:xsd="http://www.w3.org/2001/XMLSchema" xmlns:xs="http://www.w3.org/2001/XMLSchema" xmlns:p="http://schemas.microsoft.com/office/2006/metadata/properties" xmlns:ns2="cc851cf5-9d25-4af0-b62f-d23d0a4f5e5c" xmlns:ns3="954542bb-2825-439d-9db6-a5c04d3b21fd" targetNamespace="http://schemas.microsoft.com/office/2006/metadata/properties" ma:root="true" ma:fieldsID="6d84746cc30da1fe182e7a313d44b54c" ns2:_="" ns3:_="">
    <xsd:import namespace="cc851cf5-9d25-4af0-b62f-d23d0a4f5e5c"/>
    <xsd:import namespace="954542bb-2825-439d-9db6-a5c04d3b21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51cf5-9d25-4af0-b62f-d23d0a4f5e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83aa49dc-0840-4df2-9988-4c28c04889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4542bb-2825-439d-9db6-a5c04d3b21f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3150509-9ce5-46ef-9449-4d71a664b447}" ma:internalName="TaxCatchAll" ma:showField="CatchAllData" ma:web="954542bb-2825-439d-9db6-a5c04d3b21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851cf5-9d25-4af0-b62f-d23d0a4f5e5c">
      <Terms xmlns="http://schemas.microsoft.com/office/infopath/2007/PartnerControls"/>
    </lcf76f155ced4ddcb4097134ff3c332f>
    <TaxCatchAll xmlns="954542bb-2825-439d-9db6-a5c04d3b21fd" xsi:nil="true"/>
  </documentManagement>
</p:properties>
</file>

<file path=customXml/itemProps1.xml><?xml version="1.0" encoding="utf-8"?>
<ds:datastoreItem xmlns:ds="http://schemas.openxmlformats.org/officeDocument/2006/customXml" ds:itemID="{B6AC9645-B568-450E-BF2C-C54CDA88D1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E64779-B9F2-4AEC-A5E9-E8076DA89A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851cf5-9d25-4af0-b62f-d23d0a4f5e5c"/>
    <ds:schemaRef ds:uri="954542bb-2825-439d-9db6-a5c04d3b21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3E8CA1-0683-49D4-9501-EE88776F2630}">
  <ds:schemaRefs>
    <ds:schemaRef ds:uri="http://schemas.openxmlformats.org/package/2006/metadata/core-properties"/>
    <ds:schemaRef ds:uri="http://schemas.microsoft.com/office/2006/metadata/properties"/>
    <ds:schemaRef ds:uri="954542bb-2825-439d-9db6-a5c04d3b21fd"/>
    <ds:schemaRef ds:uri="cc851cf5-9d25-4af0-b62f-d23d0a4f5e5c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6</vt:i4>
      </vt:variant>
    </vt:vector>
  </HeadingPairs>
  <TitlesOfParts>
    <vt:vector size="19" baseType="lpstr">
      <vt:lpstr>Portada</vt:lpstr>
      <vt:lpstr>01-PANEL</vt:lpstr>
      <vt:lpstr>data_panel</vt:lpstr>
      <vt:lpstr>02-ESTADO NC</vt:lpstr>
      <vt:lpstr>03-  ESTADO REGIONES</vt:lpstr>
      <vt:lpstr>data_status_NC</vt:lpstr>
      <vt:lpstr>data_status_reg</vt:lpstr>
      <vt:lpstr>Ev Proveedores</vt:lpstr>
      <vt:lpstr>Convenios ADP</vt:lpstr>
      <vt:lpstr>Gestión de riesgos</vt:lpstr>
      <vt:lpstr>data_riesgos</vt:lpstr>
      <vt:lpstr>programas sociales</vt:lpstr>
      <vt:lpstr>datos_graficos</vt:lpstr>
      <vt:lpstr>'03-  ESTADO REGIONES'!Área_de_impresión</vt:lpstr>
      <vt:lpstr>'Convenios ADP'!Área_de_impresión</vt:lpstr>
      <vt:lpstr>'Ev Proveedores'!Área_de_impresión</vt:lpstr>
      <vt:lpstr>'Gestión de riesgos'!Área_de_impresión</vt:lpstr>
      <vt:lpstr>Portada!Área_de_impresión</vt:lpstr>
      <vt:lpstr>'programas sociales'!Área_de_impresión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2006-09-12T12:46:56Z</dcterms:created>
  <dcterms:modified xsi:type="dcterms:W3CDTF">2025-05-13T14:21:22Z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0x01010039E554BA5E2FA5449283D399C0FD5B7C</vt:lpwstr>
  </property>
  <property fmtid="{D5CDD505-2E9C-101B-9397-08002B2CF9AE}" pid="3" name="MediaServiceImageTags">
    <vt:lpwstr/>
  </property>
</Properties>
</file>