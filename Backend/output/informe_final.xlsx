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1.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hidePivotFieldList="1" defaultThemeVersion="124226"/>
  <xr:revisionPtr revIDLastSave="0" documentId="8_{FA6D9497-34AA-4219-A48B-9233A978051F}" xr6:coauthVersionLast="47" xr6:coauthVersionMax="47" xr10:uidLastSave="{00000000-0000-0000-0000-000000000000}"/>
  <bookViews>
    <workbookView xWindow="3510" yWindow="3510" windowWidth="21600" windowHeight="11295" tabRatio="719" firstSheet="1" activeTab="1"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ADP_II'!$A$1:$L$20</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C21" i="55" l="1"/>
  <c r="B21" i="55"/>
  <c r="A21" i="55"/>
  <c r="F25" i="55"/>
  <c r="N7" i="55" s="1"/>
  <c r="E15" i="55"/>
  <c r="K7" i="55" s="1"/>
  <c r="E14" i="55"/>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<sst xmlns="http://schemas.openxmlformats.org/spreadsheetml/2006/main" count="1027" uniqueCount="461">
  <si>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</si>
  <si>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</si>
  <si>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</si>
  <si>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</si>
  <si>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</si>
  <si>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</si>
  <si>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</si>
  <si>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</si>
  <si>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</si>
  <si>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</si>
  <si>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</si>
  <si>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</si>
  <si>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</si>
  <si>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</si>
  <si>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</si>
  <si>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</si>
  <si>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</si>
  <si>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</si>
  <si>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</si>
  <si>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</si>
  <si>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</si>
  <si>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</si>
  <si>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</si>
  <si>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</si>
  <si>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</si>
  <si>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</si>
  <si>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</si>
  <si>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</si>
  <si>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</si>
  <si>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</si>
  <si>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</si>
  <si>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</si>
  <si>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</si>
  <si>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</si>
  <si>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</si>
  <si>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</si>
  <si>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</si>
  <si>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</si>
  <si>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</si>
  <si>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</si>
  <si>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</si>
  <si>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</si>
  <si>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</si>
  <si>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</si>
  <si>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</si>
  <si>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</si>
  <si>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</si>
  <si>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</si>
  <si>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</si>
  <si>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</si>
  <si>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</si>
  <si>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</si>
  <si>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</si>
  <si>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</si>
  <si>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</si>
  <si>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</si>
  <si>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</si>
  <si>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</si>
  <si>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</si>
  <si>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</si>
  <si>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</si>
  <si>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</si>
  <si>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</si>
  <si>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</si>
  <si>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</si>
  <si>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</si>
  <si>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</si>
  <si>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</si>
  <si>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</si>
  <si>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</si>
  <si>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</si>
  <si>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</si>
  <si>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</si>
  <si>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</si>
  <si>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</si>
  <si>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</si>
  <si>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</si>
  <si>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</si>
  <si>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</si>
  <si>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</si>
  <si>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</si>
  <si>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</si>
  <si>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</si>
  <si>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</si>
  <si>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</si>
  <si>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</si>
  <si>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</si>
  <si>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</si>
  <si>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</si>
  <si>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</si>
  <si>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</si>
  <si>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</si>
  <si>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</si>
  <si>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</si>
  <si>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</si>
  <si>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</si>
  <si>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</si>
  <si>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</si>
  <si>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</si>
  <si>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</si>
  <si>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</si>
  <si>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</si>
  <si>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</si>
  <si>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</si>
  <si>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</si>
  <si>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</si>
  <si>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</si>
  <si>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</si>
  <si>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</si>
  <si>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</si>
  <si>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</si>
  <si>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</si>
  <si>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</si>
  <si>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</si>
  <si>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</si>
  <si>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</si>
  <si>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</si>
  <si>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</si>
  <si>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</si>
  <si>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</si>
  <si>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</si>
  <si>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</si>
  <si>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</si>
  <si>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</si>
  <si>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</si>
  <si>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</si>
  <si>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</si>
  <si>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</si>
  <si>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</si>
  <si>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</si>
  <si>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</si>
  <si>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</si>
  <si>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</si>
  <si>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</si>
  <si>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</si>
  <si>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</si>
  <si>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</si>
  <si>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</si>
  <si>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</si>
  <si>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</si>
  <si>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</si>
  <si>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</si>
  <si>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</si>
  <si>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</si>
  <si>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</si>
  <si>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</si>
  <si>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</si>
  <si>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</si>
  <si>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</si>
  <si>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</si>
  <si>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</si>
  <si>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</si>
  <si>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</si>
  <si>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</si>
  <si>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</si>
  <si>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</si>
  <si>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</si>
  <si>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</si>
  <si>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</si>
  <si>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</si>
  <si>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</si>
  <si>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</si>
  <si>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</si>
  <si>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</si>
  <si>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</si>
  <si>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</si>
  <si>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</si>
  <si>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</si>
  <si>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</si>
  <si>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</si>
  <si>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</si>
  <si>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</si>
  <si>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</si>
  <si>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</si>
  <si>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</si>
  <si>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</si>
  <si>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</si>
  <si>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No cumplidos</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</si>
  <si>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</si>
  <si>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</si>
  <si>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</si>
  <si>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</si>
  <si>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</si>
  <si>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</si>
  <si>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</si>
  <si>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</si>
  <si>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</si>
  <si>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</si>
  <si>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</si>
  <si>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</si>
  <si>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</si>
  <si>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</si>
  <si>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</si>
  <si>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</si>
  <si>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</si>
  <si>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</si>
  <si>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</si>
  <si>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</si>
  <si>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</si>
  <si>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</si>
  <si>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</si>
  <si>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</si>
  <si>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</si>
  <si>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</si>
  <si>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</si>
  <si>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</si>
  <si>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</si>
  <si>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</si>
  <si>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</si>
  <si>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</si>
  <si>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</si>
  <si>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</si>
  <si>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</si>
  <si>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</si>
  <si>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</si>
  <si>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</si>
  <si>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</si>
  <si>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</si>
  <si>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</si>
  <si>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</si>
  <si>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</si>
  <si>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</si>
  <si>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</si>
  <si>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</si>
  <si>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</si>
  <si>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</si>
  <si>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</si>
  <si>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</si>
  <si>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</si>
  <si>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</si>
  <si>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</si>
  <si>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</si>
  <si>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</si>
  <si>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</si>
  <si>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</si>
  <si>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</si>
  <si>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</si>
  <si>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</si>
  <si>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</si>
  <si>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</si>
  <si>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</si>
  <si>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</si>
  <si>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</si>
  <si>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</si>
  <si>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</si>
  <si>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</si>
  <si>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</si>
  <si>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</si>
  <si>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</si>
  <si>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</si>
  <si>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</si>
  <si>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</si>
  <si>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</si>
  <si>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</si>
  <si>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</si>
  <si>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</si>
  <si>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</si>
  <si>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</si>
  <si>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</si>
  <si>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</si>
  <si>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</si>
  <si>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</si>
  <si>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</si>
  <si>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</si>
  <si>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</si>
  <si>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</si>
  <si>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</si>
  <si>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</si>
  <si>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</si>
  <si>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</si>
  <si>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</si>
  <si>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</si>
  <si>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</si>
  <si>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</si>
  <si>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</si>
  <si>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</si>
  <si>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</si>
  <si>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</si>
  <si>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</si>
  <si>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</si>
  <si>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</si>
  <si>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</si>
  <si>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</si>
  <si>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</si>
  <si>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</si>
  <si>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</si>
  <si>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</si>
  <si>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</si>
  <si>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</si>
  <si>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</si>
  <si>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</si>
  <si>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</si>
  <si>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</si>
  <si>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</si>
  <si>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</si>
  <si>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</si>
  <si>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</si>
  <si>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</si>
  <si>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</si>
  <si>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</si>
  <si>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</si>
  <si>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</si>
  <si>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</si>
  <si>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</si>
  <si>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</si>
  <si>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</si>
  <si>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</si>
  <si>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</si>
  <si>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</si>
  <si>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</si>
  <si>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</si>
  <si>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</si>
  <si>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</si>
  <si>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</si>
  <si>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</si>
  <si>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</si>
  <si>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</si>
  <si>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</si>
  <si>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</si>
  <si>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</si>
  <si>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</si>
  <si>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</si>
  <si>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</si>
  <si>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</si>
  <si>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</si>
  <si>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</si>
  <si>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</si>
  <si>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</si>
  <si>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</si>
  <si>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</si>
  <si>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</si>
  <si>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</si>
  <si>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</si>
  <si>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</si>
  <si>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</si>
  <si>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</si>
  <si>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</si>
  <si>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</si>
  <si>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</si>
  <si>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</si>
  <si>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</si>
  <si>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</si>
  <si>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</si>
  <si>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</si>
  <si>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</si>
  <si>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</si>
  <si>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</si>
  <si>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</si>
  <si>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</si>
  <si>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</si>
  <si>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</si>
  <si>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</si>
  <si>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</si>
  <si>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</si>
  <si>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</si>
  <si>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</si>
  <si>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</si>
  <si>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</si>
  <si>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</si>
  <si>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</si>
  <si>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</si>
  <si>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</si>
  <si>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</si>
  <si>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</si>
  <si>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</si>
  <si>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</si>
  <si>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</si>
  <si>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</si>
  <si>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</si>
  <si>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</si>
  <si>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</si>
  <si>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</si>
  <si>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</si>
  <si>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</si>
  <si>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</si>
  <si>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</si>
  <si>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</si>
  <si>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</si>
  <si>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</si>
  <si>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</si>
  <si>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</si>
  <si>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</si>
  <si>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</si>
  <si>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</si>
  <si>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</si>
  <si>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En enero 2025 se envió mediante mail del Jefe del Gabinete del Ministro, el resultado del monitoreo del tercer año de gestión.</t>
  </si>
  <si>
    <t>En marzo 2025 se envió mediante mail del Jefe del Gabinete del Ministro, el resultado del monitoreo del tercer año de gestión.</t>
  </si>
  <si>
    <t xml:space="preserve">En mayo 2025 se inició el monitoreo del tercer año de gestión
</t>
  </si>
  <si>
    <t>En mayo 2025 se inició el proceso de evaluación del primer año de gestión.</t>
  </si>
  <si>
    <t>En mayo 2025 se envió a tramitación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</si>
  <si>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</si>
  <si>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</si>
  <si>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</si>
  <si>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</si>
  <si>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</si>
  <si>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 xml:space="preserve">SLEP Chiloé </t>
  </si>
  <si>
    <t>Se envía solicitud de informe de monitoreo para el segundo año de gestión, el cual debe enviarse a más tardar el 01 de junio de 2025.</t>
  </si>
  <si>
    <t>Se nombra a Director Ejecutivo el 24 de febrero, por lo que no corresponde al Ministro, hacer seguimiento al II nivel, ya que finaliza la subrogancia.</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</si>
  <si>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</si>
  <si>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</si>
  <si>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</si>
  <si>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</si>
  <si>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</si>
  <si>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</si>
  <si>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</si>
  <si>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</si>
  <si>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</si>
  <si>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</si>
  <si>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</si>
  <si>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</si>
  <si>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</si>
  <si>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</si>
  <si>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</si>
  <si>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</si>
  <si>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</si>
  <si>
    <t>Dirección de Educación Pública</t>
  </si>
  <si>
    <t>Junta Nacional de Auxilio Escolar y Becas</t>
  </si>
  <si>
    <t>Junta Nacional de Jardines Infantiles</t>
  </si>
  <si>
    <t>Subsecretaria de Educación</t>
  </si>
  <si>
    <t>Subsecretaría Educación Parvularia</t>
  </si>
  <si>
    <t>Subsecretaría Educación Superior</t>
  </si>
  <si>
    <t>Subsecretaría de Educación Parvularia</t>
  </si>
  <si>
    <t>Subsecretaría de Educación Superior</t>
  </si>
  <si>
    <t>Hogares y Residencias Estudiantiles (Hogares Insulares V Región)</t>
  </si>
  <si>
    <t>Beca Integración Territorial (Programa Especial Beca Art. 56 Ley N° 18.681)</t>
  </si>
  <si>
    <t>Beca Polimetales Arica</t>
  </si>
  <si>
    <t>Programa de Bienestar Socioemocional y Educación Integral</t>
  </si>
  <si>
    <t>Subvención Gratuidad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</si>
  <si>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Carrera Docente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</si>
  <si>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Fonoinfancia</t>
  </si>
  <si>
    <t>Jardines Infantiles y Salas Cuna Modalidad Convencional
*Ingresa para Reformulación programática En Ante 2026, debido a que se incorporará dentro de su diseño los programas "Programa de Extensión Horaria" y "Programa Vacaciones en mi Jardín"</t>
  </si>
  <si>
    <t>Beca Reparacióin</t>
  </si>
  <si>
    <t>Programa de Acompañamiento y Acceso Efectivo a la Educación Superior (PACE) (PATP ingresaría como parte de PACE)</t>
  </si>
  <si>
    <t xml:space="preserve">Programa Educativo Alternativo de Atención del Párvulo </t>
  </si>
  <si>
    <t>Jardín Infantil Clásico de Administración Directa</t>
  </si>
  <si>
    <t>Jardín Infantil Clásico de Administración VTF</t>
  </si>
  <si>
    <t>Infraestructura y equipamiento para la Educación Pública del siglo XXI (incluirá Contingencia para Mantención y Reparación de Infraestructura Escolar (Plan de Reactivación Educativa)</t>
  </si>
  <si>
    <t>Fondo de Apoyo a la Educación Pública (incluirá Financiamiento de la Educación Pública (Fondo de Incentivo para la Gestión Administrativa de los SLEP)</t>
  </si>
  <si>
    <t>Fondo para la Reactivación Educativa (Plan de Reactivación Educativa)</t>
  </si>
  <si>
    <t>En evaluación. Primer informe de evaluación recibido con calificación OT al 09/06</t>
  </si>
  <si>
    <t>En evaluación. Primer informe de evaluación recibido con calificación OT al 12/06</t>
  </si>
  <si>
    <t>En evaluación. Primer informe de evaluación recibido con calificación OT al 19/06</t>
  </si>
  <si>
    <t>En evaluación. Primer informe de evaluación recibido con calificación OT al 11/06</t>
  </si>
  <si>
    <t>En evaluación. Primer informe de evaluación recibido con calificación OT al 13/06</t>
  </si>
  <si>
    <t>En evaluación. Primer informe de evaluación recibido con calificación OT al 05/06</t>
  </si>
  <si>
    <t>En evaluación. Primer informe de evaluación recibido con calificación FI al 30/05</t>
  </si>
  <si>
    <t>En evaluación. Primer informe de evaluación recibido con calificación OT al 06/06</t>
  </si>
  <si>
    <t>En evaluación. Primer informe de evaluación recibido con calificación OT al 10/06</t>
  </si>
  <si>
    <t>Inicio Monitoreo 2024
ejecución año t-1</t>
  </si>
  <si>
    <t>Envío de orientaciones
a contrapartes internas</t>
  </si>
  <si>
    <t>Evaluación
MDSyF</t>
  </si>
  <si>
    <t>Reporte en
plataforma</t>
  </si>
  <si>
    <t>Inicio Ex ante</t>
  </si>
  <si>
    <t>Envío de
lineamientos
internos</t>
  </si>
  <si>
    <t>Ingreso máximo ex ante</t>
  </si>
  <si>
    <t>Iteración 1</t>
  </si>
  <si>
    <t>Iteración 2</t>
  </si>
  <si>
    <t>Iteración 3</t>
  </si>
  <si>
    <t>Iteración 4</t>
  </si>
  <si>
    <t>Publicación
de informes
de monitoreo</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</si>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</sst>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18"/>
      <color theme="4" tint="-0.499984740745262"/>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s>
  <fills count="23">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2" tint="-9.9978637043366805E-2"/>
        <bgColor indexed="64"/>
      </patternFill>
    </fill>
    <fill>
      <patternFill patternType="solid">
        <fgColor theme="8"/>
        <bgColor indexed="64"/>
      </patternFill>
    </fill>
  </fills>
  <borders count="34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auto="1"/>
      </right>
      <top style="medium">
        <color theme="1"/>
      </top>
      <bottom style="medium">
        <color theme="1"/>
      </bottom>
      <diagonal/>
    </border>
    <border>
      <left style="thin">
        <color auto="1"/>
      </left>
      <right/>
      <top style="medium">
        <color theme="1"/>
      </top>
      <bottom style="medium">
        <color theme="1"/>
      </bottom>
      <diagonal/>
    </border>
    <border>
      <left/>
      <right style="thin">
        <color indexed="64"/>
      </right>
      <top style="medium">
        <color theme="1"/>
      </top>
      <bottom style="medium">
        <color theme="1"/>
      </bottom>
      <diagonal/>
    </border>
    <border>
      <left style="thin">
        <color auto="1"/>
      </left>
      <right style="thin">
        <color auto="1"/>
      </right>
      <top style="medium">
        <color theme="1"/>
      </top>
      <bottom style="medium">
        <color theme="1"/>
      </bottom>
      <diagonal/>
    </border>
    <border>
      <left style="thin">
        <color auto="1"/>
      </left>
      <right style="medium">
        <color theme="1"/>
      </right>
      <top style="medium">
        <color theme="1"/>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72">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76" fillId="0" borderId="139" xfId="0" applyFont="1" applyBorder="1" applyAlignment="1">
      <alignment horizontal="center" vertical="center"/>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66" fillId="0" borderId="139" xfId="0" applyFont="1" applyBorder="1" applyAlignment="1">
      <alignment horizontal="center" vertical="center" wrapText="1"/>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6" fillId="0" borderId="124" xfId="0" applyFont="1" applyBorder="1" applyAlignment="1">
      <alignment horizontal="center" vertical="center" wrapText="1"/>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6"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7"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111" fillId="0" borderId="305" xfId="0" applyFont="1" applyBorder="1" applyAlignment="1">
      <alignment horizontal="center" wrapText="1"/>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1" fillId="0" borderId="316" xfId="0" applyFont="1" applyBorder="1" applyAlignment="1">
      <alignment horizontal="center" vertical="center" wrapText="1"/>
    </xf>
    <xf numFmtId="0" fontId="111" fillId="0" borderId="154" xfId="0" applyFont="1" applyBorder="1" applyAlignment="1">
      <alignment horizontal="center" vertical="center"/>
    </xf>
    <xf numFmtId="0" fontId="111" fillId="0" borderId="316" xfId="0" applyFont="1" applyBorder="1" applyAlignment="1">
      <alignment horizontal="center" vertical="center"/>
    </xf>
    <xf numFmtId="0" fontId="111"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6" fillId="21" borderId="324" xfId="0" applyFont="1" applyFill="1" applyBorder="1" applyAlignment="1">
      <alignment horizontal="left" vertical="center"/>
    </xf>
    <xf numFmtId="0" fontId="16" fillId="21" borderId="327" xfId="0" applyFont="1" applyFill="1" applyBorder="1" applyAlignment="1">
      <alignment horizontal="left" vertical="center"/>
    </xf>
    <xf numFmtId="0" fontId="16" fillId="0" borderId="327" xfId="0" applyFont="1" applyBorder="1" applyAlignment="1">
      <alignment horizontal="right" vertical="center"/>
    </xf>
    <xf numFmtId="0" fontId="16" fillId="21" borderId="329" xfId="0" applyFont="1" applyFill="1" applyBorder="1" applyAlignment="1">
      <alignment horizontal="left"/>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6" fillId="0" borderId="327" xfId="0" applyFont="1" applyBorder="1" applyAlignment="1">
      <alignment horizontal="right" wrapText="1"/>
    </xf>
    <xf numFmtId="0" fontId="16" fillId="3" borderId="327" xfId="0" applyFont="1" applyFill="1" applyBorder="1" applyAlignment="1">
      <alignment horizontal="right" vertical="center"/>
    </xf>
    <xf numFmtId="0" fontId="107"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2" borderId="15" xfId="0" applyFont="1" applyFill="1" applyBorder="1" applyAlignment="1">
      <alignment horizontal="center" vertical="center" wrapText="1"/>
    </xf>
    <xf numFmtId="0" fontId="113"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342" xfId="0" applyFont="1" applyBorder="1" applyAlignment="1">
      <alignment horizontal="center" vertical="center"/>
    </xf>
    <xf numFmtId="14" fontId="63" fillId="0" borderId="345" xfId="0" applyNumberFormat="1" applyFont="1" applyBorder="1" applyAlignment="1">
      <alignment horizontal="center" vertical="center"/>
    </xf>
    <xf numFmtId="14" fontId="63" fillId="0" borderId="346" xfId="0" applyNumberFormat="1" applyFont="1" applyBorder="1" applyAlignment="1">
      <alignment horizontal="center" vertical="center"/>
    </xf>
    <xf numFmtId="14" fontId="63" fillId="0" borderId="126" xfId="0" applyNumberFormat="1" applyFont="1" applyBorder="1" applyAlignment="1">
      <alignment horizontal="center" vertical="center"/>
    </xf>
    <xf numFmtId="14" fontId="63" fillId="0" borderId="124" xfId="0" applyNumberFormat="1" applyFont="1" applyBorder="1" applyAlignment="1">
      <alignment horizontal="center" vertical="center"/>
    </xf>
    <xf numFmtId="0" fontId="63" fillId="0" borderId="124" xfId="0"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32" fillId="0" borderId="1" xfId="0" applyFont="1" applyBorder="1" applyAlignment="1">
      <alignment horizontal="center" vertical="center"/>
    </xf>
    <xf numFmtId="0" fontId="25" fillId="13" borderId="0" xfId="0" applyFont="1" applyFill="1" applyAlignment="1">
      <alignment horizontal="right" vertical="top" wrapText="1"/>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49" fontId="72" fillId="13" borderId="0" xfId="0" applyNumberFormat="1" applyFont="1" applyFill="1" applyAlignment="1">
      <alignment horizontal="left" vertical="center" wrapText="1"/>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0" fontId="64" fillId="0" borderId="46" xfId="0" applyFont="1" applyBorder="1" applyAlignment="1">
      <alignment horizontal="left" vertical="top" wrapText="1"/>
    </xf>
    <xf numFmtId="14" fontId="63" fillId="0" borderId="343" xfId="0" applyNumberFormat="1" applyFont="1" applyBorder="1" applyAlignment="1">
      <alignment horizontal="center" vertical="center"/>
    </xf>
    <xf numFmtId="0" fontId="63" fillId="0" borderId="344"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97" xfId="0" applyBorder="1" applyAlignment="1">
      <alignment horizontal="center" vertical="center"/>
    </xf>
    <xf numFmtId="0" fontId="51" fillId="13" borderId="166"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12" xfId="0" applyBorder="1" applyAlignment="1">
      <alignment horizontal="center"/>
    </xf>
    <xf numFmtId="0" fontId="0" fillId="0" borderId="119"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7" fillId="13" borderId="1" xfId="0" applyFont="1" applyFill="1" applyBorder="1" applyAlignment="1">
      <alignment horizontal="center" vertical="center" wrapText="1" readingOrder="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0" xfId="0"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33" xfId="0" applyBorder="1" applyAlignment="1">
      <alignment horizontal="center" vertic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21" xfId="0" applyBorder="1" applyAlignment="1">
      <alignment horizontal="center"/>
    </xf>
    <xf numFmtId="0" fontId="47" fillId="13"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7" fillId="13" borderId="34" xfId="0" applyFont="1" applyFill="1" applyBorder="1" applyAlignment="1">
      <alignment horizontal="center" vertical="center" wrapText="1" readingOrder="1"/>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9" fillId="13" borderId="140" xfId="0" applyFont="1" applyFill="1" applyBorder="1" applyAlignment="1">
      <alignment horizontal="center" vertical="center"/>
    </xf>
    <xf numFmtId="0" fontId="109"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8" fillId="13" borderId="153" xfId="0" applyFont="1" applyFill="1" applyBorder="1" applyAlignment="1">
      <alignment horizontal="center" vertical="center"/>
    </xf>
    <xf numFmtId="0" fontId="108" fillId="13" borderId="154" xfId="0" applyFont="1" applyFill="1" applyBorder="1" applyAlignment="1">
      <alignment horizontal="center" vertical="center"/>
    </xf>
    <xf numFmtId="0" fontId="110" fillId="13" borderId="189" xfId="0" applyFont="1" applyFill="1" applyBorder="1" applyAlignment="1">
      <alignment horizontal="center" vertical="center"/>
    </xf>
    <xf numFmtId="0" fontId="110" fillId="13" borderId="191" xfId="0" applyFont="1" applyFill="1" applyBorder="1" applyAlignment="1">
      <alignment horizontal="center" vertical="center"/>
    </xf>
    <xf numFmtId="0" fontId="89" fillId="0" borderId="65" xfId="0" applyFont="1" applyBorder="1" applyAlignment="1">
      <alignment horizontal="left" vertical="center"/>
    </xf>
    <xf numFmtId="0" fontId="101" fillId="0" borderId="46" xfId="0" applyFont="1" applyBorder="1" applyAlignment="1">
      <alignment horizontal="right" vertical="center"/>
    </xf>
    <xf numFmtId="0" fontId="105" fillId="0" borderId="228" xfId="0" applyFont="1" applyBorder="1" applyAlignment="1">
      <alignment horizontal="left" vertical="center"/>
    </xf>
    <xf numFmtId="0" fontId="105" fillId="0" borderId="229" xfId="0" applyFont="1" applyBorder="1" applyAlignment="1">
      <alignment horizontal="left" vertical="center"/>
    </xf>
    <xf numFmtId="0" fontId="105"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0" fontId="111" fillId="0" borderId="152" xfId="0" applyFont="1" applyBorder="1" applyAlignment="1">
      <alignment horizontal="center" vertical="center"/>
    </xf>
    <xf numFmtId="0" fontId="111"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89" fillId="0" borderId="178" xfId="0" applyFont="1" applyBorder="1" applyAlignment="1">
      <alignment horizontal="left" vertical="center" wrapText="1"/>
    </xf>
    <xf numFmtId="0" fontId="112" fillId="0" borderId="51" xfId="0" applyFont="1" applyBorder="1" applyAlignment="1">
      <alignment horizontal="left" vertical="center" wrapText="1"/>
    </xf>
    <xf numFmtId="0" fontId="112"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4" fillId="0" borderId="1" xfId="0" applyFont="1" applyBorder="1" applyAlignment="1">
      <alignment horizontal="center" vertical="center" wrapText="1"/>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6" xfId="0" applyBorder="1" applyAlignment="1">
      <alignment horizont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0" fillId="0" borderId="34" xfId="0" applyBorder="1" applyAlignment="1">
      <alignment horizont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9" xfId="0" applyNumberFormat="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2" xfId="0" applyFont="1" applyFill="1" applyBorder="1" applyAlignment="1">
      <alignment horizontal="center" vertical="center"/>
    </xf>
    <xf numFmtId="0" fontId="7" fillId="13" borderId="283"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85" xfId="0" applyFont="1" applyFill="1" applyBorder="1" applyAlignment="1">
      <alignment horizontal="center" vertical="center"/>
    </xf>
    <xf numFmtId="0" fontId="7" fillId="13" borderId="21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97" xfId="0" applyNumberFormat="1" applyBorder="1" applyAlignment="1">
      <alignment horizontal="center" vertical="center"/>
    </xf>
    <xf numFmtId="9" fontId="0" fillId="0" borderId="214"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65" fillId="0" borderId="172"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s-CL" sz="1800" b="1"/>
              <a:t>Planes</a:t>
            </a:r>
            <a:r>
              <a:rPr lang="es-CL" sz="1800" b="1" baseline="0"/>
              <a:t> de Tratamiento de Riesgos Comprometidos el 2024 </a:t>
            </a:r>
            <a:endParaRPr lang="es-CL" sz="1800" b="1"/>
          </a:p>
        </c:rich>
      </c:tx>
      <c:layout>
        <c:manualLayout>
          <c:xMode val="edge"/>
          <c:yMode val="edge"/>
          <c:x val="0.27614672766446641"/>
          <c:y val="1.1931571030897132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19323473870721017"/>
          <c:y val="0.16745326466699598"/>
          <c:w val="0.77732731705749347"/>
          <c:h val="0.70418926607553622"/>
        </c:manualLayout>
      </c:layout>
      <c:barChart>
        <c:barDir val="bar"/>
        <c:grouping val="clustered"/>
        <c:varyColors val="0"/>
        <c:ser>
          <c:idx val="0"/>
          <c:order val="0"/>
          <c:tx>
            <c:strRef>
              <c:f>'Planes de tratamientos'!$B$11:$B$12</c:f>
              <c:strCache>
                <c:ptCount val="2"/>
                <c:pt idx="0">
                  <c:v>Cumplidos</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tratamientos'!$A$13:$A$15</c:f>
              <c:strCache>
                <c:ptCount val="3"/>
                <c:pt idx="0">
                  <c:v>Financieros</c:v>
                </c:pt>
                <c:pt idx="1">
                  <c:v>Estratégicos</c:v>
                </c:pt>
                <c:pt idx="2">
                  <c:v>Institucionales</c:v>
                </c:pt>
              </c:strCache>
            </c:strRef>
          </c:cat>
          <c:val>
            <c:numRef>
              <c:f>'Planes de tratamientos'!$B$13:$B$15</c:f>
              <c:numCache>
                <c:formatCode>General</c:formatCode>
                <c:ptCount val="3"/>
                <c:pt idx="0">
                  <c:v>2</c:v>
                </c:pt>
                <c:pt idx="1">
                  <c:v>0</c:v>
                </c:pt>
                <c:pt idx="2">
                  <c:v>0</c:v>
                </c:pt>
              </c:numCache>
            </c:numRef>
          </c:val>
          <c:extLst>
            <c:ext xmlns:c16="http://schemas.microsoft.com/office/drawing/2014/chart" uri="{C3380CC4-5D6E-409C-BE32-E72D297353CC}">
              <c16:uniqueId val="{00000004-207A-470F-B963-DFF8DA516055}"/>
            </c:ext>
          </c:extLst>
        </c:ser>
        <c:ser>
          <c:idx val="1"/>
          <c:order val="1"/>
          <c:tx>
            <c:strRef>
              <c:f>'Planes de tratamientos'!$C$11:$C$12</c:f>
              <c:strCache>
                <c:ptCount val="2"/>
                <c:pt idx="0">
                  <c:v>En proceso</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tratamientos'!$A$13:$A$15</c:f>
              <c:strCache>
                <c:ptCount val="3"/>
                <c:pt idx="0">
                  <c:v>Financieros</c:v>
                </c:pt>
                <c:pt idx="1">
                  <c:v>Estratégicos</c:v>
                </c:pt>
                <c:pt idx="2">
                  <c:v>Institucionales</c:v>
                </c:pt>
              </c:strCache>
            </c:strRef>
          </c:cat>
          <c:val>
            <c:numRef>
              <c:f>'Planes de tratamientos'!$C$13:$C$15</c:f>
              <c:numCache>
                <c:formatCode>General</c:formatCode>
                <c:ptCount val="3"/>
                <c:pt idx="0">
                  <c:v>14</c:v>
                </c:pt>
                <c:pt idx="1">
                  <c:v>10</c:v>
                </c:pt>
                <c:pt idx="2">
                  <c:v>38</c:v>
                </c:pt>
              </c:numCache>
            </c:numRef>
          </c:val>
          <c:extLst>
            <c:ext xmlns:c16="http://schemas.microsoft.com/office/drawing/2014/chart" uri="{C3380CC4-5D6E-409C-BE32-E72D297353CC}">
              <c16:uniqueId val="{00000005-207A-470F-B963-DFF8DA516055}"/>
            </c:ext>
          </c:extLst>
        </c:ser>
        <c:ser>
          <c:idx val="2"/>
          <c:order val="2"/>
          <c:tx>
            <c:strRef>
              <c:f>'Planes de tratamientos'!$D$11:$D$12</c:f>
              <c:strCache>
                <c:ptCount val="2"/>
                <c:pt idx="0">
                  <c:v>No Cumplidos/ Con retraso.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tratamientos'!$A$13:$A$15</c:f>
              <c:strCache>
                <c:ptCount val="3"/>
                <c:pt idx="0">
                  <c:v>Financieros</c:v>
                </c:pt>
                <c:pt idx="1">
                  <c:v>Estratégicos</c:v>
                </c:pt>
                <c:pt idx="2">
                  <c:v>Institucionales</c:v>
                </c:pt>
              </c:strCache>
            </c:strRef>
          </c:cat>
          <c:val>
            <c:numRef>
              <c:f>'Planes de tratamientos'!$D$13:$D$15</c:f>
              <c:numCache>
                <c:formatCode>General</c:formatCode>
                <c:ptCount val="3"/>
                <c:pt idx="0">
                  <c:v>0</c:v>
                </c:pt>
                <c:pt idx="1">
                  <c:v>0</c:v>
                </c:pt>
                <c:pt idx="2">
                  <c:v>0</c:v>
                </c:pt>
              </c:numCache>
            </c:numRef>
          </c:val>
          <c:extLst>
            <c:ext xmlns:c16="http://schemas.microsoft.com/office/drawing/2014/chart" uri="{C3380CC4-5D6E-409C-BE32-E72D297353CC}">
              <c16:uniqueId val="{00000006-207A-470F-B963-DFF8DA516055}"/>
            </c:ext>
          </c:extLst>
        </c:ser>
        <c:dLbls>
          <c:dLblPos val="outEnd"/>
          <c:showLegendKey val="0"/>
          <c:showVal val="1"/>
          <c:showCatName val="0"/>
          <c:showSerName val="0"/>
          <c:showPercent val="0"/>
          <c:showBubbleSize val="0"/>
        </c:dLbls>
        <c:gapWidth val="182"/>
        <c:axId val="794146495"/>
        <c:axId val="794148895"/>
      </c:barChart>
      <c:catAx>
        <c:axId val="79414649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s-CL"/>
          </a:p>
        </c:txPr>
        <c:crossAx val="794148895"/>
        <c:crosses val="autoZero"/>
        <c:auto val="1"/>
        <c:lblAlgn val="ctr"/>
        <c:lblOffset val="100"/>
        <c:noMultiLvlLbl val="0"/>
      </c:catAx>
      <c:valAx>
        <c:axId val="794148895"/>
        <c:scaling>
          <c:orientation val="minMax"/>
        </c:scaling>
        <c:delete val="1"/>
        <c:axPos val="b"/>
        <c:numFmt formatCode="General" sourceLinked="1"/>
        <c:majorTickMark val="out"/>
        <c:minorTickMark val="none"/>
        <c:tickLblPos val="nextTo"/>
        <c:crossAx val="794146495"/>
        <c:crosses val="autoZero"/>
        <c:crossBetween val="between"/>
      </c:valAx>
      <c:spPr>
        <a:noFill/>
        <a:ln>
          <a:noFill/>
        </a:ln>
        <a:effectLst/>
      </c:spPr>
    </c:plotArea>
    <c:legend>
      <c:legendPos val="r"/>
      <c:layout>
        <c:manualLayout>
          <c:xMode val="edge"/>
          <c:yMode val="edge"/>
          <c:x val="0.32581379741319855"/>
          <c:y val="0.87024995858398235"/>
          <c:w val="0.62517140792328985"/>
          <c:h val="0.11945114853979945"/>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s-CL" sz="1600" b="1"/>
              <a:t>Nivel</a:t>
            </a:r>
            <a:r>
              <a:rPr lang="es-CL" sz="1600" b="1" baseline="0"/>
              <a:t> de Cumplimiento - Estrategias para Señales de Alerta 2024</a:t>
            </a:r>
            <a:endParaRPr lang="es-CL"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4.9118931069418906E-2"/>
          <c:y val="0.21709361211160957"/>
          <c:w val="0.88193693075470325"/>
          <c:h val="0.63606129729082417"/>
        </c:manualLayout>
      </c:layout>
      <c:barChart>
        <c:barDir val="col"/>
        <c:grouping val="clustered"/>
        <c:varyColors val="0"/>
        <c:ser>
          <c:idx val="0"/>
          <c:order val="0"/>
          <c:tx>
            <c:v>Implementados</c:v>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tratamientos'!$A$25</c:f>
              <c:strCache>
                <c:ptCount val="1"/>
                <c:pt idx="0">
                  <c:v>Señales de Alerta</c:v>
                </c:pt>
              </c:strCache>
            </c:strRef>
          </c:cat>
          <c:val>
            <c:numRef>
              <c:f>'Planes de tratamientos'!$B$25</c:f>
              <c:numCache>
                <c:formatCode>General</c:formatCode>
                <c:ptCount val="1"/>
                <c:pt idx="0">
                  <c:v>4</c:v>
                </c:pt>
              </c:numCache>
            </c:numRef>
          </c:val>
          <c:extLst>
            <c:ext xmlns:c16="http://schemas.microsoft.com/office/drawing/2014/chart" uri="{C3380CC4-5D6E-409C-BE32-E72D297353CC}">
              <c16:uniqueId val="{00000000-346C-4D5E-83AA-7D5E4AE3B99B}"/>
            </c:ext>
          </c:extLst>
        </c:ser>
        <c:ser>
          <c:idx val="2"/>
          <c:order val="1"/>
          <c:tx>
            <c:v>En proceso de implementación</c:v>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tratamientos'!$A$25</c:f>
              <c:strCache>
                <c:ptCount val="1"/>
                <c:pt idx="0">
                  <c:v>Señales de Alerta</c:v>
                </c:pt>
              </c:strCache>
            </c:strRef>
          </c:cat>
          <c:val>
            <c:numRef>
              <c:f>'Planes de tratamientos'!$D$25</c:f>
              <c:numCache>
                <c:formatCode>General</c:formatCode>
                <c:ptCount val="1"/>
                <c:pt idx="0">
                  <c:v>16</c:v>
                </c:pt>
              </c:numCache>
            </c:numRef>
          </c:val>
          <c:extLst>
            <c:ext xmlns:c16="http://schemas.microsoft.com/office/drawing/2014/chart" uri="{C3380CC4-5D6E-409C-BE32-E72D297353CC}">
              <c16:uniqueId val="{00000005-346C-4D5E-83AA-7D5E4AE3B99B}"/>
            </c:ext>
          </c:extLst>
        </c:ser>
        <c:ser>
          <c:idx val="3"/>
          <c:order val="2"/>
          <c:tx>
            <c:v>No Implementados</c:v>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tratamientos'!$A$25</c:f>
              <c:strCache>
                <c:ptCount val="1"/>
                <c:pt idx="0">
                  <c:v>Señales de Alerta</c:v>
                </c:pt>
              </c:strCache>
            </c:strRef>
          </c:cat>
          <c:val>
            <c:numRef>
              <c:f>'Planes de tratamientos'!$E$25</c:f>
              <c:numCache>
                <c:formatCode>General</c:formatCode>
                <c:ptCount val="1"/>
                <c:pt idx="0">
                  <c:v>4</c:v>
                </c:pt>
              </c:numCache>
            </c:numRef>
          </c:val>
          <c:extLst>
            <c:ext xmlns:c16="http://schemas.microsoft.com/office/drawing/2014/chart" uri="{C3380CC4-5D6E-409C-BE32-E72D297353CC}">
              <c16:uniqueId val="{00000006-346C-4D5E-83AA-7D5E4AE3B99B}"/>
            </c:ext>
          </c:extLst>
        </c:ser>
        <c:dLbls>
          <c:dLblPos val="outEnd"/>
          <c:showLegendKey val="0"/>
          <c:showVal val="1"/>
          <c:showCatName val="0"/>
          <c:showSerName val="0"/>
          <c:showPercent val="0"/>
          <c:showBubbleSize val="0"/>
        </c:dLbls>
        <c:gapWidth val="219"/>
        <c:overlap val="-27"/>
        <c:axId val="1661646191"/>
        <c:axId val="1661657711"/>
      </c:barChart>
      <c:catAx>
        <c:axId val="1661646191"/>
        <c:scaling>
          <c:orientation val="minMax"/>
        </c:scaling>
        <c:delete val="1"/>
        <c:axPos val="b"/>
        <c:numFmt formatCode="General" sourceLinked="1"/>
        <c:majorTickMark val="out"/>
        <c:minorTickMark val="none"/>
        <c:tickLblPos val="nextTo"/>
        <c:crossAx val="1661657711"/>
        <c:crosses val="autoZero"/>
        <c:auto val="1"/>
        <c:lblAlgn val="ctr"/>
        <c:lblOffset val="100"/>
        <c:noMultiLvlLbl val="0"/>
      </c:catAx>
      <c:valAx>
        <c:axId val="1661657711"/>
        <c:scaling>
          <c:orientation val="minMax"/>
        </c:scaling>
        <c:delete val="1"/>
        <c:axPos val="l"/>
        <c:numFmt formatCode="General" sourceLinked="1"/>
        <c:majorTickMark val="out"/>
        <c:minorTickMark val="none"/>
        <c:tickLblPos val="nextTo"/>
        <c:crossAx val="1661646191"/>
        <c:crosses val="autoZero"/>
        <c:crossBetween val="between"/>
      </c:valAx>
      <c:spPr>
        <a:noFill/>
        <a:ln>
          <a:noFill/>
        </a:ln>
        <a:effectLst/>
      </c:spPr>
    </c:plotArea>
    <c:legend>
      <c:legendPos val="r"/>
      <c:layout>
        <c:manualLayout>
          <c:xMode val="edge"/>
          <c:yMode val="edge"/>
          <c:x val="0"/>
          <c:y val="0.89975239836663623"/>
          <c:w val="1"/>
          <c:h val="8.747374387357048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s-CL" sz="1600" b="1"/>
              <a:t>Nivel</a:t>
            </a:r>
            <a:r>
              <a:rPr lang="es-CL" sz="1600" b="1" baseline="0"/>
              <a:t> de Cumplimiento - Planes de Tratamiento de Riesgos 2024</a:t>
            </a:r>
            <a:endParaRPr lang="es-CL"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4.0125577630341101E-2"/>
          <c:y val="0.22576923538662858"/>
          <c:w val="0.91300096501850747"/>
          <c:h val="0.57180930885866232"/>
        </c:manualLayout>
      </c:layout>
      <c:barChart>
        <c:barDir val="col"/>
        <c:grouping val="clustered"/>
        <c:varyColors val="0"/>
        <c:ser>
          <c:idx val="0"/>
          <c:order val="0"/>
          <c:spPr>
            <a:solidFill>
              <a:srgbClr val="00B050"/>
            </a:solidFill>
            <a:ln>
              <a:noFill/>
            </a:ln>
            <a:effectLst/>
          </c:spPr>
          <c:invertIfNegative val="0"/>
          <c:dPt>
            <c:idx val="1"/>
            <c:invertIfNegative val="0"/>
            <c:bubble3D val="0"/>
            <c:spPr>
              <a:solidFill>
                <a:srgbClr val="0070C0"/>
              </a:solidFill>
              <a:ln>
                <a:noFill/>
              </a:ln>
              <a:effectLst/>
            </c:spPr>
            <c:extLst>
              <c:ext xmlns:c16="http://schemas.microsoft.com/office/drawing/2014/chart" uri="{C3380CC4-5D6E-409C-BE32-E72D297353CC}">
                <c16:uniqueId val="{00000001-0B11-4F67-8676-8E2CC89373B6}"/>
              </c:ext>
            </c:extLst>
          </c:dPt>
          <c:dPt>
            <c:idx val="2"/>
            <c:invertIfNegative val="0"/>
            <c:bubble3D val="0"/>
            <c:spPr>
              <a:solidFill>
                <a:srgbClr val="C00000"/>
              </a:solidFill>
              <a:ln>
                <a:noFill/>
              </a:ln>
              <a:effectLst/>
            </c:spPr>
            <c:extLst>
              <c:ext xmlns:c16="http://schemas.microsoft.com/office/drawing/2014/chart" uri="{C3380CC4-5D6E-409C-BE32-E72D297353CC}">
                <c16:uniqueId val="{00000002-0B11-4F67-8676-8E2CC89373B6}"/>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s-C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'Planes de tratamientos'!$A$20:$C$20</c:f>
              <c:strCache>
                <c:ptCount val="3"/>
                <c:pt idx="0">
                  <c:v>Cumplidos</c:v>
                </c:pt>
                <c:pt idx="1">
                  <c:v>En proceso</c:v>
                </c:pt>
                <c:pt idx="2">
                  <c:v>No cumplidos</c:v>
                </c:pt>
              </c:strCache>
            </c:strRef>
          </c:cat>
          <c:val>
            <c:numRef>
              <c:f>'Planes de tratamientos'!$A$21:$C$21</c:f>
              <c:numCache>
                <c:formatCode>General</c:formatCode>
                <c:ptCount val="3"/>
                <c:pt idx="0">
                  <c:v>2</c:v>
                </c:pt>
                <c:pt idx="1">
                  <c:v>62</c:v>
                </c:pt>
                <c:pt idx="2">
                  <c:v>0</c:v>
                </c:pt>
              </c:numCache>
            </c:numRef>
          </c:val>
          <c:extLst>
            <c:ext xmlns:c16="http://schemas.microsoft.com/office/drawing/2014/chart" uri="{C3380CC4-5D6E-409C-BE32-E72D297353CC}">
              <c16:uniqueId val="{00000000-0B11-4F67-8676-8E2CC89373B6}"/>
            </c:ext>
          </c:extLst>
        </c:ser>
        <c:dLbls>
          <c:dLblPos val="outEnd"/>
          <c:showLegendKey val="0"/>
          <c:showVal val="1"/>
          <c:showCatName val="0"/>
          <c:showSerName val="0"/>
          <c:showPercent val="0"/>
          <c:showBubbleSize val="0"/>
        </c:dLbls>
        <c:gapWidth val="219"/>
        <c:overlap val="-27"/>
        <c:axId val="1647931839"/>
        <c:axId val="1647933759"/>
      </c:barChart>
      <c:catAx>
        <c:axId val="164793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s-CL"/>
          </a:p>
        </c:txPr>
        <c:crossAx val="1647933759"/>
        <c:crosses val="autoZero"/>
        <c:auto val="1"/>
        <c:lblAlgn val="ctr"/>
        <c:lblOffset val="100"/>
        <c:noMultiLvlLbl val="0"/>
      </c:catAx>
      <c:valAx>
        <c:axId val="1647933759"/>
        <c:scaling>
          <c:orientation val="minMax"/>
        </c:scaling>
        <c:delete val="1"/>
        <c:axPos val="l"/>
        <c:numFmt formatCode="General" sourceLinked="1"/>
        <c:majorTickMark val="none"/>
        <c:minorTickMark val="none"/>
        <c:tickLblPos val="nextTo"/>
        <c:crossAx val="1647931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fld id="{19CC5CE4-8008-44CA-804B-4352D72FAB58}"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701-4AFD-AD30-FB29783E89E6}"/>
                </c:ext>
              </c:extLst>
            </c:dLbl>
            <c:dLbl>
              <c:idx val="1"/>
              <c:tx>
                <c:rich>
                  <a:bodyPr/>
                  <a:lstStyle/>
                  <a:p>
                    <a:fld id="{51DCDCB1-945D-4A85-9D4C-0EB8F4E3DA23}"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972-4B61-A4C9-C0557F774F48}"/>
                </c:ext>
              </c:extLst>
            </c:dLbl>
            <c:dLbl>
              <c:idx val="2"/>
              <c:tx>
                <c:rich>
                  <a:bodyPr/>
                  <a:lstStyle/>
                  <a:p>
                    <a:fld id="{498A27AC-35BD-415F-B019-9AC8DE13CFCB}"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72-4B61-A4C9-C0557F774F48}"/>
                </c:ext>
              </c:extLst>
            </c:dLbl>
            <c:dLbl>
              <c:idx val="3"/>
              <c:tx>
                <c:rich>
                  <a:bodyPr/>
                  <a:lstStyle/>
                  <a:p>
                    <a:fld id="{5C4FD578-ED24-411F-8707-A8CBD236E848}"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DC3ABDF9-0378-464A-A503-69CFF3C6B18F}"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946987A8-F513-487B-9954-E6747EE0AD23}"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34000DD1-9854-40E5-8949-47B66506F84A}"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5-B972-4B61-A4C9-C0557F774F48}"/>
                </c:ext>
              </c:extLst>
            </c:dLbl>
            <c:dLbl>
              <c:idx val="7"/>
              <c:tx>
                <c:rich>
                  <a:bodyPr/>
                  <a:lstStyle/>
                  <a:p>
                    <a:fld id="{7282BB45-61DF-4AF7-B28A-C79F724B2905}"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048D8428-BD57-4F4F-B341-30CEAF14FBE0}"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D47FBD07-B600-4647-9AC3-DDD5C16D4A1B}"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5AAF0EFF-FCAD-47CA-8164-271E9630B9AA}"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datos_graficos!$C$3:$C$15</c:f>
              <c:numCache>
                <c:formatCode>General</c:formatCode>
                <c:ptCount val="13"/>
                <c:pt idx="0">
                  <c:v>2</c:v>
                </c:pt>
                <c:pt idx="1">
                  <c:v>-1</c:v>
                </c:pt>
                <c:pt idx="2">
                  <c:v>1</c:v>
                </c:pt>
                <c:pt idx="3">
                  <c:v>-1</c:v>
                </c:pt>
                <c:pt idx="4">
                  <c:v>2</c:v>
                </c:pt>
                <c:pt idx="5">
                  <c:v>-1</c:v>
                </c:pt>
                <c:pt idx="6">
                  <c:v>2</c:v>
                </c:pt>
                <c:pt idx="7">
                  <c:v>-1</c:v>
                </c:pt>
                <c:pt idx="8">
                  <c:v>1</c:v>
                </c:pt>
                <c:pt idx="9">
                  <c:v>-1</c:v>
                </c:pt>
                <c:pt idx="10">
                  <c:v>1</c:v>
                </c:pt>
                <c:pt idx="11">
                  <c:v>-1</c:v>
                </c:pt>
                <c:pt idx="12">
                  <c:v>2</c:v>
                </c:pt>
              </c:numCache>
            </c:numRef>
          </c:val>
          <c:smooth val="0"/>
          <c:extLst>
            <c:ext xmlns:c15="http://schemas.microsoft.com/office/drawing/2012/chart" uri="{02D57815-91ED-43cb-92C2-25804820EDAC}">
              <c15:datalabelsRange>
                <c15:f>datos_graficos!$B$3:$B$15</c15:f>
                <c15:dlblRangeCache>
                  <c:ptCount val="13"/>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fld id="{B639E17C-F927-4ABF-B89A-77B055BAB1D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701-4AFD-AD30-FB29783E89E6}"/>
                </c:ext>
              </c:extLst>
            </c:dLbl>
            <c:dLbl>
              <c:idx val="2"/>
              <c:tx>
                <c:rich>
                  <a:bodyPr/>
                  <a:lstStyle/>
                  <a:p>
                    <a:fld id="{4D28ED35-9A2A-48AF-8C6D-423FF60A1C6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701-4AFD-AD30-FB29783E89E6}"/>
                </c:ext>
              </c:extLst>
            </c:dLbl>
            <c:dLbl>
              <c:idx val="3"/>
              <c:tx>
                <c:rich>
                  <a:bodyPr/>
                  <a:lstStyle/>
                  <a:p>
                    <a:fld id="{899A2D70-95A4-497F-99FF-8EC11ACA35B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701-4AFD-AD30-FB29783E89E6}"/>
                </c:ext>
              </c:extLst>
            </c:dLbl>
            <c:dLbl>
              <c:idx val="4"/>
              <c:tx>
                <c:rich>
                  <a:bodyPr/>
                  <a:lstStyle/>
                  <a:p>
                    <a:fld id="{B2310557-98E6-4B50-8554-DD50F2EB44C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701-4AFD-AD30-FB29783E89E6}"/>
                </c:ext>
              </c:extLst>
            </c:dLbl>
            <c:dLbl>
              <c:idx val="5"/>
              <c:tx>
                <c:rich>
                  <a:bodyPr/>
                  <a:lstStyle/>
                  <a:p>
                    <a:fld id="{8C3F5409-B6CB-4CA9-8B92-7FE59F72C15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701-4AFD-AD30-FB29783E89E6}"/>
                </c:ext>
              </c:extLst>
            </c:dLbl>
            <c:dLbl>
              <c:idx val="6"/>
              <c:tx>
                <c:rich>
                  <a:bodyPr/>
                  <a:lstStyle/>
                  <a:p>
                    <a:fld id="{383B4AB5-977F-4F81-9B0A-A0AAC8BAD3C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701-4AFD-AD30-FB29783E89E6}"/>
                </c:ext>
              </c:extLst>
            </c:dLbl>
            <c:dLbl>
              <c:idx val="7"/>
              <c:tx>
                <c:rich>
                  <a:bodyPr/>
                  <a:lstStyle/>
                  <a:p>
                    <a:fld id="{43BD0955-07F8-4958-8942-AEA9B8E6502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701-4AFD-AD30-FB29783E89E6}"/>
                </c:ext>
              </c:extLst>
            </c:dLbl>
            <c:dLbl>
              <c:idx val="8"/>
              <c:tx>
                <c:rich>
                  <a:bodyPr/>
                  <a:lstStyle/>
                  <a:p>
                    <a:fld id="{DFBB97ED-3FBC-4B85-A216-0DD6C424513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701-4AFD-AD30-FB29783E89E6}"/>
                </c:ext>
              </c:extLst>
            </c:dLbl>
            <c:dLbl>
              <c:idx val="9"/>
              <c:tx>
                <c:rich>
                  <a:bodyPr/>
                  <a:lstStyle/>
                  <a:p>
                    <a:fld id="{C4426DDB-D8A7-4B7E-BAF9-D2A46DAAD06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701-4AFD-AD30-FB29783E89E6}"/>
                </c:ext>
              </c:extLst>
            </c:dLbl>
            <c:dLbl>
              <c:idx val="10"/>
              <c:tx>
                <c:rich>
                  <a:bodyPr/>
                  <a:lstStyle/>
                  <a:p>
                    <a:fld id="{ECF57E5A-9DA1-4EAE-8E6C-4274E53BC51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701-4AFD-AD30-FB29783E89E6}"/>
                </c:ext>
              </c:extLst>
            </c:dLbl>
            <c:dLbl>
              <c:idx val="11"/>
              <c:tx>
                <c:rich>
                  <a:bodyPr/>
                  <a:lstStyle/>
                  <a:p>
                    <a:fld id="{25F58EE6-9B21-44CC-8A61-D1DAF2A8C77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3701-4AFD-AD30-FB29783E89E6}"/>
                </c:ext>
              </c:extLst>
            </c:dLbl>
            <c:dLbl>
              <c:idx val="12"/>
              <c:tx>
                <c:rich>
                  <a:bodyPr/>
                  <a:lstStyle/>
                  <a:p>
                    <a:fld id="{DF326976-AC91-4342-A618-B9837673923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datos_graficos!$D$3:$D$15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5="http://schemas.microsoft.com/office/drawing/2012/chart" uri="{02D57815-91ED-43cb-92C2-25804820EDAC}">
              <c15:datalabelsRange>
                <c15:f>datos_graficos!$A$3:$A$15</c15:f>
                <c15:dlblRangeCache>
                  <c:ptCount val="13"/>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'programas sociales'!$B$16:$B$21</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sociales'!$C$16:$C$21</c:f>
              <c:numCache>
                <c:formatCode>General</c:formatCode>
                <c:ptCount val="6"/>
                <c:pt idx="0">
                  <c:v>4</c:v>
                </c:pt>
                <c:pt idx="1">
                  <c:v>26</c:v>
                </c:pt>
                <c:pt idx="2">
                  <c:v>5</c:v>
                </c:pt>
                <c:pt idx="3">
                  <c:v>31</c:v>
                </c:pt>
                <c:pt idx="4">
                  <c:v>6</c:v>
                </c:pt>
                <c:pt idx="5">
                  <c:v>25</c:v>
                </c:pt>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image" Target="../media/image33.png"/><Relationship Id="rId7" Type="http://schemas.openxmlformats.org/officeDocument/2006/relationships/chart" Target="../charts/chart5.xml"/><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chart" Target="../charts/chart4.xml"/><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image" Target="../media/image34.png"/><Relationship Id="rId7" Type="http://schemas.openxmlformats.org/officeDocument/2006/relationships/chart" Target="../charts/chart10.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9.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294657</xdr:rowOff>
    </xdr:from>
    <xdr:to>
      <xdr:col>12</xdr:col>
      <xdr:colOff>467591</xdr:colOff>
      <xdr:row>15</xdr:row>
      <xdr:rowOff>246847</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559384"/>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283971</xdr:rowOff>
    </xdr:from>
    <xdr:to>
      <xdr:col>17</xdr:col>
      <xdr:colOff>5645728</xdr:colOff>
      <xdr:row>15</xdr:row>
      <xdr:rowOff>218949</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548698"/>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350076</xdr:colOff>
      <xdr:row>32</xdr:row>
      <xdr:rowOff>178131</xdr:rowOff>
    </xdr:from>
    <xdr:to>
      <xdr:col>12</xdr:col>
      <xdr:colOff>439140</xdr:colOff>
      <xdr:row>34</xdr:row>
      <xdr:rowOff>178130</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53894" y="10620995"/>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623454</xdr:colOff>
      <xdr:row>33</xdr:row>
      <xdr:rowOff>-1</xdr:rowOff>
    </xdr:from>
    <xdr:to>
      <xdr:col>17</xdr:col>
      <xdr:colOff>5559136</xdr:colOff>
      <xdr:row>34</xdr:row>
      <xdr:rowOff>173182</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61818" y="10633363"/>
          <a:ext cx="9525000"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35</xdr:row>
      <xdr:rowOff>69272</xdr:rowOff>
    </xdr:from>
    <xdr:to>
      <xdr:col>12</xdr:col>
      <xdr:colOff>415637</xdr:colOff>
      <xdr:row>50</xdr:row>
      <xdr:rowOff>80020</xdr:rowOff>
    </xdr:to>
    <xdr:pic>
      <xdr:nvPicPr>
        <xdr:cNvPr id="11" name="Imagen 10">
          <a:extLst>
            <a:ext uri="{FF2B5EF4-FFF2-40B4-BE49-F238E27FC236}">
              <a16:creationId xmlns:a16="http://schemas.microsoft.com/office/drawing/2014/main" id="{8EA48795-0D10-D86B-EB71-F63889910CE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07752" y="11070647"/>
          <a:ext cx="6333260" cy="3820748"/>
        </a:xfrm>
        <a:prstGeom prst="rect">
          <a:avLst/>
        </a:prstGeom>
      </xdr:spPr>
    </xdr:pic>
    <xdr:clientData/>
  </xdr:twoCellAnchor>
  <xdr:twoCellAnchor editAs="oneCell">
    <xdr:from>
      <xdr:col>12</xdr:col>
      <xdr:colOff>606137</xdr:colOff>
      <xdr:row>35</xdr:row>
      <xdr:rowOff>69274</xdr:rowOff>
    </xdr:from>
    <xdr:to>
      <xdr:col>17</xdr:col>
      <xdr:colOff>5583585</xdr:colOff>
      <xdr:row>46</xdr:row>
      <xdr:rowOff>467957</xdr:rowOff>
    </xdr:to>
    <xdr:pic>
      <xdr:nvPicPr>
        <xdr:cNvPr id="9" name="Imagen 8">
          <a:extLst>
            <a:ext uri="{FF2B5EF4-FFF2-40B4-BE49-F238E27FC236}">
              <a16:creationId xmlns:a16="http://schemas.microsoft.com/office/drawing/2014/main" id="{B3C56B4B-9014-6A19-28C3-A37CE962C64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31512" y="11070649"/>
          <a:ext cx="9578023" cy="3218083"/>
        </a:xfrm>
        <a:prstGeom prst="rect">
          <a:avLst/>
        </a:prstGeom>
      </xdr:spPr>
    </xdr:pic>
    <xdr:clientData/>
  </xdr:twoCellAnchor>
  <xdr:twoCellAnchor editAs="oneCell">
    <xdr:from>
      <xdr:col>12</xdr:col>
      <xdr:colOff>623453</xdr:colOff>
      <xdr:row>15</xdr:row>
      <xdr:rowOff>329046</xdr:rowOff>
    </xdr:from>
    <xdr:to>
      <xdr:col>18</xdr:col>
      <xdr:colOff>0</xdr:colOff>
      <xdr:row>29</xdr:row>
      <xdr:rowOff>161585</xdr:rowOff>
    </xdr:to>
    <xdr:pic>
      <xdr:nvPicPr>
        <xdr:cNvPr id="10" name="Imagen 9">
          <a:extLst>
            <a:ext uri="{FF2B5EF4-FFF2-40B4-BE49-F238E27FC236}">
              <a16:creationId xmlns:a16="http://schemas.microsoft.com/office/drawing/2014/main" id="{A42BCCCA-AD9C-F81D-9817-E1D1BA2DA65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48828" y="6091671"/>
          <a:ext cx="9644497" cy="4118789"/>
        </a:xfrm>
        <a:prstGeom prst="rect">
          <a:avLst/>
        </a:prstGeom>
      </xdr:spPr>
    </xdr:pic>
    <xdr:clientData/>
  </xdr:twoCellAnchor>
  <xdr:twoCellAnchor editAs="oneCell">
    <xdr:from>
      <xdr:col>5</xdr:col>
      <xdr:colOff>450272</xdr:colOff>
      <xdr:row>16</xdr:row>
      <xdr:rowOff>51955</xdr:rowOff>
    </xdr:from>
    <xdr:to>
      <xdr:col>12</xdr:col>
      <xdr:colOff>467590</xdr:colOff>
      <xdr:row>32</xdr:row>
      <xdr:rowOff>147824</xdr:rowOff>
    </xdr:to>
    <xdr:pic>
      <xdr:nvPicPr>
        <xdr:cNvPr id="8" name="Imagen 7">
          <a:extLst>
            <a:ext uri="{FF2B5EF4-FFF2-40B4-BE49-F238E27FC236}">
              <a16:creationId xmlns:a16="http://schemas.microsoft.com/office/drawing/2014/main" id="{FC2EFB7C-D73E-8D5E-4A00-D9DA610BBE5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46297" y="6157480"/>
          <a:ext cx="6246668" cy="442021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26892"/>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26893"/>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26894"/>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26895"/>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26896"/>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26897"/>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26898"/>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26899"/>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26900"/>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26901"/>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687415</xdr:colOff>
      <xdr:row>0</xdr:row>
      <xdr:rowOff>34637</xdr:rowOff>
    </xdr:from>
    <xdr:to>
      <xdr:col>3</xdr:col>
      <xdr:colOff>1454727</xdr:colOff>
      <xdr:row>4</xdr:row>
      <xdr:rowOff>112340</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5" y="34637"/>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56029</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xdr:from>
      <xdr:col>6</xdr:col>
      <xdr:colOff>783956</xdr:colOff>
      <xdr:row>8</xdr:row>
      <xdr:rowOff>3407</xdr:rowOff>
    </xdr:from>
    <xdr:to>
      <xdr:col>13</xdr:col>
      <xdr:colOff>112059</xdr:colOff>
      <xdr:row>15</xdr:row>
      <xdr:rowOff>1165412</xdr:rowOff>
    </xdr:to>
    <xdr:graphicFrame macro="">
      <xdr:nvGraphicFramePr>
        <xdr:cNvPr id="12" name="Gráfico 11">
          <a:extLst>
            <a:ext uri="{FF2B5EF4-FFF2-40B4-BE49-F238E27FC236}">
              <a16:creationId xmlns:a16="http://schemas.microsoft.com/office/drawing/2014/main" id="{07936B31-25FA-1FAE-3F05-45B9E8B145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33618</xdr:colOff>
      <xdr:row>25</xdr:row>
      <xdr:rowOff>212912</xdr:rowOff>
    </xdr:from>
    <xdr:to>
      <xdr:col>6</xdr:col>
      <xdr:colOff>0</xdr:colOff>
      <xdr:row>36</xdr:row>
      <xdr:rowOff>33618</xdr:rowOff>
    </xdr:to>
    <xdr:graphicFrame macro="">
      <xdr:nvGraphicFramePr>
        <xdr:cNvPr id="14" name="Gráfico 13">
          <a:extLst>
            <a:ext uri="{FF2B5EF4-FFF2-40B4-BE49-F238E27FC236}">
              <a16:creationId xmlns:a16="http://schemas.microsoft.com/office/drawing/2014/main" id="{25950EC3-1590-32C4-829D-B644D554D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44822</xdr:colOff>
      <xdr:row>15</xdr:row>
      <xdr:rowOff>291354</xdr:rowOff>
    </xdr:from>
    <xdr:to>
      <xdr:col>6</xdr:col>
      <xdr:colOff>0</xdr:colOff>
      <xdr:row>20</xdr:row>
      <xdr:rowOff>235323</xdr:rowOff>
    </xdr:to>
    <xdr:graphicFrame macro="">
      <xdr:nvGraphicFramePr>
        <xdr:cNvPr id="15" name="Gráfico 14">
          <a:extLst>
            <a:ext uri="{FF2B5EF4-FFF2-40B4-BE49-F238E27FC236}">
              <a16:creationId xmlns:a16="http://schemas.microsoft.com/office/drawing/2014/main" id="{44FBD140-EB46-B47C-FF82-ACD6C1641F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11"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90">
        <v>2025</v>
      </c>
      <c r="H11" s="590"/>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1" t="s">
        <v>189</v>
      </c>
      <c r="G12" s="592"/>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8" t="s">
        <v>129</v>
      </c>
      <c r="G15" s="588"/>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8" t="s">
        <v>130</v>
      </c>
      <c r="G16" s="588"/>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9" t="s">
        <v>131</v>
      </c>
      <c r="G18" s="589"/>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tabSelected="1" view="pageBreakPreview" topLeftCell="A8" zoomScale="55" zoomScaleNormal="70" zoomScaleSheetLayoutView="55" zoomScalePageLayoutView="25" workbookViewId="0">
      <selection activeCell="K29" sqref="K29"/>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9"/>
      <c r="C2" s="379"/>
      <c r="D2" s="379"/>
      <c r="E2" s="379"/>
      <c r="F2" s="379"/>
      <c r="G2" s="379"/>
      <c r="H2" s="379"/>
      <c r="I2" s="379"/>
      <c r="J2" s="604" t="s">
        <v>135</v>
      </c>
      <c r="K2" s="604"/>
      <c r="L2" s="604"/>
      <c r="M2" s="604"/>
      <c r="N2" s="604"/>
      <c r="O2" s="604"/>
      <c r="P2" s="379"/>
      <c r="Q2" s="379"/>
      <c r="R2" s="379"/>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80" t="s">
        <v>132</v>
      </c>
      <c r="C4" s="380"/>
      <c r="D4" s="380"/>
      <c r="E4" s="380"/>
      <c r="F4" s="380"/>
      <c r="G4" s="380"/>
      <c r="H4" s="380"/>
      <c r="I4" s="380" t="s">
        <v>133</v>
      </c>
      <c r="J4" s="603" t="s">
        <v>134</v>
      </c>
      <c r="K4" s="603"/>
      <c r="L4" s="603"/>
      <c r="M4" s="603"/>
      <c r="N4" s="603"/>
      <c r="O4" s="603"/>
      <c r="P4" s="381"/>
      <c r="Q4" s="381"/>
      <c r="R4" s="382"/>
      <c r="S4" s="22"/>
    </row>
    <row r="5" spans="1:19" ht="29.25" customHeight="1">
      <c r="A5" s="23"/>
      <c r="B5" s="383"/>
      <c r="C5" s="383"/>
      <c r="D5" s="383"/>
      <c r="E5" s="383"/>
      <c r="F5" s="383"/>
      <c r="G5" s="383"/>
      <c r="H5" s="383"/>
      <c r="I5" s="384"/>
      <c r="J5" s="596" t="s">
        <v>117</v>
      </c>
      <c r="K5" s="596"/>
      <c r="L5" s="596"/>
      <c r="M5" s="596"/>
      <c r="N5" s="608" t="s">
        <v>189</v>
      </c>
      <c r="O5" s="608"/>
      <c r="P5" s="608"/>
      <c r="Q5" s="385"/>
      <c r="R5" s="385"/>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599" t="str">
        <f>_xlfn.CONCAT("PERIODO ", N5)</f>
        <v>PERIODO JUNIO - 2025</v>
      </c>
      <c r="D8" s="600"/>
      <c r="E8" s="601"/>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2" t="s">
        <v>5</v>
      </c>
      <c r="D10" s="602"/>
      <c r="E10" s="602"/>
      <c r="G10" s="76" t="s">
        <v>8</v>
      </c>
      <c r="H10" s="45"/>
      <c r="I10" s="45"/>
      <c r="J10" s="36"/>
      <c r="K10" s="46">
        <v>34</v>
      </c>
      <c r="L10" s="45"/>
      <c r="M10" s="36">
        <v>0</v>
      </c>
      <c r="N10" s="45"/>
      <c r="O10" s="36">
        <v>0</v>
      </c>
      <c r="P10" s="45"/>
      <c r="Q10" s="45"/>
      <c r="R10" s="47">
        <f>SUM($K10:$O10)</f>
        <v>34</v>
      </c>
      <c r="S10" s="22"/>
    </row>
    <row r="11" spans="1:19" ht="36" customHeight="1">
      <c r="A11" s="23"/>
      <c r="C11" s="69" t="s">
        <v>6</v>
      </c>
      <c r="D11" s="595">
        <f>R13</f>
        <v>6</v>
      </c>
      <c r="E11" s="595"/>
      <c r="G11" s="48" t="s">
        <v>9</v>
      </c>
      <c r="H11" s="45"/>
      <c r="I11" s="45"/>
      <c r="J11" s="36"/>
      <c r="K11" s="46">
        <v>77</v>
      </c>
      <c r="L11" s="45"/>
      <c r="M11" s="36">
        <v>1</v>
      </c>
      <c r="N11" s="45"/>
      <c r="O11" s="36">
        <v>0</v>
      </c>
      <c r="P11" s="45"/>
      <c r="Q11" s="45"/>
      <c r="R11" s="47">
        <f>SUM($K11:$O11)</f>
        <v>78</v>
      </c>
      <c r="S11" s="22"/>
    </row>
    <row r="12" spans="1:19" ht="43.5" customHeight="1">
      <c r="A12" s="23"/>
      <c r="C12" s="61" t="s">
        <v>7</v>
      </c>
      <c r="D12" s="595">
        <f>R12</f>
        <v>4</v>
      </c>
      <c r="E12" s="595"/>
      <c r="G12" s="48" t="s">
        <v>7</v>
      </c>
      <c r="H12" s="45"/>
      <c r="I12" s="45"/>
      <c r="J12" s="36"/>
      <c r="K12" s="46">
        <v>4</v>
      </c>
      <c r="L12" s="45"/>
      <c r="M12" s="36">
        <v>0</v>
      </c>
      <c r="N12" s="45"/>
      <c r="O12" s="36">
        <v>0</v>
      </c>
      <c r="P12" s="45"/>
      <c r="Q12" s="45"/>
      <c r="R12" s="47">
        <f>SUM($K12:$O12)</f>
        <v>4</v>
      </c>
      <c r="S12" s="22"/>
    </row>
    <row r="13" spans="1:19" ht="36.75" customHeight="1">
      <c r="A13" s="23"/>
      <c r="C13" s="61" t="s">
        <v>8</v>
      </c>
      <c r="D13" s="595">
        <f>R10</f>
        <v>34</v>
      </c>
      <c r="E13" s="595"/>
      <c r="G13" s="77" t="s">
        <v>6</v>
      </c>
      <c r="H13" s="49"/>
      <c r="I13" s="45"/>
      <c r="J13" s="36"/>
      <c r="K13" s="46">
        <v>6</v>
      </c>
      <c r="L13" s="45"/>
      <c r="M13" s="36">
        <v>0</v>
      </c>
      <c r="N13" s="45"/>
      <c r="O13" s="36">
        <v>0</v>
      </c>
      <c r="P13" s="45"/>
      <c r="Q13" s="45"/>
      <c r="R13" s="47">
        <f>SUM($K13:$O13)</f>
        <v>6</v>
      </c>
      <c r="S13" s="22"/>
    </row>
    <row r="14" spans="1:19" ht="53.25" customHeight="1">
      <c r="A14" s="23"/>
      <c r="C14" s="61" t="s">
        <v>9</v>
      </c>
      <c r="D14" s="595">
        <f>R11</f>
        <v>78</v>
      </c>
      <c r="E14" s="595"/>
      <c r="G14" s="54" t="s">
        <v>10</v>
      </c>
      <c r="H14" s="50"/>
      <c r="I14" s="51"/>
      <c r="J14" s="52"/>
      <c r="K14" s="52">
        <f>SUM(K10:K13)</f>
        <v>121</v>
      </c>
      <c r="L14" s="51"/>
      <c r="M14" s="52">
        <f>SUM(M10:M13)</f>
        <v>1</v>
      </c>
      <c r="N14" s="51"/>
      <c r="O14" s="52">
        <f>SUM(O10:O13)</f>
        <v>0</v>
      </c>
      <c r="P14" s="51"/>
      <c r="Q14" s="51"/>
      <c r="R14" s="53">
        <f>SUM(R10:R13)</f>
        <v>122</v>
      </c>
      <c r="S14" s="22"/>
    </row>
    <row r="15" spans="1:19" ht="38.25" customHeight="1">
      <c r="A15" s="23"/>
      <c r="C15" s="37" t="s">
        <v>11</v>
      </c>
      <c r="D15" s="594">
        <f>R14</f>
        <v>122</v>
      </c>
      <c r="E15" s="594"/>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605" t="s">
        <v>12</v>
      </c>
      <c r="D24" s="606"/>
      <c r="E24" s="607"/>
      <c r="S24" s="22"/>
    </row>
    <row r="25" spans="1:19" ht="32.25" customHeight="1">
      <c r="A25" s="23"/>
      <c r="C25" s="38" t="s">
        <v>6</v>
      </c>
      <c r="D25" s="597">
        <f>SUM(M13:O13)</f>
        <v>0</v>
      </c>
      <c r="E25" s="598"/>
      <c r="S25" s="22"/>
    </row>
    <row r="26" spans="1:19" ht="33.75" customHeight="1">
      <c r="A26" s="23"/>
      <c r="C26" s="39" t="s">
        <v>7</v>
      </c>
      <c r="D26" s="597">
        <f>SUM(M12:O12)</f>
        <v>0</v>
      </c>
      <c r="E26" s="598"/>
      <c r="S26" s="22"/>
    </row>
    <row r="27" spans="1:19" ht="38.25" customHeight="1">
      <c r="A27" s="23"/>
      <c r="C27" s="39" t="s">
        <v>8</v>
      </c>
      <c r="D27" s="595">
        <f>SUM(M10:O10)</f>
        <v>0</v>
      </c>
      <c r="E27" s="595"/>
      <c r="S27" s="22"/>
    </row>
    <row r="28" spans="1:19" ht="25.5" customHeight="1">
      <c r="A28" s="23"/>
      <c r="C28" s="39" t="s">
        <v>9</v>
      </c>
      <c r="D28" s="595">
        <f>SUM(M11:O11)</f>
        <v>1</v>
      </c>
      <c r="E28" s="595"/>
      <c r="S28" s="22"/>
    </row>
    <row r="29" spans="1:19" ht="33" customHeight="1">
      <c r="A29" s="23"/>
      <c r="C29" s="37" t="s">
        <v>11</v>
      </c>
      <c r="D29" s="593">
        <f>SUM(M14:O14)</f>
        <v>1</v>
      </c>
      <c r="E29" s="593"/>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5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26"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9" t="s">
        <v>116</v>
      </c>
      <c r="B2" s="610"/>
      <c r="C2" s="610"/>
      <c r="D2" s="610"/>
      <c r="E2" s="610"/>
      <c r="F2" s="610"/>
      <c r="G2" s="610"/>
      <c r="H2" s="610"/>
      <c r="I2" s="610"/>
      <c r="J2" s="610"/>
      <c r="K2" s="610"/>
      <c r="L2" s="610"/>
      <c r="M2" s="610"/>
      <c r="N2" s="610"/>
      <c r="O2" s="610"/>
      <c r="P2" s="610"/>
      <c r="Q2" s="610"/>
      <c r="R2" s="610"/>
      <c r="S2" s="610"/>
      <c r="T2" s="611" t="s">
        <v>189</v>
      </c>
      <c r="U2" s="611"/>
      <c r="V2" s="611"/>
      <c r="W2" s="611"/>
      <c r="X2" s="611"/>
      <c r="Y2" s="611"/>
      <c r="Z2" s="611"/>
      <c r="AA2" s="612"/>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3" t="s">
        <v>40</v>
      </c>
      <c r="B1" s="614"/>
      <c r="C1" s="614"/>
      <c r="D1" s="614"/>
      <c r="E1" s="614"/>
      <c r="F1" s="614"/>
      <c r="G1" s="614"/>
      <c r="H1" s="614"/>
      <c r="I1" s="614"/>
      <c r="J1" s="614"/>
      <c r="K1" s="614"/>
      <c r="L1" s="614"/>
      <c r="M1" s="614"/>
      <c r="N1" s="614"/>
      <c r="O1" s="614"/>
      <c r="P1" s="614"/>
      <c r="Q1" s="614"/>
      <c r="R1" s="614"/>
    </row>
    <row r="2" spans="1:21" ht="19.5" thickBot="1">
      <c r="A2" s="615" t="s">
        <v>189</v>
      </c>
      <c r="B2" s="616"/>
      <c r="C2" s="616"/>
      <c r="D2" s="616"/>
      <c r="E2" s="616"/>
      <c r="F2" s="616"/>
      <c r="G2" s="616"/>
      <c r="H2" s="616"/>
      <c r="I2" s="616"/>
      <c r="J2" s="616"/>
      <c r="K2" s="616"/>
      <c r="L2" s="616"/>
      <c r="M2" s="616"/>
      <c r="N2" s="616"/>
      <c r="O2" s="616"/>
      <c r="P2" s="616"/>
      <c r="Q2" s="616"/>
      <c r="R2" s="616"/>
    </row>
    <row r="3" spans="1:21">
      <c r="A3" s="315"/>
      <c r="B3" s="3"/>
      <c r="C3" s="3"/>
      <c r="D3" s="3"/>
      <c r="E3" s="3"/>
      <c r="F3" s="3"/>
      <c r="G3" s="3"/>
      <c r="H3" s="3"/>
      <c r="I3" s="3"/>
      <c r="J3" s="3"/>
      <c r="K3" s="3"/>
      <c r="L3" s="3"/>
      <c r="M3" s="3"/>
      <c r="N3" s="3"/>
      <c r="O3" s="3"/>
      <c r="P3" s="3"/>
      <c r="Q3" s="3"/>
      <c r="R3" s="3"/>
    </row>
    <row r="4" spans="1:21" ht="15.75" thickBot="1">
      <c r="A4" s="315"/>
      <c r="B4" s="316"/>
      <c r="C4" s="316"/>
      <c r="D4" s="3"/>
      <c r="E4" s="3"/>
      <c r="F4" s="3"/>
      <c r="G4" s="3"/>
      <c r="H4" s="3"/>
      <c r="I4" s="3"/>
      <c r="J4" s="3"/>
      <c r="K4" s="3"/>
      <c r="L4" s="3"/>
      <c r="M4" s="3"/>
      <c r="N4" s="3"/>
      <c r="O4" s="3"/>
      <c r="P4" s="3"/>
      <c r="Q4" s="3"/>
      <c r="R4" s="3"/>
    </row>
    <row r="5" spans="1:21" ht="88.5" customHeight="1" thickBot="1">
      <c r="A5" s="315"/>
      <c r="B5" s="333" t="s">
        <v>41</v>
      </c>
      <c r="C5" s="617" t="s">
        <v>42</v>
      </c>
      <c r="D5" s="617"/>
      <c r="E5" s="617"/>
      <c r="F5" s="617" t="s">
        <v>43</v>
      </c>
      <c r="G5" s="617"/>
      <c r="H5" s="617"/>
      <c r="I5" s="617" t="s">
        <v>146</v>
      </c>
      <c r="J5" s="617"/>
      <c r="K5" s="617"/>
      <c r="L5" s="617" t="s">
        <v>44</v>
      </c>
      <c r="M5" s="617"/>
      <c r="N5" s="617"/>
      <c r="O5" s="617" t="s">
        <v>147</v>
      </c>
      <c r="P5" s="617"/>
      <c r="Q5" s="618"/>
      <c r="R5" s="313"/>
      <c r="S5" s="312"/>
      <c r="T5" s="3"/>
      <c r="U5" s="3"/>
    </row>
    <row r="6" spans="1:21" ht="21">
      <c r="A6" s="315"/>
      <c r="B6" s="334" t="s">
        <v>23</v>
      </c>
      <c r="C6" s="319"/>
      <c r="D6" s="320">
        <f>IF(data_status_reg!$E4="bajo",0,IF(data_status_reg!$E4="medio",0.5,IF(data_status_reg!$E4="alto",1,"falta riesgo")))</f>
        <v>0</v>
      </c>
      <c r="E6" s="321"/>
      <c r="F6" s="321"/>
      <c r="G6" s="320">
        <f>IF(data_status_reg!$E20="bajo",0,IF(data_status_reg!$E20="medio",0.5,IF(data_status_reg!$E20="alto",1,"falta riesgo")))</f>
        <v>0</v>
      </c>
      <c r="H6" s="321"/>
      <c r="I6" s="321"/>
      <c r="J6" s="320">
        <f>IF(data_status_reg!$E36="bajo",0,IF(data_status_reg!$E36="medio",0.5,IF(data_status_reg!$E36="alto",1,"falta riesgo")))</f>
        <v>0</v>
      </c>
      <c r="K6" s="321"/>
      <c r="L6" s="321"/>
      <c r="M6" s="320">
        <f>IF(data_status_reg!$E52="bajo",0,IF(data_status_reg!$E52="medio",0.5,IF(data_status_reg!$E52="alto",1,"falta riesgo")))</f>
        <v>0</v>
      </c>
      <c r="N6" s="322"/>
      <c r="O6" s="336"/>
      <c r="P6" s="320">
        <f>IF(data_status_reg!$E68="bajo",0,IF(data_status_reg!$E68="medio",0.5,IF(data_status_reg!$E68="alto",1,"falta riesgo")))</f>
        <v>0</v>
      </c>
      <c r="Q6" s="323"/>
      <c r="R6" s="314"/>
    </row>
    <row r="7" spans="1:21" ht="21">
      <c r="A7" s="315"/>
      <c r="B7" s="334" t="s">
        <v>24</v>
      </c>
      <c r="C7" s="324"/>
      <c r="D7" s="309">
        <f>IF(data_status_reg!$E5="bajo",0,IF(data_status_reg!$E5="medio",0.5,IF(data_status_reg!$E5="alto",1,"falta riesgo")))</f>
        <v>0</v>
      </c>
      <c r="E7" s="310"/>
      <c r="F7" s="310"/>
      <c r="G7" s="309">
        <f>IF(data_status_reg!$E21="bajo",0,IF(data_status_reg!$E21="medio",0.5,IF(data_status_reg!$E21="alto",1,"falta riesgo")))</f>
        <v>0</v>
      </c>
      <c r="H7" s="310"/>
      <c r="I7" s="310"/>
      <c r="J7" s="309">
        <f>IF(data_status_reg!$E37="bajo",0,IF(data_status_reg!$E37="medio",0.5,IF(data_status_reg!$E37="alto",1,"falta riesgo")))</f>
        <v>0</v>
      </c>
      <c r="K7" s="310"/>
      <c r="L7" s="310"/>
      <c r="M7" s="309">
        <f>IF(data_status_reg!$E53="bajo",0,IF(data_status_reg!$E53="medio",0.5,IF(data_status_reg!$E53="alto",1,"falta riesgo")))</f>
        <v>0</v>
      </c>
      <c r="N7" s="307"/>
      <c r="O7" s="337"/>
      <c r="P7" s="309">
        <f>IF(data_status_reg!$E69="bajo",0,IF(data_status_reg!$E69="medio",0.5,IF(data_status_reg!$E69="alto",1,"falta riesgo")))</f>
        <v>0</v>
      </c>
      <c r="Q7" s="325"/>
      <c r="R7" s="3"/>
    </row>
    <row r="8" spans="1:21" ht="21">
      <c r="A8" s="315"/>
      <c r="B8" s="334" t="s">
        <v>25</v>
      </c>
      <c r="C8" s="324"/>
      <c r="D8" s="309">
        <f>IF(data_status_reg!$E6="bajo",0,IF(data_status_reg!$E6="medio",0.5,IF(data_status_reg!$E6="alto",1,"falta riesgo")))</f>
        <v>0</v>
      </c>
      <c r="E8" s="310"/>
      <c r="F8" s="310"/>
      <c r="G8" s="309">
        <f>IF(data_status_reg!$E22="bajo",0,IF(data_status_reg!$E22="medio",0.5,IF(data_status_reg!$E22="alto",1,"falta riesgo")))</f>
        <v>0</v>
      </c>
      <c r="H8" s="310"/>
      <c r="I8" s="310"/>
      <c r="J8" s="309">
        <f>IF(data_status_reg!$E38="bajo",0,IF(data_status_reg!$E38="medio",0.5,IF(data_status_reg!$E38="alto",1,"falta riesgo")))</f>
        <v>0</v>
      </c>
      <c r="K8" s="310"/>
      <c r="L8" s="310"/>
      <c r="M8" s="309">
        <f>IF(data_status_reg!$E54="bajo",0,IF(data_status_reg!$E54="medio",0.5,IF(data_status_reg!$E54="alto",1,"falta riesgo")))</f>
        <v>0</v>
      </c>
      <c r="N8" s="307"/>
      <c r="O8" s="337"/>
      <c r="P8" s="309">
        <f>IF(data_status_reg!$E70="bajo",0,IF(data_status_reg!$E70="medio",0.5,IF(data_status_reg!$E70="alto",1,"falta riesgo")))</f>
        <v>0</v>
      </c>
      <c r="Q8" s="325"/>
      <c r="R8" s="3"/>
    </row>
    <row r="9" spans="1:21" ht="21">
      <c r="A9" s="315"/>
      <c r="B9" s="334" t="s">
        <v>26</v>
      </c>
      <c r="C9" s="324"/>
      <c r="D9" s="309">
        <f>IF(data_status_reg!$E7="bajo",0,IF(data_status_reg!$E7="medio",0.5,IF(data_status_reg!$E7="alto",1,"falta riesgo")))</f>
        <v>0</v>
      </c>
      <c r="E9" s="310"/>
      <c r="F9" s="310"/>
      <c r="G9" s="309">
        <f>IF(data_status_reg!$E23="bajo",0,IF(data_status_reg!$E23="medio",0.5,IF(data_status_reg!$E23="alto",1,"falta riesgo")))</f>
        <v>0</v>
      </c>
      <c r="H9" s="310"/>
      <c r="I9" s="310"/>
      <c r="J9" s="309">
        <f>IF(data_status_reg!$E39="bajo",0,IF(data_status_reg!$E39="medio",0.5,IF(data_status_reg!$E39="alto",1,"falta riesgo")))</f>
        <v>0</v>
      </c>
      <c r="K9" s="310"/>
      <c r="L9" s="310"/>
      <c r="M9" s="309">
        <f>IF(data_status_reg!$E55="bajo",0,IF(data_status_reg!$E55="medio",0.5,IF(data_status_reg!$E55="alto",1,"falta riesgo")))</f>
        <v>0</v>
      </c>
      <c r="N9" s="307"/>
      <c r="O9" s="337"/>
      <c r="P9" s="309">
        <f>IF(data_status_reg!$E71="bajo",0,IF(data_status_reg!$E71="medio",0.5,IF(data_status_reg!$E71="alto",1,"falta riesgo")))</f>
        <v>0</v>
      </c>
      <c r="Q9" s="325"/>
      <c r="R9" s="3"/>
    </row>
    <row r="10" spans="1:21" ht="21">
      <c r="A10" s="315"/>
      <c r="B10" s="334" t="s">
        <v>27</v>
      </c>
      <c r="C10" s="324"/>
      <c r="D10" s="309">
        <f>IF(data_status_reg!$E8="bajo",0,IF(data_status_reg!$E8="medio",0.5,IF(data_status_reg!$E8="alto",1,"falta riesgo")))</f>
        <v>0</v>
      </c>
      <c r="E10" s="310"/>
      <c r="F10" s="310"/>
      <c r="G10" s="309">
        <f>IF(data_status_reg!$E24="bajo",0,IF(data_status_reg!$E24="medio",0.5,IF(data_status_reg!$E24="alto",1,"falta riesgo")))</f>
        <v>0</v>
      </c>
      <c r="H10" s="310"/>
      <c r="I10" s="310"/>
      <c r="J10" s="309">
        <f>IF(data_status_reg!$E40="bajo",0,IF(data_status_reg!$E40="medio",0.5,IF(data_status_reg!$E40="alto",1,"falta riesgo")))</f>
        <v>0</v>
      </c>
      <c r="K10" s="310"/>
      <c r="L10" s="310"/>
      <c r="M10" s="309">
        <f>IF(data_status_reg!$E56="bajo",0,IF(data_status_reg!$E56="medio",0.5,IF(data_status_reg!$E56="alto",1,"falta riesgo")))</f>
        <v>0</v>
      </c>
      <c r="N10" s="307"/>
      <c r="O10" s="337"/>
      <c r="P10" s="309">
        <f>IF(data_status_reg!$E72="bajo",0,IF(data_status_reg!$E72="medio",0.5,IF(data_status_reg!$E72="alto",1,"falta riesgo")))</f>
        <v>0</v>
      </c>
      <c r="Q10" s="325"/>
      <c r="R10" s="3"/>
    </row>
    <row r="11" spans="1:21" ht="21">
      <c r="A11" s="315"/>
      <c r="B11" s="334" t="s">
        <v>28</v>
      </c>
      <c r="C11" s="324"/>
      <c r="D11" s="309">
        <f>IF(data_status_reg!$E9="bajo",0,IF(data_status_reg!$E9="medio",0.5,IF(data_status_reg!$E9="alto",1,"falta riesgo")))</f>
        <v>0</v>
      </c>
      <c r="E11" s="310"/>
      <c r="F11" s="310"/>
      <c r="G11" s="309">
        <f>IF(data_status_reg!$E25="bajo",0,IF(data_status_reg!$E25="medio",0.5,IF(data_status_reg!$E25="alto",1,"falta riesgo")))</f>
        <v>0</v>
      </c>
      <c r="H11" s="310"/>
      <c r="I11" s="310"/>
      <c r="J11" s="309">
        <f>IF(data_status_reg!$E41="bajo",0,IF(data_status_reg!$E41="medio",0.5,IF(data_status_reg!$E41="alto",1,"falta riesgo")))</f>
        <v>0</v>
      </c>
      <c r="K11" s="310"/>
      <c r="L11" s="310"/>
      <c r="M11" s="309">
        <f>IF(data_status_reg!$E57="bajo",0,IF(data_status_reg!$E57="medio",0.5,IF(data_status_reg!$E57="alto",1,"falta riesgo")))</f>
        <v>0</v>
      </c>
      <c r="N11" s="307"/>
      <c r="O11" s="337"/>
      <c r="P11" s="309">
        <f>IF(data_status_reg!$E73="bajo",0,IF(data_status_reg!$E73="medio",0.5,IF(data_status_reg!$E73="alto",1,"falta riesgo")))</f>
        <v>0</v>
      </c>
      <c r="Q11" s="325"/>
      <c r="R11" s="3"/>
    </row>
    <row r="12" spans="1:21" ht="21">
      <c r="A12" s="315"/>
      <c r="B12" s="334" t="s">
        <v>29</v>
      </c>
      <c r="C12" s="324"/>
      <c r="D12" s="309">
        <f>IF(data_status_reg!$E10="bajo",0,IF(data_status_reg!$E10="medio",0.5,IF(data_status_reg!$E10="alto",1,"falta riesgo")))</f>
        <v>0</v>
      </c>
      <c r="E12" s="310"/>
      <c r="F12" s="310"/>
      <c r="G12" s="309">
        <f>IF(data_status_reg!$E26="bajo",0,IF(data_status_reg!$E26="medio",0.5,IF(data_status_reg!$E26="alto",1,"falta riesgo")))</f>
        <v>0</v>
      </c>
      <c r="H12" s="310"/>
      <c r="I12" s="311"/>
      <c r="J12" s="309">
        <f>IF(data_status_reg!$E42="bajo",0,IF(data_status_reg!$E42="medio",0.5,IF(data_status_reg!$E42="alto",1,"falta riesgo")))</f>
        <v>0</v>
      </c>
      <c r="K12" s="311"/>
      <c r="L12" s="311"/>
      <c r="M12" s="309">
        <f>IF(data_status_reg!$E58="bajo",0,IF(data_status_reg!$E58="medio",0.5,IF(data_status_reg!$E58="alto",1,"falta riesgo")))</f>
        <v>0</v>
      </c>
      <c r="N12" s="308"/>
      <c r="O12" s="338"/>
      <c r="P12" s="309">
        <f>IF(data_status_reg!$E74="bajo",0,IF(data_status_reg!$E74="medio",0.5,IF(data_status_reg!$E74="alto",1,"falta riesgo")))</f>
        <v>0</v>
      </c>
      <c r="Q12" s="325"/>
      <c r="R12" s="3"/>
    </row>
    <row r="13" spans="1:21" ht="21">
      <c r="A13" s="315"/>
      <c r="B13" s="334" t="s">
        <v>30</v>
      </c>
      <c r="C13" s="324"/>
      <c r="D13" s="309">
        <f>IF(data_status_reg!$E11="bajo",0,IF(data_status_reg!$E11="medio",0.5,IF(data_status_reg!$E11="alto",1,"falta riesgo")))</f>
        <v>0.5</v>
      </c>
      <c r="E13" s="310"/>
      <c r="F13" s="310"/>
      <c r="G13" s="309">
        <f>IF(data_status_reg!$E27="bajo",0,IF(data_status_reg!$E27="medio",0.5,IF(data_status_reg!$E27="alto",1,"falta riesgo")))</f>
        <v>0</v>
      </c>
      <c r="H13" s="310"/>
      <c r="I13" s="310"/>
      <c r="J13" s="309">
        <f>IF(data_status_reg!$E43="bajo",0,IF(data_status_reg!$E43="medio",0.5,IF(data_status_reg!$E43="alto",1,"falta riesgo")))</f>
        <v>0</v>
      </c>
      <c r="K13" s="310"/>
      <c r="L13" s="310"/>
      <c r="M13" s="309">
        <f>IF(data_status_reg!$E59="bajo",0,IF(data_status_reg!$E59="medio",0.5,IF(data_status_reg!$E59="alto",1,"falta riesgo")))</f>
        <v>0</v>
      </c>
      <c r="N13" s="307"/>
      <c r="O13" s="337"/>
      <c r="P13" s="309">
        <f>IF(data_status_reg!$E75="bajo",0,IF(data_status_reg!$E75="medio",0.5,IF(data_status_reg!$E75="alto",1,"falta riesgo")))</f>
        <v>0</v>
      </c>
      <c r="Q13" s="325"/>
      <c r="R13" s="3"/>
      <c r="U13" s="10"/>
    </row>
    <row r="14" spans="1:21" ht="21">
      <c r="A14" s="315"/>
      <c r="B14" s="334" t="s">
        <v>31</v>
      </c>
      <c r="C14" s="324"/>
      <c r="D14" s="309">
        <f>IF(data_status_reg!$E12="bajo",0,IF(data_status_reg!$E12="medio",0.5,IF(data_status_reg!$E12="alto",1,"falta riesgo")))</f>
        <v>0</v>
      </c>
      <c r="E14" s="310"/>
      <c r="F14" s="310"/>
      <c r="G14" s="309">
        <f>IF(data_status_reg!$E28="bajo",0,IF(data_status_reg!$E28="medio",0.5,IF(data_status_reg!$E28="alto",1,"falta riesgo")))</f>
        <v>0</v>
      </c>
      <c r="H14" s="310"/>
      <c r="I14" s="310"/>
      <c r="J14" s="309">
        <f>IF(data_status_reg!$E44="bajo",0,IF(data_status_reg!$E44="medio",0.5,IF(data_status_reg!$E44="alto",1,"falta riesgo")))</f>
        <v>0</v>
      </c>
      <c r="K14" s="310"/>
      <c r="L14" s="310"/>
      <c r="M14" s="309">
        <f>IF(data_status_reg!$E60="bajo",0,IF(data_status_reg!$E60="medio",0.5,IF(data_status_reg!$E60="alto",1,"falta riesgo")))</f>
        <v>0</v>
      </c>
      <c r="N14" s="307"/>
      <c r="O14" s="337"/>
      <c r="P14" s="309">
        <f>IF(data_status_reg!$E76="bajo",0,IF(data_status_reg!$E76="medio",0.5,IF(data_status_reg!$E76="alto",1,"falta riesgo")))</f>
        <v>0</v>
      </c>
      <c r="Q14" s="325"/>
      <c r="R14" s="3"/>
    </row>
    <row r="15" spans="1:21" ht="21">
      <c r="A15" s="315"/>
      <c r="B15" s="334" t="s">
        <v>32</v>
      </c>
      <c r="C15" s="324"/>
      <c r="D15" s="309">
        <f>IF(data_status_reg!$E13="bajo",0,IF(data_status_reg!$E13="medio",0.5,IF(data_status_reg!$E13="alto",1,"falta riesgo")))</f>
        <v>0</v>
      </c>
      <c r="E15" s="310"/>
      <c r="F15" s="310"/>
      <c r="G15" s="309">
        <f>IF(data_status_reg!$E29="bajo",0,IF(data_status_reg!$E29="medio",0.5,IF(data_status_reg!$E29="alto",1,"falta riesgo")))</f>
        <v>0</v>
      </c>
      <c r="H15" s="310"/>
      <c r="I15" s="311"/>
      <c r="J15" s="309">
        <f>IF(data_status_reg!$E45="bajo",0,IF(data_status_reg!$E45="medio",0.5,IF(data_status_reg!$E45="alto",1,"falta riesgo")))</f>
        <v>0</v>
      </c>
      <c r="K15" s="311"/>
      <c r="L15" s="311"/>
      <c r="M15" s="309">
        <f>IF(data_status_reg!$E61="bajo",0,IF(data_status_reg!$E61="medio",0.5,IF(data_status_reg!$E61="alto",1,"falta riesgo")))</f>
        <v>0</v>
      </c>
      <c r="N15" s="308"/>
      <c r="O15" s="338"/>
      <c r="P15" s="309">
        <f>IF(data_status_reg!$E77="bajo",0,IF(data_status_reg!$E77="medio",0.5,IF(data_status_reg!$E77="alto",1,"falta riesgo")))</f>
        <v>0</v>
      </c>
      <c r="Q15" s="325"/>
      <c r="R15" s="3"/>
    </row>
    <row r="16" spans="1:21" ht="21">
      <c r="A16" s="315"/>
      <c r="B16" s="334" t="s">
        <v>33</v>
      </c>
      <c r="C16" s="324"/>
      <c r="D16" s="309">
        <f>IF(data_status_reg!$E14="bajo",0,IF(data_status_reg!$E14="medio",0.5,IF(data_status_reg!$E14="alto",1,"falta riesgo")))</f>
        <v>0</v>
      </c>
      <c r="E16" s="310"/>
      <c r="F16" s="310"/>
      <c r="G16" s="309">
        <f>IF(data_status_reg!$E30="bajo",0,IF(data_status_reg!$E30="medio",0.5,IF(data_status_reg!$E30="alto",1,"falta riesgo")))</f>
        <v>0</v>
      </c>
      <c r="H16" s="310"/>
      <c r="I16" s="310"/>
      <c r="J16" s="309">
        <f>IF(data_status_reg!$E46="bajo",0,IF(data_status_reg!$E46="medio",0.5,IF(data_status_reg!$E46="alto",1,"falta riesgo")))</f>
        <v>0</v>
      </c>
      <c r="K16" s="310"/>
      <c r="L16" s="310"/>
      <c r="M16" s="309">
        <f>IF(data_status_reg!$E62="bajo",0,IF(data_status_reg!$E62="medio",0.5,IF(data_status_reg!$E62="alto",1,"falta riesgo")))</f>
        <v>0</v>
      </c>
      <c r="N16" s="307"/>
      <c r="O16" s="337"/>
      <c r="P16" s="309">
        <f>IF(data_status_reg!$E78="bajo",0,IF(data_status_reg!$E78="medio",0.5,IF(data_status_reg!$E78="alto",1,"falta riesgo")))</f>
        <v>0</v>
      </c>
      <c r="Q16" s="325"/>
      <c r="R16" s="3"/>
    </row>
    <row r="17" spans="1:18" ht="21">
      <c r="A17" s="315"/>
      <c r="B17" s="334" t="s">
        <v>34</v>
      </c>
      <c r="C17" s="324"/>
      <c r="D17" s="309">
        <f>IF(data_status_reg!$E15="bajo",0,IF(data_status_reg!$E15="medio",0.5,IF(data_status_reg!$E15="alto",1,"falta riesgo")))</f>
        <v>0</v>
      </c>
      <c r="E17" s="310"/>
      <c r="F17" s="310"/>
      <c r="G17" s="309">
        <f>IF(data_status_reg!$E31="bajo",0,IF(data_status_reg!$E31="medio",0.5,IF(data_status_reg!$E31="alto",1,"falta riesgo")))</f>
        <v>0</v>
      </c>
      <c r="H17" s="310"/>
      <c r="I17" s="310"/>
      <c r="J17" s="309">
        <f>IF(data_status_reg!$E47="bajo",0,IF(data_status_reg!$E47="medio",0.5,IF(data_status_reg!$E47="alto",1,"falta riesgo")))</f>
        <v>0</v>
      </c>
      <c r="K17" s="310"/>
      <c r="L17" s="310"/>
      <c r="M17" s="309">
        <f>IF(data_status_reg!$E63="bajo",0,IF(data_status_reg!$E63="medio",0.5,IF(data_status_reg!$E63="alto",1,"falta riesgo")))</f>
        <v>0</v>
      </c>
      <c r="N17" s="307"/>
      <c r="O17" s="337"/>
      <c r="P17" s="309">
        <f>IF(data_status_reg!$E79="bajo",0,IF(data_status_reg!$E79="medio",0.5,IF(data_status_reg!$E79="alto",1,"falta riesgo")))</f>
        <v>0</v>
      </c>
      <c r="Q17" s="325"/>
      <c r="R17" s="3"/>
    </row>
    <row r="18" spans="1:18" ht="21">
      <c r="A18" s="315"/>
      <c r="B18" s="334" t="s">
        <v>35</v>
      </c>
      <c r="C18" s="324"/>
      <c r="D18" s="309">
        <f>IF(data_status_reg!$E16="bajo",0,IF(data_status_reg!$E16="medio",0.5,IF(data_status_reg!$E16="alto",1,"falta riesgo")))</f>
        <v>0</v>
      </c>
      <c r="E18" s="310"/>
      <c r="F18" s="310"/>
      <c r="G18" s="340" t="s">
        <v>45</v>
      </c>
      <c r="H18" s="310"/>
      <c r="I18" s="310"/>
      <c r="J18" s="309">
        <f>IF(data_status_reg!$E48="bajo",0,IF(data_status_reg!$E48="medio",0.5,IF(data_status_reg!$E48="alto",1,"falta riesgo")))</f>
        <v>0</v>
      </c>
      <c r="K18" s="310"/>
      <c r="M18" s="309">
        <f>IF(data_status_reg!$E64="bajo",0,IF(data_status_reg!$E64="medio",0.5,IF(data_status_reg!$E64="alto",1,"falta riesgo")))</f>
        <v>0</v>
      </c>
      <c r="N18" s="308"/>
      <c r="O18" s="338"/>
      <c r="P18" s="309">
        <f>IF(data_status_reg!$E80="bajo",0,IF(data_status_reg!$E80="medio",0.5,IF(data_status_reg!$E80="alto",1,"falta riesgo")))</f>
        <v>0</v>
      </c>
      <c r="Q18" s="325"/>
      <c r="R18" s="3"/>
    </row>
    <row r="19" spans="1:18" ht="21">
      <c r="A19" s="315"/>
      <c r="B19" s="334" t="s">
        <v>36</v>
      </c>
      <c r="C19" s="324"/>
      <c r="D19" s="309">
        <f>IF(data_status_reg!$E17="bajo",0,IF(data_status_reg!$E17="medio",0.5,IF(data_status_reg!$E17="alto",1,"falta riesgo")))</f>
        <v>0</v>
      </c>
      <c r="E19" s="310"/>
      <c r="F19" s="310"/>
      <c r="G19" s="309">
        <f>IF(data_status_reg!$E33="bajo",0,IF(data_status_reg!$E33="medio",0.5,IF(data_status_reg!$E33="alto",1,"falta riesgo")))</f>
        <v>0</v>
      </c>
      <c r="H19" s="310"/>
      <c r="I19" s="310"/>
      <c r="J19" s="309">
        <f>IF(data_status_reg!$E49="bajo",0,IF(data_status_reg!$E49="medio",0.5,IF(data_status_reg!$E49="alto",1,"falta riesgo")))</f>
        <v>0</v>
      </c>
      <c r="K19" s="310"/>
      <c r="L19" s="310"/>
      <c r="M19" s="309">
        <f>IF(data_status_reg!$E65="bajo",0,IF(data_status_reg!$E65="medio",0.5,IF(data_status_reg!$E65="alto",1,"falta riesgo")))</f>
        <v>0</v>
      </c>
      <c r="N19" s="307"/>
      <c r="O19" s="337"/>
      <c r="P19" s="309">
        <f>IF(data_status_reg!$E81="bajo",0,IF(data_status_reg!$E81="medio",0.5,IF(data_status_reg!$E81="alto",1,"falta riesgo")))</f>
        <v>0</v>
      </c>
      <c r="Q19" s="325"/>
      <c r="R19" s="3"/>
    </row>
    <row r="20" spans="1:18" ht="21">
      <c r="A20" s="315"/>
      <c r="B20" s="334" t="s">
        <v>37</v>
      </c>
      <c r="C20" s="324"/>
      <c r="D20" s="309">
        <f>IF(data_status_reg!$E18="bajo",0,IF(data_status_reg!$E18="medio",0.5,IF(data_status_reg!$E18="alto",1,"falta riesgo")))</f>
        <v>0</v>
      </c>
      <c r="E20" s="310"/>
      <c r="F20" s="310"/>
      <c r="G20" s="309">
        <f>IF(data_status_reg!$E34="bajo",0,IF(data_status_reg!$E34="medio",0.5,IF(data_status_reg!$E34="alto",1,"falta riesgo")))</f>
        <v>0</v>
      </c>
      <c r="H20" s="310"/>
      <c r="I20" s="310"/>
      <c r="J20" s="309">
        <f>IF(data_status_reg!$E50="bajo",0,IF(data_status_reg!$E50="medio",0.5,IF(data_status_reg!$E50="alto",1,"falta riesgo")))</f>
        <v>0</v>
      </c>
      <c r="K20" s="310"/>
      <c r="L20" s="310"/>
      <c r="M20" s="309">
        <f>IF(data_status_reg!$E66="bajo",0,IF(data_status_reg!$E66="medio",0.5,IF(data_status_reg!$E66="alto",1,"falta riesgo")))</f>
        <v>0</v>
      </c>
      <c r="N20" s="307"/>
      <c r="O20" s="337"/>
      <c r="P20" s="309">
        <f>IF(data_status_reg!$E82="bajo",0,IF(data_status_reg!$E82="medio",0.5,IF(data_status_reg!$E82="alto",1,"falta riesgo")))</f>
        <v>0</v>
      </c>
      <c r="Q20" s="325"/>
      <c r="R20" s="3"/>
    </row>
    <row r="21" spans="1:18" ht="21.75" thickBot="1">
      <c r="A21" s="315"/>
      <c r="B21" s="335" t="s">
        <v>38</v>
      </c>
      <c r="C21" s="326"/>
      <c r="D21" s="327">
        <f>IF(data_status_reg!$E19="bajo",0,IF(data_status_reg!$E19="medio",0.5,IF(data_status_reg!$E19="alto",1,"falta riesgo")))</f>
        <v>0</v>
      </c>
      <c r="E21" s="328"/>
      <c r="F21" s="328"/>
      <c r="G21" s="341" t="s">
        <v>45</v>
      </c>
      <c r="H21" s="328"/>
      <c r="I21" s="328"/>
      <c r="J21" s="327">
        <f>IF(data_status_reg!$E51="bajo",0,IF(data_status_reg!$E51="medio",0.5,IF(data_status_reg!$E51="alto",1,"falta riesgo")))</f>
        <v>0</v>
      </c>
      <c r="K21" s="328"/>
      <c r="L21" s="329"/>
      <c r="M21" s="330">
        <f>IF(data_status_reg!$E67="bajo",0,IF(data_status_reg!$E67="medio",0.5,IF(data_status_reg!$E67="alto",1,"falta riesgo")))</f>
        <v>0</v>
      </c>
      <c r="N21" s="331"/>
      <c r="O21" s="339"/>
      <c r="P21" s="327">
        <f>IF(data_status_reg!$E83="bajo",0,IF(data_status_reg!$E83="medio",0.5,IF(data_status_reg!$E83="alto",1,"falta riesgo")))</f>
        <v>0</v>
      </c>
      <c r="Q21" s="332"/>
      <c r="R21" s="3"/>
    </row>
    <row r="22" spans="1:18">
      <c r="A22" s="315"/>
      <c r="B22" s="3"/>
      <c r="C22" s="3"/>
      <c r="D22" s="3"/>
      <c r="E22" s="3"/>
      <c r="F22" s="3"/>
      <c r="G22" s="3"/>
      <c r="H22" s="3"/>
      <c r="I22" s="3"/>
      <c r="J22" s="3"/>
      <c r="K22" s="3"/>
      <c r="L22" s="3"/>
      <c r="M22" s="3"/>
      <c r="N22" s="3"/>
      <c r="O22" s="3"/>
      <c r="P22" s="3"/>
      <c r="Q22" s="3"/>
      <c r="R22" s="3"/>
    </row>
    <row r="23" spans="1:18" ht="15.75" thickBot="1">
      <c r="A23" s="317"/>
      <c r="B23" s="318"/>
      <c r="C23" s="318"/>
      <c r="D23" s="318"/>
      <c r="E23" s="318"/>
      <c r="F23" s="318"/>
      <c r="G23" s="318"/>
      <c r="H23" s="318"/>
      <c r="I23" s="318"/>
      <c r="J23" s="318"/>
      <c r="K23" s="318"/>
      <c r="L23" s="318"/>
      <c r="M23" s="318"/>
      <c r="N23" s="318"/>
      <c r="O23" s="318"/>
      <c r="P23" s="318"/>
      <c r="Q23" s="318"/>
      <c r="R23" s="318"/>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190</v>
      </c>
      <c r="B3" s="541" t="str">
        <f>_xlfn.CONCAT($D3,":"," ","Auditorías del Plan Anual de Auditoría")</f>
        <v>CDC: Auditorías del Plan Anual de Auditoría</v>
      </c>
      <c r="C3">
        <f t="shared" ref="C3:C46" si="0">IF($F3="bajo",0,IF($F3="medio",2,IF($F3="alto",3,4)))</f>
        <v>0</v>
      </c>
      <c r="D3" t="s">
        <v>21</v>
      </c>
      <c r="E3" t="s">
        <v>193</v>
      </c>
      <c r="F3" t="s">
        <v>13</v>
      </c>
      <c r="G3" t="s">
        <v>237</v>
      </c>
    </row>
    <row r="4" spans="1:7" ht="18" customHeight="1">
      <c r="A4" t="s">
        <v>190</v>
      </c>
      <c r="B4" s="541" t="str">
        <f>_xlfn.CONCAT($D4,":"," ","Documentos publicados en web Centro de Estudios")</f>
        <v>CDC: Documentos publicados en web Centro de Estudios</v>
      </c>
      <c r="C4">
        <f t="shared" si="0"/>
        <v>0</v>
      </c>
      <c r="D4" t="s">
        <v>21</v>
      </c>
      <c r="E4" t="s">
        <v>194</v>
      </c>
      <c r="F4" t="s">
        <v>13</v>
      </c>
      <c r="G4" t="s">
        <v>238</v>
      </c>
    </row>
    <row r="5" spans="1:7" ht="18" customHeight="1">
      <c r="A5" t="s">
        <v>190</v>
      </c>
      <c r="B5" s="541" t="str">
        <f>_xlfn.CONCAT($D5,":"," ","Solicitudes de información respondidas")</f>
        <v>CDC: Solicitudes de información respondidas</v>
      </c>
      <c r="C5">
        <f t="shared" si="0"/>
        <v>0</v>
      </c>
      <c r="D5" t="s">
        <v>21</v>
      </c>
      <c r="E5" t="s">
        <v>195</v>
      </c>
      <c r="F5" t="s">
        <v>13</v>
      </c>
      <c r="G5" t="s">
        <v>239</v>
      </c>
    </row>
    <row r="6" spans="1:7" ht="18" customHeight="1">
      <c r="A6" t="s">
        <v>191</v>
      </c>
      <c r="B6" s="541" t="str">
        <f>_xlfn.CONCAT($D6,":"," ","Solicitudes de certificados de estudio")</f>
        <v>CDC: Solicitudes de certificados de estudio</v>
      </c>
      <c r="C6">
        <f t="shared" si="0"/>
        <v>0</v>
      </c>
      <c r="D6" t="s">
        <v>21</v>
      </c>
      <c r="E6" t="s">
        <v>196</v>
      </c>
      <c r="F6" t="s">
        <v>13</v>
      </c>
      <c r="G6" t="s">
        <v>240</v>
      </c>
    </row>
    <row r="7" spans="1:7" ht="18" customHeight="1">
      <c r="A7" t="s">
        <v>191</v>
      </c>
      <c r="B7" s="541" t="str">
        <f>_xlfn.CONCAT($D7,":"," ","Sistema Calidad de Servicio y Experiencia")</f>
        <v>PMG: Sistema Calidad de Servicio y Experiencia</v>
      </c>
      <c r="C7">
        <f t="shared" si="0"/>
        <v>0</v>
      </c>
      <c r="D7" t="s">
        <v>6</v>
      </c>
      <c r="E7" t="s">
        <v>197</v>
      </c>
      <c r="F7" t="s">
        <v>13</v>
      </c>
      <c r="G7" t="s">
        <v>241</v>
      </c>
    </row>
    <row r="8" spans="1:7" ht="18" customHeight="1">
      <c r="A8" t="s">
        <v>191</v>
      </c>
      <c r="B8" s="541" t="str">
        <f>_xlfn.CONCAT($D8,":"," ","Medidas de Equidad y Género")</f>
        <v>PMG: Medidas de Equidad y Género</v>
      </c>
      <c r="C8">
        <f t="shared" si="0"/>
        <v>0</v>
      </c>
      <c r="D8" t="s">
        <v>6</v>
      </c>
      <c r="E8" t="s">
        <v>198</v>
      </c>
      <c r="F8" t="s">
        <v>13</v>
      </c>
      <c r="G8" t="s">
        <v>242</v>
      </c>
    </row>
    <row r="9" spans="1:7" ht="18" customHeight="1">
      <c r="A9" t="s">
        <v>191</v>
      </c>
      <c r="B9" s="541" t="str">
        <f>_xlfn.CONCAT($D9,":"," ","Acciones formativas del Centro de Innovación")</f>
        <v>CDC: Acciones formativas del Centro de Innovación</v>
      </c>
      <c r="C9">
        <f t="shared" si="0"/>
        <v>0</v>
      </c>
      <c r="D9" t="s">
        <v>21</v>
      </c>
      <c r="E9" t="s">
        <v>199</v>
      </c>
      <c r="F9" t="s">
        <v>13</v>
      </c>
      <c r="G9" t="s">
        <v>243</v>
      </c>
    </row>
    <row r="10" spans="1:7" ht="18" customHeight="1">
      <c r="A10" t="s">
        <v>191</v>
      </c>
      <c r="B10" s="541" t="str">
        <f>_xlfn.CONCAT($D10,":"," ","Compra de equipamiento")</f>
        <v>CDC: Compra de equipamiento</v>
      </c>
      <c r="C10">
        <f t="shared" si="0"/>
        <v>0</v>
      </c>
      <c r="D10" t="s">
        <v>21</v>
      </c>
      <c r="E10" t="s">
        <v>200</v>
      </c>
      <c r="F10" t="s">
        <v>13</v>
      </c>
      <c r="G10" t="s">
        <v>244</v>
      </c>
    </row>
    <row r="11" spans="1:7" ht="18" customHeight="1">
      <c r="A11" t="s">
        <v>18</v>
      </c>
      <c r="B11" s="541" t="str">
        <f>_xlfn.CONCAT($D11,":"," ","Elaboración de informe formación docente")</f>
        <v>CDC: Elaboración de informe formación docente</v>
      </c>
      <c r="C11">
        <f t="shared" si="0"/>
        <v>0</v>
      </c>
      <c r="D11" t="s">
        <v>21</v>
      </c>
      <c r="E11" t="s">
        <v>201</v>
      </c>
      <c r="F11" t="s">
        <v>13</v>
      </c>
      <c r="G11" t="s">
        <v>245</v>
      </c>
    </row>
    <row r="12" spans="1:7" ht="18" customHeight="1">
      <c r="A12" t="s">
        <v>18</v>
      </c>
      <c r="B12" s="541" t="str">
        <f>_xlfn.CONCAT($D12,":"," ","Provincias que participan de acciones de CPEIP")</f>
        <v>H: Provincias que participan de acciones de CPEIP</v>
      </c>
      <c r="C12">
        <f t="shared" si="0"/>
        <v>0</v>
      </c>
      <c r="D12" t="s">
        <v>7</v>
      </c>
      <c r="E12" s="1" t="s">
        <v>202</v>
      </c>
      <c r="F12" t="s">
        <v>13</v>
      </c>
      <c r="G12" t="s">
        <v>246</v>
      </c>
    </row>
    <row r="13" spans="1:7" ht="18" customHeight="1">
      <c r="A13" t="s">
        <v>18</v>
      </c>
      <c r="B13" s="541" t="str">
        <f>_xlfn.CONCAT($D13,":"," ","Formación de bienestar docente")</f>
        <v>CDC: Formación de bienestar docente</v>
      </c>
      <c r="C13">
        <f t="shared" si="0"/>
        <v>0</v>
      </c>
      <c r="D13" t="s">
        <v>21</v>
      </c>
      <c r="E13" t="s">
        <v>203</v>
      </c>
      <c r="F13" t="s">
        <v>13</v>
      </c>
      <c r="G13" t="s">
        <v>247</v>
      </c>
    </row>
    <row r="14" spans="1:7" ht="18" customHeight="1">
      <c r="A14" t="s">
        <v>18</v>
      </c>
      <c r="B14" s="541" t="str">
        <f>_xlfn.CONCAT($D14,":"," ","Informe proyecto de ley carrera directiva")</f>
        <v>CDC: Informe proyecto de ley carrera directiva</v>
      </c>
      <c r="C14">
        <f t="shared" si="0"/>
        <v>0</v>
      </c>
      <c r="D14" t="s">
        <v>21</v>
      </c>
      <c r="E14" t="s">
        <v>204</v>
      </c>
      <c r="F14" t="s">
        <v>13</v>
      </c>
      <c r="G14" t="s">
        <v>248</v>
      </c>
    </row>
    <row r="15" spans="1:7" ht="18" customHeight="1">
      <c r="A15" t="s">
        <v>19</v>
      </c>
      <c r="B15" s="541" t="str">
        <f>_xlfn.CONCAT($D15,":"," ","Implementación del Programa 'A convivir se Aprende'")</f>
        <v>H: Implementación del Programa 'A convivir se Aprende'</v>
      </c>
      <c r="C15">
        <f t="shared" si="0"/>
        <v>0</v>
      </c>
      <c r="D15" t="s">
        <v>7</v>
      </c>
      <c r="E15" s="1" t="s">
        <v>205</v>
      </c>
      <c r="F15" t="s">
        <v>13</v>
      </c>
      <c r="G15" t="s">
        <v>249</v>
      </c>
    </row>
    <row r="16" spans="1:7" ht="19.5" customHeight="1">
      <c r="A16" t="s">
        <v>19</v>
      </c>
      <c r="B16" s="541" t="str">
        <f>_xlfn.CONCAT($D16,":"," ","Inscipción para completar los estudios")</f>
        <v>CDC: Inscipción para completar los estudios</v>
      </c>
      <c r="C16">
        <f t="shared" si="0"/>
        <v>0</v>
      </c>
      <c r="D16" t="s">
        <v>21</v>
      </c>
      <c r="E16" t="s">
        <v>206</v>
      </c>
      <c r="F16" t="s">
        <v>13</v>
      </c>
      <c r="G16" t="s">
        <v>250</v>
      </c>
    </row>
    <row r="17" spans="1:7" ht="18" customHeight="1">
      <c r="A17" t="s">
        <v>19</v>
      </c>
      <c r="B17" s="541" t="str">
        <f>_xlfn.CONCAT($D17,":"," ","Procesos de validación de estudios")</f>
        <v>CDC: Procesos de validación de estudios</v>
      </c>
      <c r="C17">
        <f t="shared" si="0"/>
        <v>0</v>
      </c>
      <c r="D17" t="s">
        <v>21</v>
      </c>
      <c r="E17" t="s">
        <v>207</v>
      </c>
      <c r="F17" t="s">
        <v>13</v>
      </c>
      <c r="G17" t="s">
        <v>251</v>
      </c>
    </row>
    <row r="18" spans="1:7" ht="18" customHeight="1">
      <c r="A18" t="s">
        <v>19</v>
      </c>
      <c r="B18" s="541" t="str">
        <f>_xlfn.CONCAT($D18,":"," ","Acciones plan de difusión")</f>
        <v>CDC: Acciones plan de difusión</v>
      </c>
      <c r="C18">
        <f t="shared" si="0"/>
        <v>0</v>
      </c>
      <c r="D18" t="s">
        <v>21</v>
      </c>
      <c r="E18" t="s">
        <v>208</v>
      </c>
      <c r="F18" t="s">
        <v>13</v>
      </c>
      <c r="G18" t="s">
        <v>252</v>
      </c>
    </row>
    <row r="19" spans="1:7" ht="18" customHeight="1">
      <c r="A19" t="s">
        <v>130</v>
      </c>
      <c r="B19" s="541" t="str">
        <f>_xlfn.CONCAT($D19,":"," ","Sistemas definidos como críticos")</f>
        <v>CDC: Sistemas definidos como críticos</v>
      </c>
      <c r="C19">
        <f t="shared" si="0"/>
        <v>0</v>
      </c>
      <c r="D19" t="s">
        <v>21</v>
      </c>
      <c r="E19" t="s">
        <v>209</v>
      </c>
      <c r="F19" t="s">
        <v>13</v>
      </c>
      <c r="G19" t="s">
        <v>253</v>
      </c>
    </row>
    <row r="20" spans="1:7" ht="18" customHeight="1">
      <c r="A20" t="s">
        <v>130</v>
      </c>
      <c r="B20" s="541" t="str">
        <f>_xlfn.CONCAT($D20,":"," ","Sitios web con certificados de sitio seguro")</f>
        <v>CDC: Sitios web con certificados de sitio seguro</v>
      </c>
      <c r="C20">
        <f t="shared" si="0"/>
        <v>0</v>
      </c>
      <c r="D20" t="s">
        <v>21</v>
      </c>
      <c r="E20" t="s">
        <v>210</v>
      </c>
      <c r="F20" t="s">
        <v>13</v>
      </c>
      <c r="G20" t="s">
        <v>254</v>
      </c>
    </row>
    <row r="21" spans="1:7" ht="18" customHeight="1">
      <c r="A21" t="s">
        <v>130</v>
      </c>
      <c r="B21" s="541" t="str">
        <f>_xlfn.CONCAT($D21,":"," ","Tickets de atención resueltos")</f>
        <v>CDC: Tickets de atención resueltos</v>
      </c>
      <c r="C21">
        <f t="shared" si="0"/>
        <v>0</v>
      </c>
      <c r="D21" t="s">
        <v>21</v>
      </c>
      <c r="E21" t="s">
        <v>211</v>
      </c>
      <c r="F21" t="s">
        <v>13</v>
      </c>
      <c r="G21" t="s">
        <v>255</v>
      </c>
    </row>
    <row r="22" spans="1:7" ht="18" customHeight="1">
      <c r="A22" t="s">
        <v>130</v>
      </c>
      <c r="B22" s="541" t="str">
        <f>_xlfn.CONCAT($D22,":"," ","Transformación Digital")</f>
        <v>PMG: Transformación Digital</v>
      </c>
      <c r="C22">
        <f t="shared" si="0"/>
        <v>0</v>
      </c>
      <c r="D22" t="s">
        <v>6</v>
      </c>
      <c r="E22" t="s">
        <v>212</v>
      </c>
      <c r="F22" t="s">
        <v>13</v>
      </c>
      <c r="G22" t="s">
        <v>256</v>
      </c>
    </row>
    <row r="23" spans="1:7" ht="18" customHeight="1">
      <c r="A23" t="s">
        <v>130</v>
      </c>
      <c r="B23" s="541" t="str">
        <f>_xlfn.CONCAT($D23,":"," ","Concentración del Gasto")</f>
        <v>PMG: Concentración del Gasto</v>
      </c>
      <c r="C23">
        <f t="shared" si="0"/>
        <v>0</v>
      </c>
      <c r="D23" t="s">
        <v>6</v>
      </c>
      <c r="E23" t="s">
        <v>213</v>
      </c>
      <c r="F23" t="s">
        <v>13</v>
      </c>
      <c r="G23" t="s">
        <v>257</v>
      </c>
    </row>
    <row r="24" spans="1:7" ht="22.5" customHeight="1">
      <c r="A24" t="s">
        <v>130</v>
      </c>
      <c r="B24" s="541" t="str">
        <f>_xlfn.CONCAT($D24,":"," ","Asistencia vía SIGE")</f>
        <v>CDC: Asistencia vía SIGE</v>
      </c>
      <c r="C24">
        <f t="shared" si="0"/>
        <v>0</v>
      </c>
      <c r="D24" t="s">
        <v>21</v>
      </c>
      <c r="E24" t="s">
        <v>214</v>
      </c>
      <c r="F24" t="s">
        <v>13</v>
      </c>
      <c r="G24" t="s">
        <v>258</v>
      </c>
    </row>
    <row r="25" spans="1:7" ht="18" customHeight="1">
      <c r="A25" t="s">
        <v>130</v>
      </c>
      <c r="B25" s="541" t="str">
        <f>_xlfn.CONCAT($D25,":"," ","Transacciones a través del sistema SIGPA")</f>
        <v>CDC: Transacciones a través del sistema SIGPA</v>
      </c>
      <c r="C25">
        <f t="shared" si="0"/>
        <v>0</v>
      </c>
      <c r="D25" t="s">
        <v>21</v>
      </c>
      <c r="E25" t="s">
        <v>215</v>
      </c>
      <c r="F25" t="s">
        <v>13</v>
      </c>
      <c r="G25" t="s">
        <v>259</v>
      </c>
    </row>
    <row r="26" spans="1:7" ht="18" customHeight="1">
      <c r="A26" t="s">
        <v>130</v>
      </c>
      <c r="B26" s="541" t="str">
        <f>_xlfn.CONCAT($D26,":"," ","Procesos documentados URAE")</f>
        <v>CDC: Procesos documentados URAE</v>
      </c>
      <c r="C26">
        <f t="shared" si="0"/>
        <v>0</v>
      </c>
      <c r="D26" t="s">
        <v>21</v>
      </c>
      <c r="E26" t="s">
        <v>216</v>
      </c>
      <c r="F26" t="s">
        <v>13</v>
      </c>
      <c r="G26" t="s">
        <v>260</v>
      </c>
    </row>
    <row r="27" spans="1:7" ht="18" customHeight="1">
      <c r="A27" t="s">
        <v>16</v>
      </c>
      <c r="B27" s="541" t="str">
        <f>_xlfn.CONCAT($D27,":"," ","Solicitudes de beneficios y/o préstamos")</f>
        <v>CDC: Solicitudes de beneficios y/o préstamos</v>
      </c>
      <c r="C27">
        <f t="shared" si="0"/>
        <v>0</v>
      </c>
      <c r="D27" t="s">
        <v>21</v>
      </c>
      <c r="E27" t="s">
        <v>217</v>
      </c>
      <c r="F27" t="s">
        <v>13</v>
      </c>
      <c r="G27" t="s">
        <v>261</v>
      </c>
    </row>
    <row r="28" spans="1:7" ht="18" customHeight="1">
      <c r="A28" t="s">
        <v>16</v>
      </c>
      <c r="B28" s="541" t="str">
        <f>_xlfn.CONCAT($D28,":"," ","Expedientes de compras")</f>
        <v>CDC: Expedientes de compras</v>
      </c>
      <c r="C28">
        <f t="shared" si="0"/>
        <v>0</v>
      </c>
      <c r="D28" t="s">
        <v>21</v>
      </c>
      <c r="E28" t="s">
        <v>218</v>
      </c>
      <c r="F28" t="s">
        <v>13</v>
      </c>
      <c r="G28" t="s">
        <v>262</v>
      </c>
    </row>
    <row r="29" spans="1:7" ht="18" customHeight="1">
      <c r="A29" t="s">
        <v>16</v>
      </c>
      <c r="B29" s="541" t="str">
        <f>_xlfn.CONCAT($D29,":"," ","Sistema Estado Verde")</f>
        <v>PMG: Sistema Estado Verde</v>
      </c>
      <c r="C29">
        <f t="shared" si="0"/>
        <v>0</v>
      </c>
      <c r="D29" t="s">
        <v>6</v>
      </c>
      <c r="E29" t="s">
        <v>219</v>
      </c>
      <c r="F29" t="s">
        <v>13</v>
      </c>
      <c r="G29" t="s">
        <v>263</v>
      </c>
    </row>
    <row r="30" spans="1:7" ht="18" customHeight="1">
      <c r="A30" t="s">
        <v>16</v>
      </c>
      <c r="B30" s="541" t="str">
        <f>_xlfn.CONCAT($D30,":"," ","Sistema de Riesgos Psicosociales laborales")</f>
        <v>PMG: Sistema de Riesgos Psicosociales laborales</v>
      </c>
      <c r="C30">
        <f t="shared" si="0"/>
        <v>0</v>
      </c>
      <c r="D30" t="s">
        <v>6</v>
      </c>
      <c r="E30" t="s">
        <v>220</v>
      </c>
      <c r="F30" t="s">
        <v>13</v>
      </c>
      <c r="G30" t="s">
        <v>264</v>
      </c>
    </row>
    <row r="31" spans="1:7" ht="18" customHeight="1">
      <c r="A31" t="s">
        <v>16</v>
      </c>
      <c r="B31" s="541" t="str">
        <f>_xlfn.CONCAT($D31,":"," ","Cierres contables oportunos")</f>
        <v>CDC: Cierres contables oportunos</v>
      </c>
      <c r="C31">
        <f t="shared" si="0"/>
        <v>0</v>
      </c>
      <c r="D31" t="s">
        <v>21</v>
      </c>
      <c r="E31" t="s">
        <v>221</v>
      </c>
      <c r="F31" t="s">
        <v>13</v>
      </c>
      <c r="G31" t="s">
        <v>265</v>
      </c>
    </row>
    <row r="32" spans="1:7" ht="18" customHeight="1">
      <c r="A32" t="s">
        <v>16</v>
      </c>
      <c r="B32" s="541" t="str">
        <f>_xlfn.CONCAT($D32,":"," ","Contratos nuevos a honorarios NC")</f>
        <v>CDC: Contratos nuevos a honorarios NC</v>
      </c>
      <c r="C32">
        <f t="shared" si="0"/>
        <v>0</v>
      </c>
      <c r="D32" t="s">
        <v>21</v>
      </c>
      <c r="E32" t="s">
        <v>222</v>
      </c>
      <c r="F32" t="s">
        <v>13</v>
      </c>
      <c r="G32" t="s">
        <v>266</v>
      </c>
    </row>
    <row r="33" spans="1:7" ht="18" customHeight="1">
      <c r="A33" t="s">
        <v>20</v>
      </c>
      <c r="B33" s="541" t="str">
        <f>_xlfn.CONCAT($D33,":"," ","Recursos de Lectura, Aprendizaje y Bibliotecas")</f>
        <v>CDC: Recursos de Lectura, Aprendizaje y Bibliotecas</v>
      </c>
      <c r="C33">
        <f t="shared" si="0"/>
        <v>0</v>
      </c>
      <c r="D33" t="s">
        <v>21</v>
      </c>
      <c r="E33" t="s">
        <v>223</v>
      </c>
      <c r="F33" t="s">
        <v>13</v>
      </c>
      <c r="G33" t="s">
        <v>267</v>
      </c>
    </row>
    <row r="34" spans="1:7" ht="18" customHeight="1">
      <c r="A34" t="s">
        <v>20</v>
      </c>
      <c r="B34" s="541" t="str">
        <f>_xlfn.CONCAT($D34,":"," ","Ejecución del plan de Desarrollo Curricular")</f>
        <v>CDC: Ejecución del plan de Desarrollo Curricular</v>
      </c>
      <c r="C34">
        <f t="shared" si="0"/>
        <v>0</v>
      </c>
      <c r="D34" t="s">
        <v>21</v>
      </c>
      <c r="E34" t="s">
        <v>224</v>
      </c>
      <c r="F34" t="s">
        <v>13</v>
      </c>
      <c r="G34" t="s">
        <v>268</v>
      </c>
    </row>
    <row r="35" spans="1:7" ht="18" customHeight="1">
      <c r="A35" t="s">
        <v>20</v>
      </c>
      <c r="B35" s="541" t="str">
        <f>_xlfn.CONCAT($D35,":"," ","Difusión de instrumentos curriculares")</f>
        <v>CDC: Difusión de instrumentos curriculares</v>
      </c>
      <c r="C35">
        <f t="shared" si="0"/>
        <v>0</v>
      </c>
      <c r="D35" t="s">
        <v>21</v>
      </c>
      <c r="E35" t="s">
        <v>225</v>
      </c>
      <c r="F35" t="s">
        <v>13</v>
      </c>
      <c r="G35" t="s">
        <v>269</v>
      </c>
    </row>
    <row r="36" spans="1:7" ht="18" customHeight="1">
      <c r="A36" t="s">
        <v>20</v>
      </c>
      <c r="B36" s="541" t="str">
        <f>_xlfn.CONCAT($D36,":"," ","Ejecución del plan de Evaluación y Estándares")</f>
        <v>CDC: Ejecución del plan de Evaluación y Estándares</v>
      </c>
      <c r="C36">
        <f t="shared" si="0"/>
        <v>0</v>
      </c>
      <c r="D36" t="s">
        <v>21</v>
      </c>
      <c r="E36" t="s">
        <v>226</v>
      </c>
      <c r="F36" t="s">
        <v>13</v>
      </c>
      <c r="G36" t="s">
        <v>270</v>
      </c>
    </row>
    <row r="37" spans="1:7" ht="21" customHeight="1">
      <c r="A37" t="s">
        <v>20</v>
      </c>
      <c r="B37" s="541" t="str">
        <f>_xlfn.CONCAT($D37,":"," ","Modernización de textos escolares")</f>
        <v>CDC: Modernización de textos escolares</v>
      </c>
      <c r="C37">
        <f t="shared" si="0"/>
        <v>0</v>
      </c>
      <c r="D37" t="s">
        <v>21</v>
      </c>
      <c r="E37" t="s">
        <v>227</v>
      </c>
      <c r="F37" t="s">
        <v>13</v>
      </c>
      <c r="G37" t="s">
        <v>271</v>
      </c>
    </row>
    <row r="38" spans="1:7" ht="21" customHeight="1">
      <c r="A38" t="s">
        <v>20</v>
      </c>
      <c r="B38" s="541" t="str">
        <f>_xlfn.CONCAT($D38,":"," ","Textos Escolares entregados")</f>
        <v>H: Textos Escolares entregados</v>
      </c>
      <c r="C38">
        <f t="shared" si="0"/>
        <v>0</v>
      </c>
      <c r="D38" t="s">
        <v>7</v>
      </c>
      <c r="E38" t="s">
        <v>228</v>
      </c>
      <c r="F38" t="s">
        <v>13</v>
      </c>
      <c r="G38" t="s">
        <v>272</v>
      </c>
    </row>
    <row r="39" spans="1:7" ht="18" customHeight="1">
      <c r="A39" t="s">
        <v>20</v>
      </c>
      <c r="B39" s="541" t="str">
        <f>_xlfn.CONCAT($D39,":"," ","Entrega de Kit evaluativo de los EE subvencionados")</f>
        <v>H: Entrega de Kit evaluativo de los EE subvencionados</v>
      </c>
      <c r="C39">
        <f t="shared" si="0"/>
        <v>0</v>
      </c>
      <c r="D39" t="s">
        <v>7</v>
      </c>
      <c r="E39" s="1" t="s">
        <v>229</v>
      </c>
      <c r="F39" t="s">
        <v>13</v>
      </c>
      <c r="G39" t="s">
        <v>273</v>
      </c>
    </row>
    <row r="40" spans="1:7" ht="18" customHeight="1">
      <c r="A40" t="s">
        <v>192</v>
      </c>
      <c r="B40" s="541" t="str">
        <f>_xlfn.CONCAT($D40,":"," ","Actos administrativos con una Licitación Pública ")</f>
        <v xml:space="preserve">CDC: Actos administrativos con una Licitación Pública </v>
      </c>
      <c r="C40">
        <f t="shared" si="0"/>
        <v>0</v>
      </c>
      <c r="D40" t="s">
        <v>21</v>
      </c>
      <c r="E40" t="s">
        <v>230</v>
      </c>
      <c r="F40" t="s">
        <v>13</v>
      </c>
      <c r="G40" t="s">
        <v>274</v>
      </c>
    </row>
    <row r="41" spans="1:7" ht="18" customHeight="1">
      <c r="A41" t="s">
        <v>192</v>
      </c>
      <c r="B41" s="541" t="str">
        <f>_xlfn.CONCAT($D41,":"," ","Actos administrativos Bases Admin. y Técnicas")</f>
        <v>CDC: Actos administrativos Bases Admin. y Técnicas</v>
      </c>
      <c r="C41">
        <f t="shared" si="0"/>
        <v>0</v>
      </c>
      <c r="D41" t="s">
        <v>21</v>
      </c>
      <c r="E41" t="s">
        <v>231</v>
      </c>
      <c r="F41" t="s">
        <v>13</v>
      </c>
      <c r="G41" t="s">
        <v>275</v>
      </c>
    </row>
    <row r="42" spans="1:7" ht="18" customHeight="1">
      <c r="A42" t="s">
        <v>192</v>
      </c>
      <c r="B42" s="541" t="str">
        <f>_xlfn.CONCAT($D42,":"," ","Propuestas de convenios o reformulación")</f>
        <v>CDC: Propuestas de convenios o reformulación</v>
      </c>
      <c r="C42">
        <f t="shared" si="0"/>
        <v>0</v>
      </c>
      <c r="D42" t="s">
        <v>21</v>
      </c>
      <c r="E42" t="s">
        <v>232</v>
      </c>
      <c r="F42" t="s">
        <v>13</v>
      </c>
      <c r="G42" t="s">
        <v>276</v>
      </c>
    </row>
    <row r="43" spans="1:7" ht="18" customHeight="1">
      <c r="A43" t="s">
        <v>192</v>
      </c>
      <c r="B43" s="541" t="str">
        <f>_xlfn.CONCAT($D43,":"," ","Actos administrativos que transfieren recursos")</f>
        <v>CDC: Actos administrativos que transfieren recursos</v>
      </c>
      <c r="C43">
        <f t="shared" si="0"/>
        <v>0</v>
      </c>
      <c r="D43" t="s">
        <v>21</v>
      </c>
      <c r="E43" t="s">
        <v>233</v>
      </c>
      <c r="F43" t="s">
        <v>13</v>
      </c>
      <c r="G43" t="s">
        <v>277</v>
      </c>
    </row>
    <row r="44" spans="1:7" ht="18" customHeight="1">
      <c r="A44" t="s">
        <v>192</v>
      </c>
      <c r="B44" s="541" t="str">
        <f>_xlfn.CONCAT($D44,":"," ","Actos administrativos artículo 11 de la Ley N°20.159")</f>
        <v>CDC: Actos administrativos artículo 11 de la Ley N°20.159</v>
      </c>
      <c r="C44">
        <f t="shared" si="0"/>
        <v>0</v>
      </c>
      <c r="D44" t="s">
        <v>21</v>
      </c>
      <c r="E44" t="s">
        <v>234</v>
      </c>
      <c r="F44" t="s">
        <v>13</v>
      </c>
      <c r="G44" t="s">
        <v>278</v>
      </c>
    </row>
    <row r="45" spans="1:7" ht="20.25" customHeight="1">
      <c r="A45" t="s">
        <v>192</v>
      </c>
      <c r="B45" s="541" t="str">
        <f>_xlfn.CONCAT($D45,":"," ","Recursos de apelación, reclamación")</f>
        <v>CDC: Recursos de apelación, reclamación</v>
      </c>
      <c r="C45">
        <f t="shared" si="0"/>
        <v>0</v>
      </c>
      <c r="D45" t="s">
        <v>21</v>
      </c>
      <c r="E45" t="s">
        <v>235</v>
      </c>
      <c r="F45" t="s">
        <v>13</v>
      </c>
      <c r="G45" t="s">
        <v>279</v>
      </c>
    </row>
    <row r="46" spans="1:7" ht="18" customHeight="1">
      <c r="A46" t="s">
        <v>192</v>
      </c>
      <c r="B46" s="541" t="str">
        <f>_xlfn.CONCAT($D46,":"," ","Defensas a recursos de protección")</f>
        <v>CDC: Defensas a recursos de protección</v>
      </c>
      <c r="C46">
        <f t="shared" si="0"/>
        <v>0</v>
      </c>
      <c r="D46" t="s">
        <v>21</v>
      </c>
      <c r="E46" t="s">
        <v>236</v>
      </c>
      <c r="F46" t="s">
        <v>13</v>
      </c>
      <c r="G46" t="s">
        <v>280</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281</v>
      </c>
      <c r="C4" s="2" t="s">
        <v>286</v>
      </c>
      <c r="D4" s="2" t="s">
        <v>23</v>
      </c>
      <c r="E4" s="73" t="s">
        <v>13</v>
      </c>
    </row>
    <row r="5" spans="2:5">
      <c r="B5" s="2" t="s">
        <v>281</v>
      </c>
      <c r="C5" s="2" t="s">
        <v>287</v>
      </c>
      <c r="D5" s="2" t="s">
        <v>24</v>
      </c>
      <c r="E5" s="73" t="s">
        <v>13</v>
      </c>
    </row>
    <row r="6" spans="2:5">
      <c r="B6" s="2" t="s">
        <v>281</v>
      </c>
      <c r="C6" s="2" t="s">
        <v>288</v>
      </c>
      <c r="D6" s="2" t="s">
        <v>25</v>
      </c>
      <c r="E6" s="73" t="s">
        <v>13</v>
      </c>
    </row>
    <row r="7" spans="2:5">
      <c r="B7" s="2" t="s">
        <v>281</v>
      </c>
      <c r="C7" s="2" t="s">
        <v>289</v>
      </c>
      <c r="D7" s="2" t="s">
        <v>26</v>
      </c>
      <c r="E7" s="73" t="s">
        <v>13</v>
      </c>
    </row>
    <row r="8" spans="2:5">
      <c r="B8" s="2" t="s">
        <v>281</v>
      </c>
      <c r="C8" s="2" t="s">
        <v>290</v>
      </c>
      <c r="D8" s="2" t="s">
        <v>27</v>
      </c>
      <c r="E8" s="73" t="s">
        <v>13</v>
      </c>
    </row>
    <row r="9" spans="2:5">
      <c r="B9" s="2" t="s">
        <v>281</v>
      </c>
      <c r="C9" s="2" t="s">
        <v>291</v>
      </c>
      <c r="D9" s="2" t="s">
        <v>28</v>
      </c>
      <c r="E9" s="73" t="s">
        <v>13</v>
      </c>
    </row>
    <row r="10" spans="2:5">
      <c r="B10" s="2" t="s">
        <v>281</v>
      </c>
      <c r="C10" s="2" t="s">
        <v>292</v>
      </c>
      <c r="D10" s="2" t="s">
        <v>29</v>
      </c>
      <c r="E10" s="73" t="s">
        <v>13</v>
      </c>
    </row>
    <row r="11" spans="2:5">
      <c r="B11" s="2" t="s">
        <v>281</v>
      </c>
      <c r="C11" s="2" t="s">
        <v>293</v>
      </c>
      <c r="D11" s="2" t="s">
        <v>30</v>
      </c>
      <c r="E11" s="73" t="s">
        <v>14</v>
      </c>
    </row>
    <row r="12" spans="2:5">
      <c r="B12" s="2" t="s">
        <v>281</v>
      </c>
      <c r="C12" s="2" t="s">
        <v>294</v>
      </c>
      <c r="D12" s="2" t="s">
        <v>366</v>
      </c>
      <c r="E12" s="73" t="s">
        <v>13</v>
      </c>
    </row>
    <row r="13" spans="2:5">
      <c r="B13" s="2" t="s">
        <v>281</v>
      </c>
      <c r="C13" s="2" t="s">
        <v>295</v>
      </c>
      <c r="D13" s="2" t="s">
        <v>32</v>
      </c>
      <c r="E13" s="73" t="s">
        <v>13</v>
      </c>
    </row>
    <row r="14" spans="2:5">
      <c r="B14" s="2" t="s">
        <v>281</v>
      </c>
      <c r="C14" s="2" t="s">
        <v>296</v>
      </c>
      <c r="D14" s="2" t="s">
        <v>33</v>
      </c>
      <c r="E14" s="73" t="s">
        <v>13</v>
      </c>
    </row>
    <row r="15" spans="2:5">
      <c r="B15" s="2" t="s">
        <v>281</v>
      </c>
      <c r="C15" s="2" t="s">
        <v>297</v>
      </c>
      <c r="D15" s="2" t="s">
        <v>34</v>
      </c>
      <c r="E15" s="73" t="s">
        <v>13</v>
      </c>
    </row>
    <row r="16" spans="2:5">
      <c r="B16" s="2" t="s">
        <v>281</v>
      </c>
      <c r="C16" s="2" t="s">
        <v>298</v>
      </c>
      <c r="D16" s="2" t="s">
        <v>35</v>
      </c>
      <c r="E16" s="73" t="s">
        <v>13</v>
      </c>
    </row>
    <row r="17" spans="2:5">
      <c r="B17" s="2" t="s">
        <v>281</v>
      </c>
      <c r="C17" s="2" t="s">
        <v>299</v>
      </c>
      <c r="D17" s="2" t="s">
        <v>36</v>
      </c>
      <c r="E17" s="73" t="s">
        <v>13</v>
      </c>
    </row>
    <row r="18" spans="2:5">
      <c r="B18" s="2" t="s">
        <v>281</v>
      </c>
      <c r="C18" s="2" t="s">
        <v>300</v>
      </c>
      <c r="D18" s="2" t="s">
        <v>37</v>
      </c>
      <c r="E18" s="73" t="s">
        <v>13</v>
      </c>
    </row>
    <row r="19" spans="2:5">
      <c r="B19" s="2" t="s">
        <v>281</v>
      </c>
      <c r="C19" s="2" t="s">
        <v>301</v>
      </c>
      <c r="D19" s="2" t="s">
        <v>38</v>
      </c>
      <c r="E19" s="73" t="s">
        <v>13</v>
      </c>
    </row>
    <row r="20" spans="2:5">
      <c r="B20" s="74" t="s">
        <v>282</v>
      </c>
      <c r="C20" s="74" t="s">
        <v>302</v>
      </c>
      <c r="D20" s="74" t="s">
        <v>23</v>
      </c>
      <c r="E20" s="73" t="s">
        <v>13</v>
      </c>
    </row>
    <row r="21" spans="2:5">
      <c r="B21" s="74" t="s">
        <v>282</v>
      </c>
      <c r="C21" s="74" t="s">
        <v>303</v>
      </c>
      <c r="D21" s="74" t="s">
        <v>24</v>
      </c>
      <c r="E21" s="73" t="s">
        <v>13</v>
      </c>
    </row>
    <row r="22" spans="2:5">
      <c r="B22" s="74" t="s">
        <v>282</v>
      </c>
      <c r="C22" s="74" t="s">
        <v>304</v>
      </c>
      <c r="D22" s="74" t="s">
        <v>25</v>
      </c>
      <c r="E22" s="73" t="s">
        <v>13</v>
      </c>
    </row>
    <row r="23" spans="2:5">
      <c r="B23" s="74" t="s">
        <v>282</v>
      </c>
      <c r="C23" s="74" t="s">
        <v>305</v>
      </c>
      <c r="D23" s="74" t="s">
        <v>26</v>
      </c>
      <c r="E23" s="73" t="s">
        <v>13</v>
      </c>
    </row>
    <row r="24" spans="2:5">
      <c r="B24" s="74" t="s">
        <v>282</v>
      </c>
      <c r="C24" s="74" t="s">
        <v>306</v>
      </c>
      <c r="D24" s="74" t="s">
        <v>27</v>
      </c>
      <c r="E24" s="73" t="s">
        <v>13</v>
      </c>
    </row>
    <row r="25" spans="2:5">
      <c r="B25" s="74" t="s">
        <v>282</v>
      </c>
      <c r="C25" s="74" t="s">
        <v>307</v>
      </c>
      <c r="D25" s="74" t="s">
        <v>28</v>
      </c>
      <c r="E25" s="73" t="s">
        <v>13</v>
      </c>
    </row>
    <row r="26" spans="2:5">
      <c r="B26" s="74" t="s">
        <v>282</v>
      </c>
      <c r="C26" s="74" t="s">
        <v>308</v>
      </c>
      <c r="D26" s="74" t="s">
        <v>29</v>
      </c>
      <c r="E26" s="73" t="s">
        <v>13</v>
      </c>
    </row>
    <row r="27" spans="2:5">
      <c r="B27" s="74" t="s">
        <v>282</v>
      </c>
      <c r="C27" s="74" t="s">
        <v>309</v>
      </c>
      <c r="D27" s="74" t="s">
        <v>30</v>
      </c>
      <c r="E27" s="73" t="s">
        <v>13</v>
      </c>
    </row>
    <row r="28" spans="2:5">
      <c r="B28" s="74" t="s">
        <v>282</v>
      </c>
      <c r="C28" s="74" t="s">
        <v>310</v>
      </c>
      <c r="D28" s="74" t="s">
        <v>366</v>
      </c>
      <c r="E28" s="73" t="s">
        <v>13</v>
      </c>
    </row>
    <row r="29" spans="2:5">
      <c r="B29" s="74" t="s">
        <v>282</v>
      </c>
      <c r="C29" s="74" t="s">
        <v>311</v>
      </c>
      <c r="D29" s="74" t="s">
        <v>32</v>
      </c>
      <c r="E29" s="73" t="s">
        <v>13</v>
      </c>
    </row>
    <row r="30" spans="2:5">
      <c r="B30" s="74" t="s">
        <v>282</v>
      </c>
      <c r="C30" s="74" t="s">
        <v>312</v>
      </c>
      <c r="D30" s="74" t="s">
        <v>33</v>
      </c>
      <c r="E30" s="73" t="s">
        <v>13</v>
      </c>
    </row>
    <row r="31" spans="2:5">
      <c r="B31" s="74" t="s">
        <v>282</v>
      </c>
      <c r="C31" s="74" t="s">
        <v>313</v>
      </c>
      <c r="D31" s="74" t="s">
        <v>34</v>
      </c>
      <c r="E31" s="73" t="s">
        <v>13</v>
      </c>
    </row>
    <row r="32" spans="2:5">
      <c r="B32" s="74" t="s">
        <v>282</v>
      </c>
      <c r="C32" s="74" t="s">
        <v>314</v>
      </c>
      <c r="D32" s="74" t="s">
        <v>35</v>
      </c>
      <c r="E32" s="73" t="s">
        <v>45</v>
      </c>
    </row>
    <row r="33" spans="2:5">
      <c r="B33" s="74" t="s">
        <v>282</v>
      </c>
      <c r="C33" s="74" t="s">
        <v>315</v>
      </c>
      <c r="D33" s="74" t="s">
        <v>36</v>
      </c>
      <c r="E33" s="73" t="s">
        <v>13</v>
      </c>
    </row>
    <row r="34" spans="2:5">
      <c r="B34" s="74" t="s">
        <v>282</v>
      </c>
      <c r="C34" s="74" t="s">
        <v>316</v>
      </c>
      <c r="D34" s="74" t="s">
        <v>37</v>
      </c>
      <c r="E34" s="73" t="s">
        <v>13</v>
      </c>
    </row>
    <row r="35" spans="2:5">
      <c r="B35" s="74" t="s">
        <v>282</v>
      </c>
      <c r="C35" s="74" t="s">
        <v>317</v>
      </c>
      <c r="D35" s="74" t="s">
        <v>38</v>
      </c>
      <c r="E35" s="73" t="s">
        <v>45</v>
      </c>
    </row>
    <row r="36" spans="2:5">
      <c r="B36" s="71" t="s">
        <v>283</v>
      </c>
      <c r="C36" s="2" t="s">
        <v>318</v>
      </c>
      <c r="D36" s="2" t="s">
        <v>23</v>
      </c>
      <c r="E36" s="73" t="s">
        <v>13</v>
      </c>
    </row>
    <row r="37" spans="2:5">
      <c r="B37" s="71" t="s">
        <v>283</v>
      </c>
      <c r="C37" s="2" t="s">
        <v>319</v>
      </c>
      <c r="D37" s="2" t="s">
        <v>24</v>
      </c>
      <c r="E37" s="73" t="s">
        <v>13</v>
      </c>
    </row>
    <row r="38" spans="2:5">
      <c r="B38" s="71" t="s">
        <v>283</v>
      </c>
      <c r="C38" s="2" t="s">
        <v>320</v>
      </c>
      <c r="D38" s="2" t="s">
        <v>25</v>
      </c>
      <c r="E38" s="73" t="s">
        <v>13</v>
      </c>
    </row>
    <row r="39" spans="2:5">
      <c r="B39" s="71" t="s">
        <v>283</v>
      </c>
      <c r="C39" s="2" t="s">
        <v>321</v>
      </c>
      <c r="D39" s="2" t="s">
        <v>26</v>
      </c>
      <c r="E39" s="73" t="s">
        <v>13</v>
      </c>
    </row>
    <row r="40" spans="2:5">
      <c r="B40" s="71" t="s">
        <v>283</v>
      </c>
      <c r="C40" s="2" t="s">
        <v>322</v>
      </c>
      <c r="D40" s="2" t="s">
        <v>27</v>
      </c>
      <c r="E40" s="73" t="s">
        <v>13</v>
      </c>
    </row>
    <row r="41" spans="2:5">
      <c r="B41" s="71" t="s">
        <v>283</v>
      </c>
      <c r="C41" s="2" t="s">
        <v>323</v>
      </c>
      <c r="D41" s="2" t="s">
        <v>28</v>
      </c>
      <c r="E41" s="73" t="s">
        <v>13</v>
      </c>
    </row>
    <row r="42" spans="2:5">
      <c r="B42" s="71" t="s">
        <v>283</v>
      </c>
      <c r="C42" s="2" t="s">
        <v>324</v>
      </c>
      <c r="D42" s="2" t="s">
        <v>29</v>
      </c>
      <c r="E42" s="73" t="s">
        <v>13</v>
      </c>
    </row>
    <row r="43" spans="2:5">
      <c r="B43" s="71" t="s">
        <v>283</v>
      </c>
      <c r="C43" s="2" t="s">
        <v>325</v>
      </c>
      <c r="D43" s="2" t="s">
        <v>30</v>
      </c>
      <c r="E43" s="73" t="s">
        <v>13</v>
      </c>
    </row>
    <row r="44" spans="2:5">
      <c r="B44" s="71" t="s">
        <v>283</v>
      </c>
      <c r="C44" s="2" t="s">
        <v>326</v>
      </c>
      <c r="D44" s="2" t="s">
        <v>366</v>
      </c>
      <c r="E44" s="73" t="s">
        <v>13</v>
      </c>
    </row>
    <row r="45" spans="2:5">
      <c r="B45" s="71" t="s">
        <v>283</v>
      </c>
      <c r="C45" s="2" t="s">
        <v>327</v>
      </c>
      <c r="D45" s="2" t="s">
        <v>32</v>
      </c>
      <c r="E45" s="73" t="s">
        <v>13</v>
      </c>
    </row>
    <row r="46" spans="2:5">
      <c r="B46" s="71" t="s">
        <v>283</v>
      </c>
      <c r="C46" s="2" t="s">
        <v>328</v>
      </c>
      <c r="D46" s="2" t="s">
        <v>33</v>
      </c>
      <c r="E46" s="73" t="s">
        <v>13</v>
      </c>
    </row>
    <row r="47" spans="2:5">
      <c r="B47" s="71" t="s">
        <v>283</v>
      </c>
      <c r="C47" s="2" t="s">
        <v>329</v>
      </c>
      <c r="D47" s="2" t="s">
        <v>34</v>
      </c>
      <c r="E47" s="73" t="s">
        <v>13</v>
      </c>
    </row>
    <row r="48" spans="2:5">
      <c r="B48" s="71" t="s">
        <v>283</v>
      </c>
      <c r="C48" s="2" t="s">
        <v>330</v>
      </c>
      <c r="D48" s="2" t="s">
        <v>35</v>
      </c>
      <c r="E48" s="73" t="s">
        <v>13</v>
      </c>
    </row>
    <row r="49" spans="2:5">
      <c r="B49" s="71" t="s">
        <v>283</v>
      </c>
      <c r="C49" s="2" t="s">
        <v>331</v>
      </c>
      <c r="D49" s="2" t="s">
        <v>36</v>
      </c>
      <c r="E49" s="73" t="s">
        <v>13</v>
      </c>
    </row>
    <row r="50" spans="2:5">
      <c r="B50" s="71" t="s">
        <v>283</v>
      </c>
      <c r="C50" s="2" t="s">
        <v>332</v>
      </c>
      <c r="D50" s="2" t="s">
        <v>37</v>
      </c>
      <c r="E50" s="73" t="s">
        <v>13</v>
      </c>
    </row>
    <row r="51" spans="2:5">
      <c r="B51" s="71" t="s">
        <v>283</v>
      </c>
      <c r="C51" s="2" t="s">
        <v>333</v>
      </c>
      <c r="D51" s="2" t="s">
        <v>38</v>
      </c>
      <c r="E51" s="73" t="s">
        <v>13</v>
      </c>
    </row>
    <row r="52" spans="2:5">
      <c r="B52" s="71" t="s">
        <v>284</v>
      </c>
      <c r="C52" s="2" t="s">
        <v>334</v>
      </c>
      <c r="D52" s="75" t="s">
        <v>23</v>
      </c>
      <c r="E52" s="73" t="s">
        <v>13</v>
      </c>
    </row>
    <row r="53" spans="2:5">
      <c r="B53" s="71" t="s">
        <v>284</v>
      </c>
      <c r="C53" s="2" t="s">
        <v>335</v>
      </c>
      <c r="D53" s="75" t="s">
        <v>24</v>
      </c>
      <c r="E53" s="73" t="s">
        <v>13</v>
      </c>
    </row>
    <row r="54" spans="2:5">
      <c r="B54" s="71" t="s">
        <v>284</v>
      </c>
      <c r="C54" s="2" t="s">
        <v>336</v>
      </c>
      <c r="D54" s="75" t="s">
        <v>25</v>
      </c>
      <c r="E54" s="73" t="s">
        <v>13</v>
      </c>
    </row>
    <row r="55" spans="2:5">
      <c r="B55" s="71" t="s">
        <v>284</v>
      </c>
      <c r="C55" s="2" t="s">
        <v>337</v>
      </c>
      <c r="D55" s="75" t="s">
        <v>26</v>
      </c>
      <c r="E55" s="73" t="s">
        <v>13</v>
      </c>
    </row>
    <row r="56" spans="2:5">
      <c r="B56" s="71" t="s">
        <v>284</v>
      </c>
      <c r="C56" s="2" t="s">
        <v>338</v>
      </c>
      <c r="D56" s="75" t="s">
        <v>27</v>
      </c>
      <c r="E56" s="73" t="s">
        <v>13</v>
      </c>
    </row>
    <row r="57" spans="2:5">
      <c r="B57" s="71" t="s">
        <v>284</v>
      </c>
      <c r="C57" s="2" t="s">
        <v>339</v>
      </c>
      <c r="D57" s="75" t="s">
        <v>28</v>
      </c>
      <c r="E57" s="73" t="s">
        <v>13</v>
      </c>
    </row>
    <row r="58" spans="2:5">
      <c r="B58" s="71" t="s">
        <v>284</v>
      </c>
      <c r="C58" s="2" t="s">
        <v>340</v>
      </c>
      <c r="D58" s="75" t="s">
        <v>29</v>
      </c>
      <c r="E58" s="73" t="s">
        <v>13</v>
      </c>
    </row>
    <row r="59" spans="2:5">
      <c r="B59" s="71" t="s">
        <v>284</v>
      </c>
      <c r="C59" s="2" t="s">
        <v>341</v>
      </c>
      <c r="D59" s="75" t="s">
        <v>30</v>
      </c>
      <c r="E59" s="73" t="s">
        <v>13</v>
      </c>
    </row>
    <row r="60" spans="2:5">
      <c r="B60" s="71" t="s">
        <v>284</v>
      </c>
      <c r="C60" s="2" t="s">
        <v>342</v>
      </c>
      <c r="D60" s="75" t="s">
        <v>366</v>
      </c>
      <c r="E60" s="73" t="s">
        <v>13</v>
      </c>
    </row>
    <row r="61" spans="2:5">
      <c r="B61" s="71" t="s">
        <v>284</v>
      </c>
      <c r="C61" s="2" t="s">
        <v>343</v>
      </c>
      <c r="D61" s="75" t="s">
        <v>32</v>
      </c>
      <c r="E61" s="73" t="s">
        <v>13</v>
      </c>
    </row>
    <row r="62" spans="2:5">
      <c r="B62" s="71" t="s">
        <v>284</v>
      </c>
      <c r="C62" s="2" t="s">
        <v>344</v>
      </c>
      <c r="D62" s="75" t="s">
        <v>33</v>
      </c>
      <c r="E62" s="73" t="s">
        <v>13</v>
      </c>
    </row>
    <row r="63" spans="2:5">
      <c r="B63" s="71" t="s">
        <v>284</v>
      </c>
      <c r="C63" s="2" t="s">
        <v>345</v>
      </c>
      <c r="D63" s="75" t="s">
        <v>34</v>
      </c>
      <c r="E63" s="73" t="s">
        <v>13</v>
      </c>
    </row>
    <row r="64" spans="2:5">
      <c r="B64" s="71" t="s">
        <v>284</v>
      </c>
      <c r="C64" s="2" t="s">
        <v>346</v>
      </c>
      <c r="D64" s="75" t="s">
        <v>35</v>
      </c>
      <c r="E64" s="73" t="s">
        <v>13</v>
      </c>
    </row>
    <row r="65" spans="2:5">
      <c r="B65" s="71" t="s">
        <v>284</v>
      </c>
      <c r="C65" s="2" t="s">
        <v>347</v>
      </c>
      <c r="D65" s="75" t="s">
        <v>36</v>
      </c>
      <c r="E65" s="73" t="s">
        <v>13</v>
      </c>
    </row>
    <row r="66" spans="2:5">
      <c r="B66" s="71" t="s">
        <v>284</v>
      </c>
      <c r="C66" s="2" t="s">
        <v>348</v>
      </c>
      <c r="D66" s="75" t="s">
        <v>37</v>
      </c>
      <c r="E66" s="73" t="s">
        <v>13</v>
      </c>
    </row>
    <row r="67" spans="2:5">
      <c r="B67" s="71" t="s">
        <v>284</v>
      </c>
      <c r="C67" s="2" t="s">
        <v>349</v>
      </c>
      <c r="D67" s="75" t="s">
        <v>38</v>
      </c>
      <c r="E67" s="73" t="s">
        <v>13</v>
      </c>
    </row>
    <row r="68" spans="2:5">
      <c r="B68" s="71" t="s">
        <v>285</v>
      </c>
      <c r="C68" s="2" t="s">
        <v>350</v>
      </c>
      <c r="D68" s="75" t="s">
        <v>23</v>
      </c>
      <c r="E68" s="73" t="s">
        <v>13</v>
      </c>
    </row>
    <row r="69" spans="2:5">
      <c r="B69" s="71" t="s">
        <v>285</v>
      </c>
      <c r="C69" s="2" t="s">
        <v>351</v>
      </c>
      <c r="D69" s="75" t="s">
        <v>24</v>
      </c>
      <c r="E69" s="73" t="s">
        <v>13</v>
      </c>
    </row>
    <row r="70" spans="2:5">
      <c r="B70" s="71" t="s">
        <v>285</v>
      </c>
      <c r="C70" s="2" t="s">
        <v>352</v>
      </c>
      <c r="D70" s="75" t="s">
        <v>25</v>
      </c>
      <c r="E70" s="73" t="s">
        <v>13</v>
      </c>
    </row>
    <row r="71" spans="2:5">
      <c r="B71" s="71" t="s">
        <v>285</v>
      </c>
      <c r="C71" s="2" t="s">
        <v>353</v>
      </c>
      <c r="D71" s="75" t="s">
        <v>26</v>
      </c>
      <c r="E71" s="73" t="s">
        <v>13</v>
      </c>
    </row>
    <row r="72" spans="2:5">
      <c r="B72" s="71" t="s">
        <v>285</v>
      </c>
      <c r="C72" s="2" t="s">
        <v>354</v>
      </c>
      <c r="D72" s="75" t="s">
        <v>27</v>
      </c>
      <c r="E72" s="73" t="s">
        <v>13</v>
      </c>
    </row>
    <row r="73" spans="2:5">
      <c r="B73" s="71" t="s">
        <v>285</v>
      </c>
      <c r="C73" s="2" t="s">
        <v>355</v>
      </c>
      <c r="D73" s="75" t="s">
        <v>28</v>
      </c>
      <c r="E73" s="73" t="s">
        <v>13</v>
      </c>
    </row>
    <row r="74" spans="2:5">
      <c r="B74" s="71" t="s">
        <v>285</v>
      </c>
      <c r="C74" s="2" t="s">
        <v>356</v>
      </c>
      <c r="D74" s="75" t="s">
        <v>29</v>
      </c>
      <c r="E74" s="73" t="s">
        <v>13</v>
      </c>
    </row>
    <row r="75" spans="2:5">
      <c r="B75" s="71" t="s">
        <v>285</v>
      </c>
      <c r="C75" s="2" t="s">
        <v>357</v>
      </c>
      <c r="D75" s="75" t="s">
        <v>30</v>
      </c>
      <c r="E75" s="73" t="s">
        <v>13</v>
      </c>
    </row>
    <row r="76" spans="2:5">
      <c r="B76" s="71" t="s">
        <v>285</v>
      </c>
      <c r="C76" s="2" t="s">
        <v>358</v>
      </c>
      <c r="D76" s="75" t="s">
        <v>366</v>
      </c>
      <c r="E76" s="73" t="s">
        <v>13</v>
      </c>
    </row>
    <row r="77" spans="2:5">
      <c r="B77" s="71" t="s">
        <v>285</v>
      </c>
      <c r="C77" s="2" t="s">
        <v>359</v>
      </c>
      <c r="D77" s="75" t="s">
        <v>32</v>
      </c>
      <c r="E77" s="73" t="s">
        <v>13</v>
      </c>
    </row>
    <row r="78" spans="2:5">
      <c r="B78" s="71" t="s">
        <v>285</v>
      </c>
      <c r="C78" s="2" t="s">
        <v>360</v>
      </c>
      <c r="D78" s="75" t="s">
        <v>33</v>
      </c>
      <c r="E78" s="73" t="s">
        <v>13</v>
      </c>
    </row>
    <row r="79" spans="2:5">
      <c r="B79" s="71" t="s">
        <v>285</v>
      </c>
      <c r="C79" s="2" t="s">
        <v>361</v>
      </c>
      <c r="D79" s="75" t="s">
        <v>34</v>
      </c>
      <c r="E79" s="73" t="s">
        <v>13</v>
      </c>
    </row>
    <row r="80" spans="2:5">
      <c r="B80" s="71" t="s">
        <v>285</v>
      </c>
      <c r="C80" s="2" t="s">
        <v>362</v>
      </c>
      <c r="D80" s="75" t="s">
        <v>35</v>
      </c>
      <c r="E80" s="73" t="s">
        <v>13</v>
      </c>
    </row>
    <row r="81" spans="2:5">
      <c r="B81" s="71" t="s">
        <v>285</v>
      </c>
      <c r="C81" s="2" t="s">
        <v>363</v>
      </c>
      <c r="D81" s="75" t="s">
        <v>36</v>
      </c>
      <c r="E81" s="73" t="s">
        <v>13</v>
      </c>
    </row>
    <row r="82" spans="2:5">
      <c r="B82" s="71" t="s">
        <v>285</v>
      </c>
      <c r="C82" s="2" t="s">
        <v>364</v>
      </c>
      <c r="D82" s="75" t="s">
        <v>37</v>
      </c>
      <c r="E82" s="73" t="s">
        <v>13</v>
      </c>
    </row>
    <row r="83" spans="2:5">
      <c r="B83" s="71" t="s">
        <v>285</v>
      </c>
      <c r="C83" s="2" t="s">
        <v>365</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21"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9" t="s">
        <v>47</v>
      </c>
      <c r="C3" s="620"/>
      <c r="D3" s="620"/>
      <c r="E3" s="620"/>
      <c r="F3" s="620"/>
      <c r="G3" s="620"/>
      <c r="H3" s="620"/>
      <c r="I3" s="620"/>
      <c r="J3" s="620"/>
      <c r="K3" s="620"/>
      <c r="L3" s="620"/>
      <c r="M3" s="620"/>
      <c r="N3" s="620"/>
      <c r="O3" s="621"/>
    </row>
    <row r="4" spans="1:16" ht="7.35" customHeight="1">
      <c r="A4" s="32"/>
      <c r="B4" s="626" t="s">
        <v>48</v>
      </c>
      <c r="C4" s="627"/>
      <c r="D4" s="627"/>
      <c r="E4" s="627"/>
      <c r="F4" s="627"/>
      <c r="G4" s="627"/>
      <c r="H4" s="627"/>
      <c r="I4" s="627"/>
      <c r="J4" s="627"/>
      <c r="K4" s="627"/>
      <c r="L4" s="627"/>
      <c r="M4" s="627"/>
      <c r="N4" s="627"/>
      <c r="O4" s="256"/>
    </row>
    <row r="5" spans="1:16" ht="43.5" customHeight="1">
      <c r="A5" s="32"/>
      <c r="B5" s="626"/>
      <c r="C5" s="627"/>
      <c r="D5" s="627"/>
      <c r="E5" s="627"/>
      <c r="F5" s="627"/>
      <c r="G5" s="627"/>
      <c r="H5" s="627"/>
      <c r="I5" s="627"/>
      <c r="J5" s="627"/>
      <c r="K5" s="627"/>
      <c r="L5" s="627"/>
      <c r="M5" s="627"/>
      <c r="N5" s="627"/>
      <c r="O5" s="256"/>
    </row>
    <row r="6" spans="1:16" ht="43.5" customHeight="1">
      <c r="A6" s="32"/>
      <c r="B6" s="626"/>
      <c r="C6" s="627"/>
      <c r="D6" s="627"/>
      <c r="E6" s="627"/>
      <c r="F6" s="627"/>
      <c r="G6" s="627"/>
      <c r="H6" s="627"/>
      <c r="I6" s="627"/>
      <c r="J6" s="627"/>
      <c r="K6" s="627"/>
      <c r="L6" s="627"/>
      <c r="M6" s="627"/>
      <c r="N6" s="627"/>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30" t="s">
        <v>49</v>
      </c>
      <c r="E9" s="628"/>
      <c r="F9" s="628"/>
      <c r="G9" s="629"/>
      <c r="I9" s="238"/>
      <c r="J9" s="635" t="s">
        <v>49</v>
      </c>
      <c r="K9" s="632"/>
      <c r="L9" s="633"/>
      <c r="M9" s="634"/>
      <c r="O9" s="256"/>
    </row>
    <row r="10" spans="1:16" ht="37.5" customHeight="1" thickBot="1">
      <c r="A10" s="240"/>
      <c r="B10" s="249"/>
      <c r="C10" s="62" t="s">
        <v>50</v>
      </c>
      <c r="D10" s="631"/>
      <c r="E10" s="63" t="s">
        <v>51</v>
      </c>
      <c r="F10" s="63" t="s">
        <v>52</v>
      </c>
      <c r="G10" s="64" t="s">
        <v>53</v>
      </c>
      <c r="I10" s="66" t="s">
        <v>50</v>
      </c>
      <c r="J10" s="636"/>
      <c r="K10" s="67" t="s">
        <v>51</v>
      </c>
      <c r="L10" s="67" t="s">
        <v>52</v>
      </c>
      <c r="M10" s="68" t="s">
        <v>53</v>
      </c>
      <c r="O10" s="256"/>
    </row>
    <row r="11" spans="1:16" ht="18.75">
      <c r="A11" s="242"/>
      <c r="B11" s="247"/>
      <c r="C11" s="65" t="s">
        <v>18</v>
      </c>
      <c r="D11" s="345">
        <v>1</v>
      </c>
      <c r="E11" s="345">
        <v>1</v>
      </c>
      <c r="F11" s="345">
        <v>1</v>
      </c>
      <c r="G11" s="346">
        <v>1</v>
      </c>
      <c r="I11" s="575" t="s">
        <v>23</v>
      </c>
      <c r="J11" s="345">
        <v>1</v>
      </c>
      <c r="K11" s="345">
        <v>1</v>
      </c>
      <c r="L11" s="345">
        <v>1</v>
      </c>
      <c r="M11" s="346">
        <v>1</v>
      </c>
      <c r="O11" s="256"/>
    </row>
    <row r="12" spans="1:16" ht="18.75">
      <c r="A12" s="32"/>
      <c r="B12" s="247"/>
      <c r="C12" s="34" t="s">
        <v>16</v>
      </c>
      <c r="D12" s="347">
        <v>1</v>
      </c>
      <c r="E12" s="347">
        <v>1</v>
      </c>
      <c r="F12" s="347">
        <v>1</v>
      </c>
      <c r="G12" s="348">
        <v>1</v>
      </c>
      <c r="I12" s="576" t="s">
        <v>24</v>
      </c>
      <c r="J12" s="347">
        <v>0.93</v>
      </c>
      <c r="K12" s="347">
        <v>1</v>
      </c>
      <c r="L12" s="347">
        <v>1</v>
      </c>
      <c r="M12" s="348">
        <v>0.8</v>
      </c>
      <c r="N12" s="257"/>
      <c r="O12" s="248"/>
    </row>
    <row r="13" spans="1:16" ht="18.75">
      <c r="A13" s="32"/>
      <c r="B13" s="247"/>
      <c r="C13" s="34" t="s">
        <v>19</v>
      </c>
      <c r="D13" s="347">
        <v>1</v>
      </c>
      <c r="E13" s="347">
        <v>1</v>
      </c>
      <c r="F13" s="347">
        <v>1</v>
      </c>
      <c r="G13" s="348">
        <v>1</v>
      </c>
      <c r="I13" s="576" t="s">
        <v>25</v>
      </c>
      <c r="J13" s="347">
        <v>0.93</v>
      </c>
      <c r="K13" s="347">
        <v>1</v>
      </c>
      <c r="L13" s="347">
        <v>1</v>
      </c>
      <c r="M13" s="348">
        <v>0.8</v>
      </c>
      <c r="N13" s="257"/>
      <c r="O13" s="248"/>
    </row>
    <row r="14" spans="1:16" ht="18.75">
      <c r="A14" s="243"/>
      <c r="B14" s="247"/>
      <c r="C14" s="34" t="s">
        <v>17</v>
      </c>
      <c r="D14" s="347">
        <v>0.75</v>
      </c>
      <c r="E14" s="347">
        <v>0.75</v>
      </c>
      <c r="F14" s="347">
        <v>0.75</v>
      </c>
      <c r="G14" s="348">
        <v>0.75</v>
      </c>
      <c r="I14" s="576" t="s">
        <v>26</v>
      </c>
      <c r="J14" s="347">
        <v>1</v>
      </c>
      <c r="K14" s="347">
        <v>1</v>
      </c>
      <c r="L14" s="347">
        <v>1</v>
      </c>
      <c r="M14" s="348">
        <v>1</v>
      </c>
      <c r="N14" s="257"/>
      <c r="O14" s="248"/>
    </row>
    <row r="15" spans="1:16" ht="18.75">
      <c r="A15" s="32"/>
      <c r="B15" s="247"/>
      <c r="C15" s="57" t="s">
        <v>367</v>
      </c>
      <c r="D15" s="347">
        <v>1</v>
      </c>
      <c r="E15" s="347">
        <v>1</v>
      </c>
      <c r="F15" s="347">
        <v>1</v>
      </c>
      <c r="G15" s="348">
        <v>1</v>
      </c>
      <c r="I15" s="576" t="s">
        <v>27</v>
      </c>
      <c r="J15" s="347">
        <v>0.93</v>
      </c>
      <c r="K15" s="347">
        <v>1</v>
      </c>
      <c r="L15" s="347">
        <v>0.8</v>
      </c>
      <c r="M15" s="348">
        <v>1</v>
      </c>
      <c r="N15" s="257"/>
      <c r="O15" s="248"/>
    </row>
    <row r="16" spans="1:16" ht="18.75">
      <c r="A16" s="32"/>
      <c r="B16" s="247"/>
      <c r="C16" s="57" t="s">
        <v>368</v>
      </c>
      <c r="D16" s="347">
        <v>1</v>
      </c>
      <c r="E16" s="347">
        <v>1</v>
      </c>
      <c r="F16" s="347">
        <v>1</v>
      </c>
      <c r="G16" s="348">
        <v>1</v>
      </c>
      <c r="I16" s="576" t="s">
        <v>28</v>
      </c>
      <c r="J16" s="347">
        <v>0.73</v>
      </c>
      <c r="K16" s="347">
        <v>1</v>
      </c>
      <c r="L16" s="347">
        <v>0.6</v>
      </c>
      <c r="M16" s="348">
        <v>0.6</v>
      </c>
      <c r="N16" s="257"/>
      <c r="O16" s="248"/>
    </row>
    <row r="17" spans="1:15" ht="18.75">
      <c r="A17" s="32"/>
      <c r="B17" s="247"/>
      <c r="C17" s="57" t="s">
        <v>369</v>
      </c>
      <c r="D17" s="347">
        <v>1</v>
      </c>
      <c r="E17" s="347">
        <v>1</v>
      </c>
      <c r="F17" s="347">
        <v>1</v>
      </c>
      <c r="G17" s="348">
        <v>1</v>
      </c>
      <c r="I17" s="576" t="s">
        <v>29</v>
      </c>
      <c r="J17" s="347">
        <v>0.73</v>
      </c>
      <c r="K17" s="347">
        <v>1</v>
      </c>
      <c r="L17" s="347">
        <v>0.6</v>
      </c>
      <c r="M17" s="348">
        <v>0.6</v>
      </c>
      <c r="N17" s="257"/>
      <c r="O17" s="248"/>
    </row>
    <row r="18" spans="1:15" ht="18.75">
      <c r="A18" s="32"/>
      <c r="B18" s="247"/>
      <c r="C18" s="57" t="s">
        <v>370</v>
      </c>
      <c r="D18" s="347">
        <v>0</v>
      </c>
      <c r="E18" s="347">
        <v>0</v>
      </c>
      <c r="F18" s="347">
        <v>0</v>
      </c>
      <c r="G18" s="348">
        <v>0</v>
      </c>
      <c r="I18" s="576" t="s">
        <v>30</v>
      </c>
      <c r="J18" s="347">
        <v>1</v>
      </c>
      <c r="K18" s="347">
        <v>1</v>
      </c>
      <c r="L18" s="347">
        <v>1</v>
      </c>
      <c r="M18" s="348">
        <v>1</v>
      </c>
      <c r="N18" s="257"/>
      <c r="O18" s="248"/>
    </row>
    <row r="19" spans="1:15" ht="18.75">
      <c r="A19" s="32"/>
      <c r="B19" s="247"/>
      <c r="C19" s="34" t="s">
        <v>371</v>
      </c>
      <c r="D19" s="347">
        <v>1</v>
      </c>
      <c r="E19" s="347">
        <v>1</v>
      </c>
      <c r="F19" s="347">
        <v>1</v>
      </c>
      <c r="G19" s="348">
        <v>1</v>
      </c>
      <c r="I19" s="576" t="s">
        <v>366</v>
      </c>
      <c r="J19" s="347">
        <v>1</v>
      </c>
      <c r="K19" s="347">
        <v>1</v>
      </c>
      <c r="L19" s="347">
        <v>1</v>
      </c>
      <c r="M19" s="348">
        <v>1</v>
      </c>
      <c r="N19" s="257"/>
      <c r="O19" s="248"/>
    </row>
    <row r="20" spans="1:15" ht="18.75">
      <c r="A20" s="32"/>
      <c r="B20" s="247"/>
      <c r="C20" s="34" t="s">
        <v>372</v>
      </c>
      <c r="D20" s="347">
        <v>1</v>
      </c>
      <c r="E20" s="347">
        <v>1</v>
      </c>
      <c r="F20" s="347">
        <v>1</v>
      </c>
      <c r="G20" s="348">
        <v>1</v>
      </c>
      <c r="I20" s="576" t="s">
        <v>32</v>
      </c>
      <c r="J20" s="347">
        <v>0.87</v>
      </c>
      <c r="K20" s="347">
        <v>1</v>
      </c>
      <c r="L20" s="347">
        <v>0.8</v>
      </c>
      <c r="M20" s="348">
        <v>0.8</v>
      </c>
      <c r="N20" s="257"/>
      <c r="O20" s="248"/>
    </row>
    <row r="21" spans="1:15" ht="18.75">
      <c r="A21" s="32"/>
      <c r="B21" s="247"/>
      <c r="C21" s="33" t="s">
        <v>373</v>
      </c>
      <c r="D21" s="347">
        <v>1</v>
      </c>
      <c r="E21" s="347">
        <v>1</v>
      </c>
      <c r="F21" s="347">
        <v>1</v>
      </c>
      <c r="G21" s="348">
        <v>1</v>
      </c>
      <c r="I21" s="576" t="s">
        <v>33</v>
      </c>
      <c r="J21" s="347">
        <v>1</v>
      </c>
      <c r="K21" s="347">
        <v>1</v>
      </c>
      <c r="L21" s="347">
        <v>1</v>
      </c>
      <c r="M21" s="348">
        <v>1</v>
      </c>
      <c r="N21" s="257"/>
      <c r="O21" s="248"/>
    </row>
    <row r="22" spans="1:15" ht="18.75">
      <c r="A22" s="32"/>
      <c r="B22" s="247"/>
      <c r="C22" s="33" t="s">
        <v>374</v>
      </c>
      <c r="D22" s="347">
        <v>1</v>
      </c>
      <c r="E22" s="347">
        <v>1</v>
      </c>
      <c r="F22" s="347">
        <v>1</v>
      </c>
      <c r="G22" s="348">
        <v>1</v>
      </c>
      <c r="I22" s="576" t="s">
        <v>34</v>
      </c>
      <c r="J22" s="347">
        <v>1</v>
      </c>
      <c r="K22" s="347">
        <v>1</v>
      </c>
      <c r="L22" s="347">
        <v>1</v>
      </c>
      <c r="M22" s="348">
        <v>1</v>
      </c>
      <c r="N22" s="257"/>
      <c r="O22" s="248"/>
    </row>
    <row r="23" spans="1:15" ht="18.75">
      <c r="A23" s="32"/>
      <c r="B23" s="247"/>
      <c r="C23" s="34" t="s">
        <v>191</v>
      </c>
      <c r="D23" s="347">
        <v>0.83</v>
      </c>
      <c r="E23" s="347">
        <v>0.75</v>
      </c>
      <c r="F23" s="347">
        <v>1</v>
      </c>
      <c r="G23" s="348">
        <v>0.75</v>
      </c>
      <c r="I23" s="576" t="s">
        <v>35</v>
      </c>
      <c r="J23" s="347">
        <v>1</v>
      </c>
      <c r="K23" s="347">
        <v>1</v>
      </c>
      <c r="L23" s="347">
        <v>1</v>
      </c>
      <c r="M23" s="348">
        <v>1</v>
      </c>
      <c r="N23" s="257"/>
      <c r="O23" s="248"/>
    </row>
    <row r="24" spans="1:15" ht="18.75">
      <c r="A24" s="32"/>
      <c r="B24" s="247"/>
      <c r="C24" s="33" t="s">
        <v>375</v>
      </c>
      <c r="D24" s="347">
        <v>1</v>
      </c>
      <c r="E24" s="347">
        <v>1</v>
      </c>
      <c r="F24" s="347">
        <v>1</v>
      </c>
      <c r="G24" s="348">
        <v>1</v>
      </c>
      <c r="I24" s="576" t="s">
        <v>36</v>
      </c>
      <c r="J24" s="347">
        <v>1</v>
      </c>
      <c r="K24" s="347">
        <v>1</v>
      </c>
      <c r="L24" s="347">
        <v>1</v>
      </c>
      <c r="M24" s="348">
        <v>1</v>
      </c>
      <c r="N24" s="257"/>
      <c r="O24" s="248"/>
    </row>
    <row r="25" spans="1:15" ht="18.75">
      <c r="A25" s="32"/>
      <c r="B25" s="247"/>
      <c r="C25" s="33" t="s">
        <v>191</v>
      </c>
      <c r="D25" s="347">
        <v>1</v>
      </c>
      <c r="E25" s="347">
        <v>1</v>
      </c>
      <c r="F25" s="347">
        <v>1</v>
      </c>
      <c r="G25" s="348">
        <v>1</v>
      </c>
      <c r="I25" s="576" t="s">
        <v>37</v>
      </c>
      <c r="J25" s="347">
        <v>0.87</v>
      </c>
      <c r="K25" s="347">
        <v>1</v>
      </c>
      <c r="L25" s="347">
        <v>0.6</v>
      </c>
      <c r="M25" s="348">
        <v>1</v>
      </c>
      <c r="N25" s="257"/>
      <c r="O25" s="248"/>
    </row>
    <row r="26" spans="1:15" ht="19.5" thickBot="1">
      <c r="A26" s="32"/>
      <c r="B26" s="247"/>
      <c r="C26" s="33" t="s">
        <v>376</v>
      </c>
      <c r="D26" s="347">
        <v>1</v>
      </c>
      <c r="E26" s="347">
        <v>1</v>
      </c>
      <c r="F26" s="347">
        <v>1</v>
      </c>
      <c r="G26" s="348">
        <v>1</v>
      </c>
      <c r="I26" s="577" t="s">
        <v>38</v>
      </c>
      <c r="J26" s="349">
        <v>0.83</v>
      </c>
      <c r="K26" s="349">
        <v>1</v>
      </c>
      <c r="L26" s="349">
        <v>0.5</v>
      </c>
      <c r="M26" s="350">
        <v>1</v>
      </c>
      <c r="N26" s="257"/>
      <c r="O26" s="248"/>
    </row>
    <row r="27" spans="1:15" ht="23.25" customHeight="1">
      <c r="A27" s="32"/>
      <c r="B27" s="247"/>
      <c r="C27" s="33" t="s">
        <v>377</v>
      </c>
      <c r="D27" s="347">
        <v>0.33</v>
      </c>
      <c r="E27" s="347">
        <v>0</v>
      </c>
      <c r="F27" s="347">
        <v>1</v>
      </c>
      <c r="G27" s="348">
        <v>0</v>
      </c>
      <c r="N27" s="257"/>
      <c r="O27" s="248"/>
    </row>
    <row r="28" spans="1:15" ht="23.25" customHeight="1" thickBot="1">
      <c r="A28" s="32"/>
      <c r="B28" s="247"/>
      <c r="C28" s="306" t="s">
        <v>20</v>
      </c>
      <c r="D28" s="349">
        <v>1</v>
      </c>
      <c r="E28" s="349">
        <v>1</v>
      </c>
      <c r="F28" s="349">
        <v>1</v>
      </c>
      <c r="G28" s="350">
        <v>1</v>
      </c>
      <c r="I28" s="574"/>
      <c r="J28" s="574"/>
      <c r="N28" s="257"/>
      <c r="O28" s="248"/>
    </row>
    <row r="29" spans="1:15" ht="28.5" customHeight="1" thickBot="1">
      <c r="B29" s="247"/>
      <c r="N29" s="257"/>
      <c r="O29" s="248"/>
    </row>
    <row r="30" spans="1:15" ht="42" customHeight="1" thickBot="1">
      <c r="A30" s="32"/>
      <c r="B30" s="249"/>
      <c r="C30" s="645" t="s">
        <v>54</v>
      </c>
      <c r="D30" s="646"/>
      <c r="E30" s="646"/>
      <c r="F30" s="646"/>
      <c r="G30" s="647"/>
      <c r="N30" s="257"/>
      <c r="O30" s="248"/>
    </row>
    <row r="31" spans="1:15" ht="49.5" customHeight="1">
      <c r="A31" s="32"/>
      <c r="B31" s="247"/>
      <c r="C31" s="637" t="s">
        <v>51</v>
      </c>
      <c r="D31" s="638"/>
      <c r="E31" s="639" t="s">
        <v>55</v>
      </c>
      <c r="F31" s="639"/>
      <c r="G31" s="640"/>
      <c r="N31" s="257"/>
      <c r="O31" s="248"/>
    </row>
    <row r="32" spans="1:15" ht="60" customHeight="1">
      <c r="A32" s="32"/>
      <c r="B32" s="247"/>
      <c r="C32" s="641" t="s">
        <v>52</v>
      </c>
      <c r="D32" s="642"/>
      <c r="E32" s="643" t="s">
        <v>56</v>
      </c>
      <c r="F32" s="643"/>
      <c r="G32" s="644"/>
      <c r="N32" s="257"/>
      <c r="O32" s="248"/>
    </row>
    <row r="33" spans="1:15" ht="66.75" customHeight="1" thickBot="1">
      <c r="A33" s="32"/>
      <c r="B33" s="249"/>
      <c r="C33" s="622" t="s">
        <v>53</v>
      </c>
      <c r="D33" s="623"/>
      <c r="E33" s="624" t="s">
        <v>57</v>
      </c>
      <c r="F33" s="624"/>
      <c r="G33" s="625"/>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zoomScale="40" zoomScaleNormal="40" workbookViewId="0">
      <selection activeCell="L16" sqref="L16"/>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5"/>
      <c r="C1" s="656"/>
      <c r="D1" s="657"/>
      <c r="E1" s="79"/>
      <c r="F1" s="82"/>
      <c r="G1" s="80"/>
      <c r="I1" s="97"/>
      <c r="J1" s="96"/>
      <c r="K1" s="104"/>
      <c r="L1" s="104"/>
      <c r="M1" s="87"/>
      <c r="N1" s="81"/>
      <c r="O1" s="81"/>
      <c r="P1" s="90"/>
    </row>
    <row r="2" spans="1:17" ht="36">
      <c r="B2" s="120" t="s">
        <v>172</v>
      </c>
      <c r="C2" s="120"/>
      <c r="D2" s="82"/>
      <c r="E2" s="88"/>
      <c r="G2" s="90"/>
      <c r="H2" s="82"/>
      <c r="I2" s="651" t="s">
        <v>392</v>
      </c>
      <c r="J2" s="652"/>
      <c r="K2" s="93"/>
      <c r="L2" s="82"/>
      <c r="M2" s="90"/>
      <c r="N2" s="82"/>
      <c r="O2" s="79"/>
      <c r="P2" s="82"/>
      <c r="Q2" s="79"/>
    </row>
    <row r="3" spans="1:17" s="59" customFormat="1" ht="22.5" customHeight="1">
      <c r="A3" s="85"/>
      <c r="B3" s="59" t="s">
        <v>393</v>
      </c>
      <c r="D3" s="91"/>
      <c r="E3" s="84"/>
      <c r="F3" s="86"/>
      <c r="G3" s="91"/>
      <c r="H3" s="94"/>
      <c r="I3" s="95"/>
      <c r="J3" s="95"/>
      <c r="K3" s="86"/>
      <c r="L3" s="86"/>
      <c r="M3" s="86"/>
      <c r="N3" s="84"/>
      <c r="O3" s="84"/>
      <c r="P3" s="86"/>
      <c r="Q3" s="119"/>
    </row>
    <row r="4" spans="1:17" s="60" customFormat="1" ht="25.5" customHeight="1" thickBot="1">
      <c r="B4" s="133" t="s">
        <v>64</v>
      </c>
      <c r="C4" s="299"/>
      <c r="D4" s="204"/>
      <c r="F4" s="203"/>
      <c r="G4" s="108"/>
      <c r="H4" s="108"/>
      <c r="I4" s="203"/>
      <c r="J4" s="203"/>
      <c r="K4" s="203"/>
      <c r="L4" s="93"/>
      <c r="M4" s="108"/>
      <c r="N4" s="109"/>
      <c r="O4" s="92"/>
      <c r="P4" s="93"/>
      <c r="Q4" s="118"/>
    </row>
    <row r="5" spans="1:17" ht="78" customHeight="1" thickBot="1">
      <c r="A5" s="89"/>
      <c r="B5" s="378" t="s">
        <v>58</v>
      </c>
      <c r="C5" s="658" t="s">
        <v>183</v>
      </c>
      <c r="D5" s="659"/>
      <c r="E5" s="375" t="s">
        <v>60</v>
      </c>
      <c r="F5" s="375" t="s">
        <v>59</v>
      </c>
      <c r="G5" s="375" t="s">
        <v>61</v>
      </c>
      <c r="H5" s="376" t="s">
        <v>118</v>
      </c>
      <c r="I5" s="376" t="s">
        <v>62</v>
      </c>
      <c r="J5" s="377" t="s">
        <v>63</v>
      </c>
      <c r="K5" s="205"/>
      <c r="L5" s="82"/>
      <c r="M5" s="82"/>
      <c r="N5" s="82"/>
      <c r="O5" s="81"/>
      <c r="P5" s="104"/>
    </row>
    <row r="6" spans="1:17" ht="51" customHeight="1">
      <c r="B6" s="215" t="s">
        <v>378</v>
      </c>
      <c r="C6" s="660">
        <v>44725</v>
      </c>
      <c r="D6" s="661"/>
      <c r="E6" s="459">
        <v>44908</v>
      </c>
      <c r="F6" s="459">
        <v>45090</v>
      </c>
      <c r="G6" s="459">
        <v>45273</v>
      </c>
      <c r="H6" s="459">
        <v>45456</v>
      </c>
      <c r="I6" s="459">
        <v>45639</v>
      </c>
      <c r="J6" s="462">
        <v>45821</v>
      </c>
      <c r="K6" s="116"/>
      <c r="L6" s="82"/>
      <c r="M6" s="82"/>
      <c r="N6" s="90"/>
      <c r="O6" s="79"/>
      <c r="P6" s="104"/>
      <c r="Q6" s="79"/>
    </row>
    <row r="7" spans="1:17" ht="45.75" customHeight="1">
      <c r="A7" s="99"/>
      <c r="B7" s="216" t="s">
        <v>379</v>
      </c>
      <c r="C7" s="662">
        <v>37484</v>
      </c>
      <c r="D7" s="663"/>
      <c r="E7" s="460">
        <v>44608</v>
      </c>
      <c r="F7" s="460">
        <v>45154</v>
      </c>
      <c r="G7" s="460">
        <v>45338</v>
      </c>
      <c r="H7" s="460">
        <v>45520</v>
      </c>
      <c r="I7" s="460">
        <v>45704</v>
      </c>
      <c r="J7" s="463">
        <v>45885</v>
      </c>
      <c r="L7" s="82"/>
      <c r="M7" s="82"/>
      <c r="N7" s="82"/>
      <c r="O7" s="81"/>
      <c r="P7" s="90"/>
    </row>
    <row r="8" spans="1:17" ht="44.25" customHeight="1">
      <c r="A8" s="100"/>
      <c r="B8" s="216" t="s">
        <v>380</v>
      </c>
      <c r="C8" s="662">
        <v>44868</v>
      </c>
      <c r="D8" s="663"/>
      <c r="E8" s="460">
        <v>45049</v>
      </c>
      <c r="F8" s="460">
        <v>45233</v>
      </c>
      <c r="G8" s="460">
        <v>45415</v>
      </c>
      <c r="H8" s="460">
        <v>45599</v>
      </c>
      <c r="I8" s="460">
        <v>45780</v>
      </c>
      <c r="J8" s="463">
        <v>45964</v>
      </c>
      <c r="K8" s="206"/>
      <c r="L8" s="82"/>
      <c r="M8" s="82"/>
      <c r="N8" s="82"/>
      <c r="P8" s="82"/>
      <c r="Q8" s="82"/>
    </row>
    <row r="9" spans="1:17" ht="39.75" customHeight="1">
      <c r="A9" s="100"/>
      <c r="B9" s="216" t="s">
        <v>381</v>
      </c>
      <c r="C9" s="662">
        <v>45439</v>
      </c>
      <c r="D9" s="663"/>
      <c r="E9" s="460">
        <v>45623</v>
      </c>
      <c r="F9" s="460">
        <v>45804</v>
      </c>
      <c r="G9" s="460">
        <v>45988</v>
      </c>
      <c r="H9" s="460">
        <v>46169</v>
      </c>
      <c r="I9" s="460">
        <v>46353</v>
      </c>
      <c r="J9" s="463">
        <v>46534</v>
      </c>
      <c r="K9" s="152"/>
      <c r="L9" s="82"/>
      <c r="M9" s="82"/>
      <c r="N9" s="88"/>
      <c r="O9" s="79"/>
      <c r="P9" s="104"/>
      <c r="Q9" s="105"/>
    </row>
    <row r="10" spans="1:17" ht="55.5" customHeight="1">
      <c r="A10" s="102"/>
      <c r="B10" s="216" t="s">
        <v>382</v>
      </c>
      <c r="C10" s="662">
        <v>45017</v>
      </c>
      <c r="D10" s="663"/>
      <c r="E10" s="460">
        <v>45200</v>
      </c>
      <c r="F10" s="460">
        <v>45383</v>
      </c>
      <c r="G10" s="460">
        <v>45566</v>
      </c>
      <c r="H10" s="460">
        <v>45748</v>
      </c>
      <c r="I10" s="460">
        <v>45931</v>
      </c>
      <c r="J10" s="463">
        <v>46113</v>
      </c>
      <c r="K10" s="116"/>
      <c r="L10" s="82"/>
      <c r="M10" s="82"/>
      <c r="N10" s="90"/>
      <c r="O10" s="81"/>
      <c r="P10" s="82"/>
    </row>
    <row r="11" spans="1:17" ht="44.25" customHeight="1">
      <c r="A11" s="101"/>
      <c r="B11" s="216" t="s">
        <v>383</v>
      </c>
      <c r="C11" s="662">
        <v>44930</v>
      </c>
      <c r="D11" s="663"/>
      <c r="E11" s="460">
        <v>45111</v>
      </c>
      <c r="F11" s="460">
        <v>45295</v>
      </c>
      <c r="G11" s="460">
        <v>45477</v>
      </c>
      <c r="H11" s="460">
        <v>45661</v>
      </c>
      <c r="I11" s="460">
        <v>45842</v>
      </c>
      <c r="J11" s="463">
        <v>46026</v>
      </c>
      <c r="L11" s="82"/>
      <c r="M11" s="90"/>
      <c r="N11" s="82"/>
      <c r="O11" s="89"/>
      <c r="P11" s="82"/>
      <c r="Q11" s="103"/>
    </row>
    <row r="12" spans="1:17" ht="66.75" customHeight="1" thickBot="1">
      <c r="A12" s="100"/>
      <c r="B12" s="217" t="s">
        <v>384</v>
      </c>
      <c r="C12" s="653">
        <v>44958</v>
      </c>
      <c r="D12" s="654"/>
      <c r="E12" s="461">
        <v>45139</v>
      </c>
      <c r="F12" s="461">
        <v>45323</v>
      </c>
      <c r="G12" s="461">
        <v>45505</v>
      </c>
      <c r="H12" s="461">
        <v>45689</v>
      </c>
      <c r="I12" s="461">
        <v>45870</v>
      </c>
      <c r="J12" s="464">
        <v>46054</v>
      </c>
      <c r="K12" s="206"/>
      <c r="L12" s="82"/>
      <c r="M12" s="82"/>
      <c r="N12" s="104"/>
      <c r="O12" s="82"/>
      <c r="P12" s="82"/>
      <c r="Q12" s="103"/>
    </row>
    <row r="13" spans="1:17" ht="15.75" thickBot="1">
      <c r="A13" s="79"/>
      <c r="B13" s="124"/>
      <c r="C13" s="124"/>
      <c r="D13" s="107"/>
      <c r="F13" s="124"/>
      <c r="H13" s="125"/>
      <c r="I13" s="125"/>
      <c r="J13" s="125"/>
      <c r="K13" s="103"/>
      <c r="L13" s="82"/>
      <c r="M13" s="106"/>
      <c r="N13" s="82"/>
      <c r="O13" s="82"/>
      <c r="P13" s="79"/>
    </row>
    <row r="14" spans="1:17" ht="30.75" customHeight="1" thickBot="1">
      <c r="A14" s="79"/>
      <c r="B14" s="482" t="s">
        <v>67</v>
      </c>
      <c r="C14" s="480"/>
      <c r="D14" s="289" t="s">
        <v>68</v>
      </c>
      <c r="E14" s="126"/>
      <c r="F14" s="127"/>
      <c r="G14" s="128"/>
      <c r="H14" s="129"/>
      <c r="I14" s="130"/>
      <c r="J14" s="131"/>
      <c r="K14" s="301"/>
      <c r="L14" s="82"/>
      <c r="M14" s="82"/>
      <c r="N14" s="106"/>
      <c r="O14" s="82"/>
      <c r="P14" s="79"/>
    </row>
    <row r="15" spans="1:17" ht="8.25" customHeight="1" thickBot="1">
      <c r="A15" s="87"/>
      <c r="B15" s="481"/>
      <c r="C15" s="300"/>
      <c r="D15" s="290"/>
      <c r="E15" s="291"/>
      <c r="F15" s="291"/>
      <c r="G15" s="292"/>
      <c r="H15" s="291"/>
      <c r="I15" s="292"/>
      <c r="J15" s="293"/>
      <c r="L15" s="82"/>
      <c r="M15" s="104"/>
      <c r="N15" s="82"/>
      <c r="O15" s="79"/>
      <c r="P15" s="79"/>
    </row>
    <row r="16" spans="1:17" ht="74.25" customHeight="1" thickBot="1">
      <c r="A16" s="79"/>
      <c r="B16" s="484" t="s">
        <v>145</v>
      </c>
      <c r="C16" s="483"/>
      <c r="D16" s="294" t="s">
        <v>378</v>
      </c>
      <c r="E16" s="648" t="s">
        <v>385</v>
      </c>
      <c r="F16" s="649"/>
      <c r="G16" s="649"/>
      <c r="H16" s="649"/>
      <c r="I16" s="649"/>
      <c r="J16" s="650"/>
      <c r="K16" s="302"/>
      <c r="L16" s="115"/>
      <c r="M16" s="113"/>
      <c r="N16" s="112"/>
      <c r="P16" s="79"/>
    </row>
    <row r="17" spans="1:16" ht="108.75" customHeight="1" thickBot="1">
      <c r="A17" s="87"/>
      <c r="B17" s="486" t="s">
        <v>65</v>
      </c>
      <c r="C17" s="485"/>
      <c r="D17" s="294" t="s">
        <v>379</v>
      </c>
      <c r="E17" s="648" t="s">
        <v>386</v>
      </c>
      <c r="F17" s="649"/>
      <c r="G17" s="649"/>
      <c r="H17" s="649"/>
      <c r="I17" s="649"/>
      <c r="J17" s="650"/>
      <c r="K17" s="136"/>
      <c r="L17" s="123"/>
      <c r="M17" s="115"/>
      <c r="N17" s="115"/>
      <c r="O17" s="82"/>
      <c r="P17" s="79"/>
    </row>
    <row r="18" spans="1:16" ht="87" customHeight="1" thickBot="1">
      <c r="A18" s="78"/>
      <c r="B18" s="486" t="s">
        <v>66</v>
      </c>
      <c r="C18" s="485"/>
      <c r="D18" s="295" t="s">
        <v>380</v>
      </c>
      <c r="E18" s="648" t="s">
        <v>387</v>
      </c>
      <c r="F18" s="649"/>
      <c r="G18" s="649"/>
      <c r="H18" s="649"/>
      <c r="I18" s="649"/>
      <c r="J18" s="650"/>
      <c r="L18" s="115"/>
      <c r="M18" s="111"/>
      <c r="N18" s="110"/>
      <c r="O18" s="58"/>
      <c r="P18" s="87"/>
    </row>
    <row r="19" spans="1:16" ht="74.25" customHeight="1" thickBot="1">
      <c r="A19" s="82"/>
      <c r="B19" s="87"/>
      <c r="C19" s="87"/>
      <c r="D19" s="296" t="s">
        <v>381</v>
      </c>
      <c r="E19" s="648" t="s">
        <v>388</v>
      </c>
      <c r="F19" s="649"/>
      <c r="G19" s="649"/>
      <c r="H19" s="649"/>
      <c r="I19" s="649"/>
      <c r="J19" s="650"/>
      <c r="K19" s="136"/>
      <c r="L19" s="123"/>
      <c r="M19" s="111"/>
      <c r="N19" s="110"/>
      <c r="O19" s="112"/>
      <c r="P19" s="78"/>
    </row>
    <row r="20" spans="1:16" ht="108" customHeight="1" thickBot="1">
      <c r="A20" s="79"/>
      <c r="B20" s="90"/>
      <c r="D20" s="295" t="s">
        <v>382</v>
      </c>
      <c r="E20" s="648" t="s">
        <v>389</v>
      </c>
      <c r="F20" s="649"/>
      <c r="G20" s="649"/>
      <c r="H20" s="649"/>
      <c r="I20" s="649"/>
      <c r="J20" s="650"/>
      <c r="K20" s="303"/>
      <c r="L20" s="297"/>
      <c r="M20" s="114"/>
      <c r="N20" s="112"/>
      <c r="O20" s="110"/>
    </row>
    <row r="21" spans="1:16" s="226" customFormat="1" ht="81.75" customHeight="1" thickBot="1">
      <c r="B21" s="227"/>
      <c r="C21" s="228"/>
      <c r="D21" s="298" t="s">
        <v>383</v>
      </c>
      <c r="E21" s="648" t="s">
        <v>390</v>
      </c>
      <c r="F21" s="649"/>
      <c r="G21" s="649"/>
      <c r="H21" s="649"/>
      <c r="I21" s="649"/>
      <c r="J21" s="650"/>
      <c r="K21" s="304"/>
      <c r="L21" s="58"/>
      <c r="M21" s="112"/>
      <c r="N21" s="112"/>
      <c r="O21" s="117"/>
    </row>
    <row r="22" spans="1:16" ht="98.25" customHeight="1" thickBot="1">
      <c r="A22" s="83"/>
      <c r="B22" s="106"/>
      <c r="C22" s="87"/>
      <c r="D22" s="305" t="s">
        <v>384</v>
      </c>
      <c r="E22" s="648" t="s">
        <v>391</v>
      </c>
      <c r="F22" s="649"/>
      <c r="G22" s="649"/>
      <c r="H22" s="649"/>
      <c r="I22" s="649"/>
      <c r="J22" s="650"/>
      <c r="L22" s="112"/>
      <c r="M22" s="115"/>
      <c r="N22" s="115"/>
      <c r="O22" s="112"/>
      <c r="P22" s="58"/>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47"/>
  <sheetViews>
    <sheetView zoomScale="55" zoomScaleNormal="55" workbookViewId="0">
      <selection activeCell="H16" sqref="H16"/>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5"/>
      <c r="C1" s="656"/>
      <c r="D1" s="657"/>
      <c r="E1" s="79"/>
      <c r="F1" s="82"/>
      <c r="G1" s="80"/>
      <c r="I1" s="97"/>
      <c r="J1" s="96"/>
      <c r="K1" s="104"/>
      <c r="L1" s="104"/>
      <c r="M1" s="87"/>
      <c r="N1" s="81"/>
      <c r="O1" s="81"/>
      <c r="P1" s="90"/>
    </row>
    <row r="2" spans="1:17" ht="36">
      <c r="B2" s="120" t="s">
        <v>173</v>
      </c>
      <c r="C2" s="120"/>
      <c r="D2" s="82"/>
      <c r="E2" s="88"/>
      <c r="G2" s="90"/>
      <c r="H2" s="82"/>
      <c r="I2" s="651" t="s">
        <v>392</v>
      </c>
      <c r="J2" s="652"/>
      <c r="K2" s="93"/>
      <c r="L2" s="82"/>
      <c r="M2" s="90"/>
      <c r="N2" s="82"/>
      <c r="O2" s="79"/>
      <c r="P2" s="82"/>
      <c r="Q2" s="79"/>
    </row>
    <row r="3" spans="1:17" s="59" customFormat="1" ht="22.5" customHeight="1">
      <c r="A3" s="85"/>
      <c r="B3" s="59" t="s">
        <v>393</v>
      </c>
      <c r="D3" s="91"/>
      <c r="E3" s="84"/>
      <c r="F3" s="86"/>
      <c r="G3" s="91"/>
      <c r="H3" s="94"/>
      <c r="I3" s="95"/>
      <c r="J3" s="95"/>
      <c r="K3" s="86"/>
      <c r="L3" s="86"/>
      <c r="M3" s="86"/>
      <c r="N3" s="84"/>
      <c r="O3" s="84"/>
      <c r="P3" s="86"/>
      <c r="Q3" s="119"/>
    </row>
    <row r="4" spans="1:17" s="60" customFormat="1" ht="25.5" customHeight="1" thickBot="1">
      <c r="B4" s="133" t="s">
        <v>64</v>
      </c>
      <c r="C4" s="299"/>
      <c r="D4" s="204"/>
      <c r="F4" s="203"/>
      <c r="G4" s="108"/>
      <c r="H4" s="108"/>
      <c r="I4" s="203"/>
      <c r="J4" s="203"/>
      <c r="K4" s="203"/>
      <c r="L4" s="93"/>
      <c r="M4" s="108"/>
      <c r="N4" s="109"/>
      <c r="O4" s="92"/>
      <c r="P4" s="93"/>
      <c r="Q4" s="118"/>
    </row>
    <row r="5" spans="1:17" ht="78" customHeight="1" thickBot="1">
      <c r="A5" s="89"/>
      <c r="B5" s="578" t="s">
        <v>58</v>
      </c>
      <c r="C5" s="658" t="s">
        <v>183</v>
      </c>
      <c r="D5" s="659"/>
      <c r="E5" s="579" t="s">
        <v>60</v>
      </c>
      <c r="F5" s="579" t="s">
        <v>59</v>
      </c>
      <c r="G5" s="579" t="s">
        <v>61</v>
      </c>
      <c r="H5" s="580" t="s">
        <v>118</v>
      </c>
      <c r="I5" s="580" t="s">
        <v>62</v>
      </c>
      <c r="J5" s="581" t="s">
        <v>63</v>
      </c>
      <c r="K5" s="205"/>
      <c r="L5" s="82"/>
      <c r="M5" s="82"/>
      <c r="N5" s="82"/>
      <c r="O5" s="82"/>
      <c r="P5" s="104"/>
    </row>
    <row r="6" spans="1:17" ht="29.25" thickBot="1">
      <c r="A6" s="79"/>
      <c r="B6" s="582" t="s">
        <v>394</v>
      </c>
      <c r="C6" s="665">
        <v>45231</v>
      </c>
      <c r="D6" s="666"/>
      <c r="E6" s="583">
        <v>45413</v>
      </c>
      <c r="F6" s="583">
        <v>45597</v>
      </c>
      <c r="G6" s="583">
        <v>45778</v>
      </c>
      <c r="H6" s="583">
        <v>45962</v>
      </c>
      <c r="I6" s="583">
        <v>46143</v>
      </c>
      <c r="J6" s="584">
        <v>46327</v>
      </c>
      <c r="K6" s="78"/>
      <c r="L6" s="82"/>
      <c r="M6" s="82"/>
      <c r="N6" s="82"/>
      <c r="O6" s="82"/>
      <c r="P6" s="79"/>
    </row>
    <row r="7" spans="1:17" ht="28.5">
      <c r="A7" s="79"/>
      <c r="B7" s="587"/>
      <c r="C7" s="667"/>
      <c r="D7" s="668"/>
      <c r="E7" s="585"/>
      <c r="F7" s="585"/>
      <c r="G7" s="585"/>
      <c r="H7" s="585"/>
      <c r="I7" s="586"/>
      <c r="J7" s="586"/>
      <c r="K7" s="82"/>
      <c r="L7" s="82"/>
      <c r="M7" s="82"/>
      <c r="N7" s="82"/>
      <c r="O7" s="82"/>
      <c r="P7" s="79"/>
    </row>
    <row r="8" spans="1:17">
      <c r="A8" s="79"/>
      <c r="B8" s="82"/>
      <c r="C8" s="82"/>
      <c r="D8" s="82"/>
      <c r="E8" s="87"/>
      <c r="F8" s="82"/>
      <c r="G8" s="82"/>
      <c r="H8" s="81"/>
      <c r="I8" s="82"/>
      <c r="J8" s="82"/>
      <c r="K8" s="82"/>
      <c r="L8" s="82"/>
      <c r="M8" s="82"/>
      <c r="N8" s="82"/>
      <c r="O8" s="82"/>
      <c r="P8" s="79"/>
    </row>
    <row r="9" spans="1:17">
      <c r="A9" s="79"/>
      <c r="B9" s="82"/>
      <c r="C9" s="82"/>
      <c r="D9" s="78"/>
      <c r="E9" s="82"/>
      <c r="F9" s="82"/>
      <c r="G9" s="82"/>
      <c r="H9" s="82"/>
      <c r="I9" s="82"/>
      <c r="J9" s="79"/>
      <c r="K9" s="82"/>
      <c r="L9" s="82"/>
      <c r="M9" s="82"/>
      <c r="N9" s="82"/>
      <c r="O9" s="82"/>
      <c r="P9" s="79"/>
    </row>
    <row r="10" spans="1:17" ht="15.75" thickBot="1">
      <c r="A10" s="79"/>
      <c r="B10" s="166"/>
      <c r="C10" s="89"/>
      <c r="D10" s="538"/>
      <c r="E10" s="540"/>
      <c r="F10" s="540"/>
      <c r="G10" s="540"/>
      <c r="H10" s="540"/>
      <c r="I10" s="539"/>
      <c r="J10" s="87"/>
      <c r="K10" s="82"/>
      <c r="L10" s="82"/>
      <c r="M10" s="82"/>
      <c r="N10" s="82"/>
      <c r="O10" s="82"/>
      <c r="P10" s="79"/>
    </row>
    <row r="11" spans="1:17" ht="30.75" customHeight="1" thickBot="1">
      <c r="A11" s="79"/>
      <c r="B11" s="482" t="s">
        <v>67</v>
      </c>
      <c r="C11" s="494"/>
      <c r="D11" s="289" t="s">
        <v>68</v>
      </c>
      <c r="E11" s="126"/>
      <c r="F11" s="127"/>
      <c r="G11" s="128"/>
      <c r="H11" s="129"/>
      <c r="I11" s="130"/>
      <c r="J11" s="131"/>
      <c r="K11" s="301"/>
      <c r="L11" s="82"/>
      <c r="M11" s="82"/>
      <c r="N11" s="82"/>
      <c r="O11" s="82"/>
      <c r="P11" s="79"/>
    </row>
    <row r="12" spans="1:17" ht="8.25" customHeight="1" thickBot="1">
      <c r="A12" s="87"/>
      <c r="B12" s="481"/>
      <c r="C12" s="300"/>
      <c r="D12" s="290"/>
      <c r="E12" s="291"/>
      <c r="F12" s="291"/>
      <c r="G12" s="292"/>
      <c r="H12" s="291"/>
      <c r="I12" s="292"/>
      <c r="J12" s="293"/>
      <c r="L12" s="82"/>
      <c r="M12" s="82"/>
      <c r="N12" s="82"/>
      <c r="O12" s="82"/>
      <c r="P12" s="79"/>
    </row>
    <row r="13" spans="1:17" ht="74.25" customHeight="1" thickBot="1">
      <c r="A13" s="79"/>
      <c r="B13" s="484" t="s">
        <v>145</v>
      </c>
      <c r="C13" s="493"/>
      <c r="D13" s="294" t="s">
        <v>394</v>
      </c>
      <c r="E13" s="648" t="s">
        <v>396</v>
      </c>
      <c r="F13" s="649"/>
      <c r="G13" s="649"/>
      <c r="H13" s="649"/>
      <c r="I13" s="649"/>
      <c r="J13" s="650"/>
      <c r="K13" s="302"/>
      <c r="L13" s="115"/>
      <c r="M13" s="115"/>
      <c r="N13" s="115"/>
      <c r="O13" s="82"/>
      <c r="P13" s="79"/>
    </row>
    <row r="14" spans="1:17" ht="108.75" customHeight="1" thickBot="1">
      <c r="A14" s="87"/>
      <c r="B14" s="486" t="s">
        <v>65</v>
      </c>
      <c r="C14" s="492"/>
      <c r="D14" s="294" t="s">
        <v>395</v>
      </c>
      <c r="E14" s="648" t="s">
        <v>397</v>
      </c>
      <c r="F14" s="649"/>
      <c r="G14" s="649"/>
      <c r="H14" s="649"/>
      <c r="I14" s="649"/>
      <c r="J14" s="650"/>
      <c r="K14" s="136"/>
      <c r="L14" s="115"/>
      <c r="M14" s="115"/>
      <c r="N14" s="115"/>
      <c r="O14" s="82"/>
      <c r="P14" s="79"/>
    </row>
    <row r="15" spans="1:17" ht="87" customHeight="1" thickBot="1">
      <c r="A15" s="78"/>
      <c r="B15" s="486" t="s">
        <v>66</v>
      </c>
      <c r="C15" s="485"/>
      <c r="D15" s="491"/>
      <c r="E15" s="664"/>
      <c r="F15" s="664"/>
      <c r="G15" s="664"/>
      <c r="H15" s="664"/>
      <c r="I15" s="664"/>
      <c r="J15" s="664"/>
      <c r="K15" s="82"/>
      <c r="L15" s="115"/>
      <c r="M15" s="111"/>
      <c r="N15" s="110"/>
      <c r="O15" s="58"/>
      <c r="P15" s="87"/>
    </row>
    <row r="16" spans="1:17" ht="74.25" customHeight="1">
      <c r="A16" s="82"/>
      <c r="B16" s="87"/>
      <c r="C16" s="82"/>
      <c r="D16" s="488"/>
      <c r="E16" s="82"/>
      <c r="F16" s="82"/>
      <c r="G16" s="82"/>
      <c r="H16" s="82"/>
      <c r="I16" s="82"/>
      <c r="J16" s="82"/>
      <c r="K16" s="80"/>
      <c r="L16" s="123"/>
      <c r="M16" s="111"/>
      <c r="N16" s="110"/>
      <c r="O16" s="112"/>
      <c r="P16" s="78"/>
    </row>
    <row r="17" spans="1:16" ht="108" customHeight="1">
      <c r="A17" s="79"/>
      <c r="B17" s="90"/>
      <c r="C17" s="104"/>
      <c r="D17" s="495"/>
      <c r="E17" s="664"/>
      <c r="F17" s="664"/>
      <c r="G17" s="664"/>
      <c r="H17" s="664"/>
      <c r="I17" s="664"/>
      <c r="J17" s="664"/>
      <c r="K17" s="83"/>
      <c r="L17" s="297"/>
      <c r="M17" s="114"/>
      <c r="N17" s="112"/>
      <c r="O17" s="110"/>
    </row>
    <row r="18" spans="1:16" s="226" customFormat="1" ht="81.75" customHeight="1">
      <c r="B18" s="227"/>
      <c r="C18" s="228"/>
      <c r="D18" s="490"/>
      <c r="E18" s="664"/>
      <c r="F18" s="664"/>
      <c r="G18" s="664"/>
      <c r="H18" s="664"/>
      <c r="I18" s="664"/>
      <c r="J18" s="664"/>
      <c r="K18" s="487"/>
      <c r="L18" s="58"/>
      <c r="M18" s="112"/>
      <c r="N18" s="112"/>
      <c r="O18" s="117"/>
    </row>
    <row r="19" spans="1:16" ht="98.25" customHeight="1">
      <c r="A19" s="83"/>
      <c r="B19" s="106"/>
      <c r="C19" s="87"/>
      <c r="D19" s="489"/>
      <c r="E19" s="664"/>
      <c r="F19" s="664"/>
      <c r="G19" s="664"/>
      <c r="H19" s="664"/>
      <c r="I19" s="664"/>
      <c r="J19" s="664"/>
      <c r="L19" s="112"/>
      <c r="M19" s="115"/>
      <c r="N19" s="115"/>
      <c r="O19" s="112"/>
      <c r="P19" s="58"/>
    </row>
    <row r="20" spans="1:16" ht="23.25" customHeight="1">
      <c r="A20" s="83"/>
      <c r="B20" s="103"/>
      <c r="C20" s="103"/>
      <c r="D20" s="104"/>
      <c r="F20" s="104"/>
      <c r="G20" s="81"/>
      <c r="H20" s="81"/>
      <c r="I20" s="104"/>
      <c r="K20" s="82"/>
      <c r="L20" s="82"/>
      <c r="M20" s="90"/>
      <c r="N20" s="104"/>
      <c r="O20" s="104"/>
    </row>
    <row r="21" spans="1:16" ht="22.5" customHeight="1">
      <c r="A21" s="83"/>
      <c r="B21" s="103"/>
      <c r="C21" s="103"/>
      <c r="D21" s="82"/>
      <c r="E21" s="78"/>
      <c r="F21" s="82"/>
      <c r="G21" s="89"/>
      <c r="H21" s="82"/>
      <c r="I21" s="82"/>
      <c r="J21" s="79"/>
      <c r="K21" s="79"/>
      <c r="L21" s="79"/>
      <c r="M21" s="82"/>
      <c r="N21" s="82"/>
      <c r="O21" s="106"/>
    </row>
    <row r="22" spans="1:16" ht="22.5" customHeight="1">
      <c r="A22" s="83"/>
      <c r="B22" s="82"/>
      <c r="C22" s="90"/>
      <c r="D22" s="90"/>
      <c r="E22" s="82"/>
      <c r="F22" s="82"/>
      <c r="G22" s="83"/>
      <c r="H22" s="82"/>
      <c r="I22" s="82"/>
      <c r="J22" s="81"/>
      <c r="K22" s="104"/>
      <c r="L22" s="98"/>
      <c r="M22" s="82"/>
      <c r="N22" s="104"/>
      <c r="O22" s="106"/>
    </row>
    <row r="23" spans="1:16">
      <c r="A23" s="80"/>
      <c r="B23" s="90"/>
      <c r="C23" s="90"/>
      <c r="D23" s="82"/>
      <c r="E23" s="103"/>
      <c r="F23" s="82"/>
      <c r="G23" s="90"/>
      <c r="H23" s="82"/>
      <c r="I23" s="105"/>
      <c r="J23" s="79"/>
      <c r="K23" s="79"/>
      <c r="L23" s="79"/>
      <c r="M23" s="82"/>
      <c r="N23" s="104"/>
      <c r="O23" s="104"/>
    </row>
    <row r="24" spans="1:16" ht="15.75" thickBot="1">
      <c r="A24" s="83"/>
      <c r="B24" s="82"/>
      <c r="C24" s="104"/>
      <c r="D24" s="104"/>
      <c r="E24" s="82"/>
      <c r="F24" s="106"/>
      <c r="G24" s="90"/>
      <c r="H24" s="90"/>
      <c r="I24" s="90"/>
      <c r="J24" s="90"/>
      <c r="K24" s="83"/>
      <c r="M24" s="90"/>
      <c r="N24" s="90"/>
      <c r="O24" s="106"/>
    </row>
    <row r="25" spans="1:16">
      <c r="A25" s="83"/>
      <c r="B25" s="104"/>
      <c r="C25" s="104"/>
      <c r="D25" s="104"/>
      <c r="E25" s="82"/>
      <c r="F25" s="90"/>
      <c r="G25" s="82"/>
      <c r="H25" s="90"/>
      <c r="I25" s="79"/>
      <c r="J25" s="121"/>
      <c r="K25" s="122"/>
      <c r="L25" s="78"/>
      <c r="M25" s="103"/>
      <c r="N25" s="90"/>
      <c r="O25" s="90"/>
    </row>
    <row r="26" spans="1:16">
      <c r="A26" s="82"/>
      <c r="B26" s="82"/>
      <c r="C26" s="82"/>
      <c r="D26" s="82"/>
      <c r="E26" s="82"/>
      <c r="F26" s="82"/>
      <c r="G26" s="82"/>
      <c r="H26" s="82"/>
      <c r="I26" s="82"/>
      <c r="J26" s="82"/>
      <c r="K26" s="82"/>
      <c r="L26" s="80"/>
      <c r="M26" s="82"/>
      <c r="N26" s="80"/>
      <c r="O26" s="82"/>
    </row>
    <row r="27" spans="1:16">
      <c r="A27" s="82"/>
      <c r="B27" s="82"/>
      <c r="C27" s="82"/>
      <c r="D27" s="82"/>
      <c r="E27" s="82"/>
      <c r="F27" s="82"/>
      <c r="G27" s="82"/>
      <c r="H27" s="82"/>
      <c r="I27" s="82"/>
      <c r="J27" s="82"/>
      <c r="K27" s="82"/>
      <c r="L27" s="89"/>
      <c r="M27" s="79"/>
      <c r="N27" s="80"/>
      <c r="O27" s="105"/>
    </row>
    <row r="28" spans="1:16">
      <c r="A28" s="82"/>
      <c r="B28" s="82"/>
      <c r="C28" s="82"/>
      <c r="D28" s="82"/>
      <c r="E28" s="82"/>
      <c r="F28" s="82"/>
      <c r="G28" s="82"/>
      <c r="H28" s="82"/>
      <c r="I28" s="82"/>
      <c r="J28" s="82"/>
      <c r="K28" s="82"/>
      <c r="L28" s="83"/>
      <c r="M28" s="82"/>
      <c r="N28" s="105"/>
    </row>
    <row r="29" spans="1:16">
      <c r="A29" s="82"/>
      <c r="B29" s="82"/>
      <c r="C29" s="82"/>
      <c r="D29" s="82"/>
      <c r="E29" s="82"/>
      <c r="F29" s="82"/>
      <c r="G29" s="82"/>
      <c r="H29" s="82"/>
      <c r="I29" s="82"/>
      <c r="J29" s="82"/>
      <c r="K29" s="82"/>
      <c r="L29" s="80"/>
      <c r="M29" s="104"/>
      <c r="N29" s="87"/>
    </row>
    <row r="30" spans="1:16">
      <c r="A30" s="82"/>
      <c r="B30" s="82"/>
      <c r="C30" s="82"/>
      <c r="D30" s="82"/>
      <c r="E30" s="82"/>
      <c r="F30" s="82"/>
      <c r="G30" s="82"/>
      <c r="H30" s="82"/>
      <c r="I30" s="82"/>
      <c r="J30" s="82"/>
      <c r="K30" s="82"/>
      <c r="L30" s="105"/>
      <c r="M30" s="104"/>
    </row>
    <row r="31" spans="1:16">
      <c r="A31" s="82"/>
      <c r="B31" s="82"/>
      <c r="C31" s="82"/>
      <c r="D31" s="82"/>
      <c r="E31" s="82"/>
      <c r="F31" s="82"/>
      <c r="G31" s="82"/>
      <c r="H31" s="82"/>
      <c r="I31" s="82"/>
      <c r="J31" s="82"/>
      <c r="K31" s="82"/>
      <c r="L31" s="98"/>
      <c r="M31" s="82"/>
    </row>
    <row r="32" spans="1:16">
      <c r="A32" s="82"/>
      <c r="B32" s="82"/>
      <c r="C32" s="82"/>
      <c r="D32" s="82"/>
      <c r="E32" s="82"/>
      <c r="F32" s="82"/>
      <c r="G32" s="82"/>
      <c r="H32" s="82"/>
      <c r="I32" s="82"/>
      <c r="J32" s="82"/>
      <c r="K32" s="82"/>
      <c r="L32" s="83"/>
      <c r="M32" s="81"/>
      <c r="N32" s="98"/>
    </row>
    <row r="33" spans="1:14">
      <c r="A33" s="82"/>
      <c r="B33" s="82"/>
      <c r="C33" s="82"/>
      <c r="D33" s="82"/>
      <c r="E33" s="82"/>
      <c r="F33" s="82"/>
      <c r="G33" s="82"/>
      <c r="H33" s="82"/>
      <c r="I33" s="82"/>
      <c r="J33" s="82"/>
      <c r="K33" s="82"/>
      <c r="L33" s="78"/>
      <c r="M33" s="103"/>
      <c r="N33" s="78"/>
    </row>
    <row r="34" spans="1:14">
      <c r="A34" s="82"/>
      <c r="B34" s="82"/>
      <c r="C34" s="82"/>
      <c r="D34" s="82"/>
      <c r="E34" s="82"/>
      <c r="F34" s="82"/>
      <c r="G34" s="82"/>
      <c r="H34" s="82"/>
      <c r="I34" s="82"/>
      <c r="J34" s="82"/>
      <c r="K34" s="82"/>
    </row>
    <row r="35" spans="1:14">
      <c r="A35" s="82"/>
      <c r="B35" s="82"/>
      <c r="C35" s="82"/>
      <c r="D35" s="82"/>
      <c r="E35" s="82"/>
      <c r="F35" s="82"/>
      <c r="G35" s="82"/>
      <c r="H35" s="82"/>
      <c r="I35" s="82"/>
      <c r="J35" s="82"/>
      <c r="K35" s="82"/>
    </row>
    <row r="36" spans="1:14">
      <c r="A36" s="82"/>
      <c r="B36" s="82"/>
      <c r="C36" s="82"/>
      <c r="D36" s="82"/>
      <c r="E36" s="82"/>
      <c r="F36" s="82"/>
      <c r="G36" s="82"/>
      <c r="H36" s="82"/>
      <c r="I36" s="82"/>
      <c r="J36" s="82"/>
      <c r="K36" s="82"/>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sheetData>
  <mergeCells count="11">
    <mergeCell ref="E18:J18"/>
    <mergeCell ref="E19:J19"/>
    <mergeCell ref="E13:J13"/>
    <mergeCell ref="E14:J14"/>
    <mergeCell ref="B1:D1"/>
    <mergeCell ref="I2:J2"/>
    <mergeCell ref="C5:D5"/>
    <mergeCell ref="E15:J15"/>
    <mergeCell ref="E17:J17"/>
    <mergeCell ref="C6:D6"/>
    <mergeCell ref="C7:D7"/>
  </mergeCells>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A20"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760" t="s">
        <v>0</v>
      </c>
      <c r="C1" s="761"/>
      <c r="D1" s="761"/>
      <c r="E1" s="761"/>
      <c r="F1" s="761"/>
      <c r="G1" s="761"/>
      <c r="H1" s="761"/>
      <c r="I1" s="761"/>
      <c r="J1" s="761"/>
      <c r="K1" s="761"/>
      <c r="L1" s="761"/>
      <c r="M1" s="761"/>
      <c r="N1" s="761"/>
      <c r="O1" s="761"/>
      <c r="P1" s="761"/>
      <c r="Q1" s="761"/>
      <c r="R1" s="761"/>
      <c r="S1" s="761"/>
      <c r="T1" s="761"/>
      <c r="U1" s="761"/>
      <c r="V1" s="761"/>
      <c r="W1" s="761"/>
      <c r="X1" s="761"/>
      <c r="Y1" s="762"/>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763" t="s">
        <v>143</v>
      </c>
      <c r="C3" s="764"/>
      <c r="D3" s="764"/>
      <c r="E3" s="764"/>
      <c r="F3" s="764"/>
      <c r="G3" s="764"/>
      <c r="H3" s="764"/>
      <c r="I3" s="764"/>
      <c r="J3" s="764"/>
      <c r="K3" s="764"/>
      <c r="L3" s="764"/>
      <c r="M3" s="764"/>
      <c r="N3" s="764"/>
      <c r="O3" s="764"/>
      <c r="P3" s="764"/>
      <c r="Q3" s="764"/>
      <c r="R3" s="764"/>
      <c r="S3" s="764"/>
      <c r="T3" s="764"/>
      <c r="U3" s="764"/>
      <c r="V3" s="764"/>
      <c r="W3" s="764"/>
      <c r="X3" s="764"/>
      <c r="Y3" s="765"/>
      <c r="Z3" s="174"/>
      <c r="AA3" s="103"/>
    </row>
    <row r="4" spans="1:28" ht="23.25" customHeight="1" thickBot="1">
      <c r="A4" s="180" t="s">
        <v>115</v>
      </c>
      <c r="B4" s="766" t="s">
        <v>189</v>
      </c>
      <c r="C4" s="767"/>
      <c r="D4" s="767"/>
      <c r="E4" s="767"/>
      <c r="F4" s="767"/>
      <c r="G4" s="767"/>
      <c r="H4" s="767"/>
      <c r="I4" s="767"/>
      <c r="J4" s="767"/>
      <c r="K4" s="767"/>
      <c r="L4" s="767"/>
      <c r="M4" s="767"/>
      <c r="N4" s="767"/>
      <c r="O4" s="767"/>
      <c r="P4" s="767"/>
      <c r="Q4" s="767"/>
      <c r="R4" s="767"/>
      <c r="S4" s="767"/>
      <c r="T4" s="767"/>
      <c r="U4" s="767"/>
      <c r="V4" s="767"/>
      <c r="W4" s="767"/>
      <c r="X4" s="767"/>
      <c r="Y4" s="768"/>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772" t="s">
        <v>71</v>
      </c>
      <c r="C6" s="773"/>
      <c r="D6" s="773"/>
      <c r="E6" s="774"/>
      <c r="F6" s="89"/>
      <c r="G6" s="142"/>
      <c r="H6" s="738" t="s">
        <v>76</v>
      </c>
      <c r="I6" s="739"/>
      <c r="J6" s="739"/>
      <c r="K6" s="740"/>
      <c r="L6" s="89"/>
      <c r="M6" s="142"/>
      <c r="N6" s="750" t="s">
        <v>95</v>
      </c>
      <c r="O6" s="751"/>
      <c r="P6" s="752"/>
      <c r="Q6" s="149"/>
      <c r="R6" s="151"/>
      <c r="S6" s="745" t="s">
        <v>77</v>
      </c>
      <c r="T6" s="746"/>
      <c r="U6" s="152"/>
      <c r="V6" s="156"/>
      <c r="W6" s="143"/>
      <c r="X6" s="745" t="s">
        <v>78</v>
      </c>
      <c r="Y6" s="746"/>
      <c r="Z6" s="80"/>
      <c r="AA6" s="103"/>
    </row>
    <row r="7" spans="1:28" ht="30.75" customHeight="1" thickBot="1">
      <c r="A7" s="181"/>
      <c r="B7" s="367" t="s">
        <v>72</v>
      </c>
      <c r="C7" s="368" t="s">
        <v>73</v>
      </c>
      <c r="D7" s="369" t="s">
        <v>74</v>
      </c>
      <c r="E7" s="370" t="s">
        <v>75</v>
      </c>
      <c r="F7" s="89"/>
      <c r="G7" s="116"/>
      <c r="H7" s="747">
        <f>I23</f>
        <v>68</v>
      </c>
      <c r="I7" s="749"/>
      <c r="J7" s="749"/>
      <c r="K7" s="748"/>
      <c r="L7" s="89"/>
      <c r="M7" s="116"/>
      <c r="N7" s="753">
        <f>L23</f>
        <v>187</v>
      </c>
      <c r="O7" s="754"/>
      <c r="P7" s="755"/>
      <c r="Q7" s="150"/>
      <c r="R7" s="152"/>
      <c r="S7" s="747">
        <f>O23</f>
        <v>473</v>
      </c>
      <c r="T7" s="748"/>
      <c r="U7" s="89"/>
      <c r="V7" s="155"/>
      <c r="W7" s="82"/>
      <c r="X7" s="747">
        <f>R23</f>
        <v>526</v>
      </c>
      <c r="Y7" s="748"/>
      <c r="Z7" s="141"/>
      <c r="AA7" s="103"/>
    </row>
    <row r="8" spans="1:28" ht="21.75" customHeight="1" thickBot="1">
      <c r="A8" s="181"/>
      <c r="B8" s="189" t="s">
        <v>398</v>
      </c>
      <c r="C8" s="184" t="s">
        <v>406</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399</v>
      </c>
      <c r="C9" s="185" t="s">
        <v>407</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400</v>
      </c>
      <c r="C10" s="185" t="s">
        <v>407</v>
      </c>
      <c r="D10" s="134">
        <v>2024</v>
      </c>
      <c r="E10" s="199"/>
      <c r="F10" s="89"/>
      <c r="G10" s="779" t="s">
        <v>79</v>
      </c>
      <c r="H10" s="780"/>
      <c r="I10" s="780"/>
      <c r="J10" s="780"/>
      <c r="K10" s="780"/>
      <c r="L10" s="780"/>
      <c r="M10" s="780"/>
      <c r="N10" s="780"/>
      <c r="O10" s="780"/>
      <c r="P10" s="780"/>
      <c r="Q10" s="780"/>
      <c r="R10" s="780"/>
      <c r="S10" s="780"/>
      <c r="T10" s="780"/>
      <c r="U10" s="780"/>
      <c r="V10" s="780"/>
      <c r="W10" s="780"/>
      <c r="X10" s="780"/>
      <c r="Y10" s="781"/>
      <c r="Z10" s="80"/>
      <c r="AA10" s="103"/>
    </row>
    <row r="11" spans="1:28" ht="19.5" customHeight="1">
      <c r="A11" s="79"/>
      <c r="B11" s="189" t="s">
        <v>401</v>
      </c>
      <c r="C11" s="188" t="s">
        <v>407</v>
      </c>
      <c r="D11" s="134">
        <v>2024</v>
      </c>
      <c r="E11" s="199"/>
      <c r="F11" s="89"/>
      <c r="G11" s="782" t="s">
        <v>80</v>
      </c>
      <c r="H11" s="777"/>
      <c r="I11" s="777" t="s">
        <v>81</v>
      </c>
      <c r="J11" s="777"/>
      <c r="K11" s="777"/>
      <c r="L11" s="777" t="s">
        <v>82</v>
      </c>
      <c r="M11" s="777"/>
      <c r="N11" s="777"/>
      <c r="O11" s="777" t="s">
        <v>83</v>
      </c>
      <c r="P11" s="777"/>
      <c r="Q11" s="777"/>
      <c r="R11" s="777" t="s">
        <v>78</v>
      </c>
      <c r="S11" s="777"/>
      <c r="T11" s="777"/>
      <c r="U11" s="777"/>
      <c r="V11" s="777"/>
      <c r="W11" s="777"/>
      <c r="X11" s="777"/>
      <c r="Y11" s="778"/>
      <c r="Z11" s="80"/>
      <c r="AA11" s="103"/>
    </row>
    <row r="12" spans="1:28" ht="17.25" customHeight="1">
      <c r="A12" s="79"/>
      <c r="B12" s="190" t="s">
        <v>402</v>
      </c>
      <c r="C12" s="192" t="s">
        <v>407</v>
      </c>
      <c r="D12" s="185">
        <v>2024</v>
      </c>
      <c r="E12" s="199"/>
      <c r="F12" s="89"/>
      <c r="G12" s="782"/>
      <c r="H12" s="777"/>
      <c r="I12" s="777"/>
      <c r="J12" s="777"/>
      <c r="K12" s="777"/>
      <c r="L12" s="777"/>
      <c r="M12" s="777"/>
      <c r="N12" s="777"/>
      <c r="O12" s="777"/>
      <c r="P12" s="777"/>
      <c r="Q12" s="777"/>
      <c r="R12" s="704" t="s">
        <v>84</v>
      </c>
      <c r="S12" s="704"/>
      <c r="T12" s="704" t="s">
        <v>85</v>
      </c>
      <c r="U12" s="704"/>
      <c r="V12" s="704" t="s">
        <v>86</v>
      </c>
      <c r="W12" s="704"/>
      <c r="X12" s="704" t="s">
        <v>87</v>
      </c>
      <c r="Y12" s="735"/>
      <c r="Z12" s="80"/>
      <c r="AA12" s="79"/>
    </row>
    <row r="13" spans="1:28" ht="18.75" customHeight="1">
      <c r="A13" s="79"/>
      <c r="B13" s="189" t="s">
        <v>403</v>
      </c>
      <c r="C13" s="184" t="s">
        <v>407</v>
      </c>
      <c r="D13" s="134">
        <v>2024</v>
      </c>
      <c r="E13" s="199"/>
      <c r="F13" s="89"/>
      <c r="G13" s="782"/>
      <c r="H13" s="777"/>
      <c r="I13" s="777"/>
      <c r="J13" s="777"/>
      <c r="K13" s="777"/>
      <c r="L13" s="777"/>
      <c r="M13" s="777"/>
      <c r="N13" s="777"/>
      <c r="O13" s="777"/>
      <c r="P13" s="777"/>
      <c r="Q13" s="777"/>
      <c r="R13" s="704"/>
      <c r="S13" s="704"/>
      <c r="T13" s="704"/>
      <c r="U13" s="704"/>
      <c r="V13" s="704"/>
      <c r="W13" s="704"/>
      <c r="X13" s="775"/>
      <c r="Y13" s="776"/>
      <c r="Z13" s="80"/>
      <c r="AA13" s="81"/>
    </row>
    <row r="14" spans="1:28" ht="18.75" customHeight="1">
      <c r="A14" s="79"/>
      <c r="B14" s="189" t="s">
        <v>404</v>
      </c>
      <c r="C14" s="185" t="s">
        <v>407</v>
      </c>
      <c r="D14" s="134">
        <v>2024</v>
      </c>
      <c r="E14" s="199"/>
      <c r="F14" s="89"/>
      <c r="G14" s="756" t="s">
        <v>18</v>
      </c>
      <c r="H14" s="757"/>
      <c r="I14" s="734">
        <v>4</v>
      </c>
      <c r="J14" s="758"/>
      <c r="K14" s="759"/>
      <c r="L14" s="732">
        <v>8</v>
      </c>
      <c r="M14" s="732"/>
      <c r="N14" s="732"/>
      <c r="O14" s="732">
        <v>30</v>
      </c>
      <c r="P14" s="732"/>
      <c r="Q14" s="732"/>
      <c r="R14" s="732">
        <v>53</v>
      </c>
      <c r="S14" s="732"/>
      <c r="T14" s="732">
        <v>0</v>
      </c>
      <c r="U14" s="732"/>
      <c r="V14" s="732">
        <v>8</v>
      </c>
      <c r="W14" s="734"/>
      <c r="X14" s="732">
        <v>2</v>
      </c>
      <c r="Y14" s="733"/>
      <c r="Z14" s="80"/>
    </row>
    <row r="15" spans="1:28" ht="19.5" customHeight="1" thickBot="1">
      <c r="A15" s="79"/>
      <c r="B15" s="191" t="s">
        <v>405</v>
      </c>
      <c r="C15" s="187" t="s">
        <v>407</v>
      </c>
      <c r="D15" s="186">
        <v>2024</v>
      </c>
      <c r="E15" s="200"/>
      <c r="F15" s="89"/>
      <c r="G15" s="756" t="s">
        <v>16</v>
      </c>
      <c r="H15" s="757"/>
      <c r="I15" s="734">
        <v>11</v>
      </c>
      <c r="J15" s="758"/>
      <c r="K15" s="759"/>
      <c r="L15" s="732">
        <v>30</v>
      </c>
      <c r="M15" s="732"/>
      <c r="N15" s="732"/>
      <c r="O15" s="732">
        <v>105</v>
      </c>
      <c r="P15" s="732"/>
      <c r="Q15" s="732"/>
      <c r="R15" s="732">
        <v>105</v>
      </c>
      <c r="S15" s="732"/>
      <c r="T15" s="732">
        <v>8</v>
      </c>
      <c r="U15" s="732"/>
      <c r="V15" s="732">
        <v>0</v>
      </c>
      <c r="W15" s="734"/>
      <c r="X15" s="732">
        <v>4</v>
      </c>
      <c r="Y15" s="733"/>
      <c r="Z15" s="80"/>
      <c r="AA15" s="103"/>
    </row>
    <row r="16" spans="1:28" ht="24" customHeight="1" thickBot="1">
      <c r="A16" s="82"/>
      <c r="B16" s="106"/>
      <c r="C16" s="106"/>
      <c r="D16" s="106"/>
      <c r="E16" s="106"/>
      <c r="F16" s="79"/>
      <c r="G16" s="756" t="s">
        <v>19</v>
      </c>
      <c r="H16" s="757"/>
      <c r="I16" s="734">
        <v>19</v>
      </c>
      <c r="J16" s="758"/>
      <c r="K16" s="759"/>
      <c r="L16" s="732">
        <v>58</v>
      </c>
      <c r="M16" s="732"/>
      <c r="N16" s="732"/>
      <c r="O16" s="732">
        <v>99</v>
      </c>
      <c r="P16" s="732"/>
      <c r="Q16" s="732"/>
      <c r="R16" s="732">
        <v>107</v>
      </c>
      <c r="S16" s="732"/>
      <c r="T16" s="732">
        <v>8</v>
      </c>
      <c r="U16" s="732"/>
      <c r="V16" s="732">
        <v>6</v>
      </c>
      <c r="W16" s="734"/>
      <c r="X16" s="732">
        <v>7</v>
      </c>
      <c r="Y16" s="733"/>
      <c r="Z16" s="80"/>
      <c r="AA16" s="103"/>
      <c r="AB16" s="194"/>
    </row>
    <row r="17" spans="1:27" ht="21" customHeight="1">
      <c r="A17" s="79"/>
      <c r="B17" s="769" t="s">
        <v>89</v>
      </c>
      <c r="C17" s="770"/>
      <c r="D17" s="770"/>
      <c r="E17" s="771"/>
      <c r="F17" s="89"/>
      <c r="G17" s="756" t="s">
        <v>17</v>
      </c>
      <c r="H17" s="757"/>
      <c r="I17" s="734">
        <v>15</v>
      </c>
      <c r="J17" s="758"/>
      <c r="K17" s="759"/>
      <c r="L17" s="732">
        <v>49</v>
      </c>
      <c r="M17" s="732"/>
      <c r="N17" s="732"/>
      <c r="O17" s="732">
        <v>127</v>
      </c>
      <c r="P17" s="732"/>
      <c r="Q17" s="732"/>
      <c r="R17" s="732">
        <v>134</v>
      </c>
      <c r="S17" s="732"/>
      <c r="T17" s="732">
        <v>12</v>
      </c>
      <c r="U17" s="732"/>
      <c r="V17" s="732">
        <v>5</v>
      </c>
      <c r="W17" s="734"/>
      <c r="X17" s="732">
        <v>7</v>
      </c>
      <c r="Y17" s="733"/>
      <c r="Z17" s="80"/>
      <c r="AA17" s="103"/>
    </row>
    <row r="18" spans="1:27" ht="34.5" customHeight="1">
      <c r="A18" s="79"/>
      <c r="B18" s="371" t="s">
        <v>90</v>
      </c>
      <c r="C18" s="372" t="s">
        <v>84</v>
      </c>
      <c r="D18" s="373" t="s">
        <v>70</v>
      </c>
      <c r="E18" s="374" t="s">
        <v>91</v>
      </c>
      <c r="F18" s="89"/>
      <c r="G18" s="756" t="s">
        <v>164</v>
      </c>
      <c r="H18" s="757"/>
      <c r="I18" s="734">
        <v>1</v>
      </c>
      <c r="J18" s="758"/>
      <c r="K18" s="759"/>
      <c r="L18" s="732">
        <v>2</v>
      </c>
      <c r="M18" s="732"/>
      <c r="N18" s="732"/>
      <c r="O18" s="732">
        <v>4</v>
      </c>
      <c r="P18" s="732"/>
      <c r="Q18" s="732"/>
      <c r="R18" s="732">
        <v>4</v>
      </c>
      <c r="S18" s="732"/>
      <c r="T18" s="732">
        <v>0</v>
      </c>
      <c r="U18" s="732"/>
      <c r="V18" s="732">
        <v>2</v>
      </c>
      <c r="W18" s="734"/>
      <c r="X18" s="732">
        <v>2</v>
      </c>
      <c r="Y18" s="733"/>
      <c r="Z18" s="80"/>
      <c r="AA18" s="103"/>
    </row>
    <row r="19" spans="1:27" ht="45" customHeight="1">
      <c r="A19" s="79"/>
      <c r="B19" s="157" t="s">
        <v>92</v>
      </c>
      <c r="C19" s="134">
        <v>16</v>
      </c>
      <c r="D19" s="554" t="s">
        <v>410</v>
      </c>
      <c r="E19" s="201"/>
      <c r="F19" s="89"/>
      <c r="G19" s="756" t="s">
        <v>165</v>
      </c>
      <c r="H19" s="757"/>
      <c r="I19" s="734">
        <v>5</v>
      </c>
      <c r="J19" s="758"/>
      <c r="K19" s="759"/>
      <c r="L19" s="732">
        <v>8</v>
      </c>
      <c r="M19" s="732"/>
      <c r="N19" s="732"/>
      <c r="O19" s="732">
        <v>22</v>
      </c>
      <c r="P19" s="732"/>
      <c r="Q19" s="732"/>
      <c r="R19" s="732">
        <v>22</v>
      </c>
      <c r="S19" s="732"/>
      <c r="T19" s="732">
        <v>0</v>
      </c>
      <c r="U19" s="732"/>
      <c r="V19" s="732">
        <v>2</v>
      </c>
      <c r="W19" s="734"/>
      <c r="X19" s="732">
        <v>0</v>
      </c>
      <c r="Y19" s="733"/>
      <c r="Z19" s="80"/>
      <c r="AA19" s="103"/>
    </row>
    <row r="20" spans="1:27" ht="41.25" customHeight="1">
      <c r="A20" s="79"/>
      <c r="B20" s="157" t="s">
        <v>93</v>
      </c>
      <c r="C20" s="139">
        <v>13</v>
      </c>
      <c r="D20" s="554" t="s">
        <v>410</v>
      </c>
      <c r="E20" s="201"/>
      <c r="F20" s="89"/>
      <c r="G20" s="756" t="s">
        <v>22</v>
      </c>
      <c r="H20" s="757"/>
      <c r="I20" s="734">
        <v>9</v>
      </c>
      <c r="J20" s="758"/>
      <c r="K20" s="759"/>
      <c r="L20" s="732">
        <v>22</v>
      </c>
      <c r="M20" s="732"/>
      <c r="N20" s="732"/>
      <c r="O20" s="732">
        <v>32</v>
      </c>
      <c r="P20" s="732"/>
      <c r="Q20" s="732"/>
      <c r="R20" s="732">
        <v>33</v>
      </c>
      <c r="S20" s="732"/>
      <c r="T20" s="732">
        <v>0</v>
      </c>
      <c r="U20" s="732"/>
      <c r="V20" s="732">
        <v>0</v>
      </c>
      <c r="W20" s="734"/>
      <c r="X20" s="732">
        <v>0</v>
      </c>
      <c r="Y20" s="733"/>
      <c r="Z20" s="80"/>
      <c r="AA20" s="103"/>
    </row>
    <row r="21" spans="1:27" ht="45" customHeight="1">
      <c r="A21" s="79"/>
      <c r="B21" s="157" t="s">
        <v>408</v>
      </c>
      <c r="C21" s="139">
        <v>35</v>
      </c>
      <c r="D21" s="554" t="s">
        <v>410</v>
      </c>
      <c r="E21" s="201"/>
      <c r="F21" s="89"/>
      <c r="G21" s="756" t="s">
        <v>20</v>
      </c>
      <c r="H21" s="757"/>
      <c r="I21" s="734">
        <v>3</v>
      </c>
      <c r="J21" s="758"/>
      <c r="K21" s="759"/>
      <c r="L21" s="732">
        <v>8</v>
      </c>
      <c r="M21" s="732"/>
      <c r="N21" s="732"/>
      <c r="O21" s="732">
        <v>50</v>
      </c>
      <c r="P21" s="732"/>
      <c r="Q21" s="732"/>
      <c r="R21" s="732">
        <v>62</v>
      </c>
      <c r="S21" s="732"/>
      <c r="T21" s="732">
        <v>0</v>
      </c>
      <c r="U21" s="732"/>
      <c r="V21" s="732">
        <v>10</v>
      </c>
      <c r="W21" s="734"/>
      <c r="X21" s="732">
        <v>11</v>
      </c>
      <c r="Y21" s="733"/>
      <c r="Z21" s="80"/>
      <c r="AA21" s="103"/>
    </row>
    <row r="22" spans="1:27" ht="50.25" customHeight="1">
      <c r="A22" s="79"/>
      <c r="B22" s="157" t="s">
        <v>94</v>
      </c>
      <c r="C22" s="139">
        <v>21</v>
      </c>
      <c r="D22" s="554" t="s">
        <v>410</v>
      </c>
      <c r="E22" s="201"/>
      <c r="F22" s="89"/>
      <c r="G22" s="756" t="s">
        <v>166</v>
      </c>
      <c r="H22" s="757"/>
      <c r="I22" s="734">
        <v>1</v>
      </c>
      <c r="J22" s="758"/>
      <c r="K22" s="759"/>
      <c r="L22" s="732">
        <v>2</v>
      </c>
      <c r="M22" s="732"/>
      <c r="N22" s="732"/>
      <c r="O22" s="732">
        <v>4</v>
      </c>
      <c r="P22" s="732"/>
      <c r="Q22" s="732"/>
      <c r="R22" s="732">
        <v>6</v>
      </c>
      <c r="S22" s="732"/>
      <c r="T22" s="732">
        <v>0</v>
      </c>
      <c r="U22" s="732"/>
      <c r="V22" s="732">
        <v>0</v>
      </c>
      <c r="W22" s="734"/>
      <c r="X22" s="732">
        <v>3</v>
      </c>
      <c r="Y22" s="733"/>
      <c r="Z22" s="80"/>
      <c r="AA22" s="103"/>
    </row>
    <row r="23" spans="1:27" ht="42" customHeight="1" thickBot="1">
      <c r="A23" s="79"/>
      <c r="B23" s="158" t="s">
        <v>409</v>
      </c>
      <c r="C23" s="159">
        <v>2</v>
      </c>
      <c r="D23" s="555" t="s">
        <v>410</v>
      </c>
      <c r="E23" s="202"/>
      <c r="F23" s="89"/>
      <c r="G23" s="744" t="s">
        <v>88</v>
      </c>
      <c r="H23" s="736"/>
      <c r="I23" s="736">
        <f>SUM(I14:K22)</f>
        <v>68</v>
      </c>
      <c r="J23" s="736"/>
      <c r="K23" s="736"/>
      <c r="L23" s="736">
        <f>SUM(L14:N22)</f>
        <v>187</v>
      </c>
      <c r="M23" s="736"/>
      <c r="N23" s="736"/>
      <c r="O23" s="741">
        <f>SUM(O14:Q22)</f>
        <v>473</v>
      </c>
      <c r="P23" s="742"/>
      <c r="Q23" s="743"/>
      <c r="R23" s="741">
        <f>SUM(R14:S22)</f>
        <v>526</v>
      </c>
      <c r="S23" s="743"/>
      <c r="T23" s="741">
        <f>SUM(T14:U22)</f>
        <v>28</v>
      </c>
      <c r="U23" s="743"/>
      <c r="V23" s="741">
        <f>SUM(V14:W22)</f>
        <v>33</v>
      </c>
      <c r="W23" s="742"/>
      <c r="X23" s="736">
        <f>SUM(X14:Y22)</f>
        <v>36</v>
      </c>
      <c r="Y23" s="737"/>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699" t="s">
        <v>103</v>
      </c>
      <c r="I26" s="700"/>
      <c r="J26" s="701"/>
      <c r="K26" s="89"/>
      <c r="L26" s="708" t="s">
        <v>96</v>
      </c>
      <c r="M26" s="709"/>
      <c r="N26" s="709"/>
      <c r="O26" s="709"/>
      <c r="P26" s="709"/>
      <c r="Q26" s="709"/>
      <c r="R26" s="709"/>
      <c r="S26" s="709"/>
      <c r="T26" s="709"/>
      <c r="U26" s="709"/>
      <c r="V26" s="709"/>
      <c r="W26" s="709"/>
      <c r="X26" s="709"/>
      <c r="Y26" s="710"/>
      <c r="Z26" s="80"/>
      <c r="AA26" s="103"/>
    </row>
    <row r="27" spans="1:27" ht="32.25" customHeight="1">
      <c r="A27" s="82"/>
      <c r="B27" s="82"/>
      <c r="C27" s="82"/>
      <c r="D27" s="82"/>
      <c r="E27" s="82"/>
      <c r="F27" s="79"/>
      <c r="G27" s="136"/>
      <c r="H27" s="681">
        <f>Y38</f>
        <v>64</v>
      </c>
      <c r="I27" s="682"/>
      <c r="J27" s="683"/>
      <c r="K27" s="89"/>
      <c r="L27" s="730" t="s">
        <v>80</v>
      </c>
      <c r="M27" s="704"/>
      <c r="N27" s="704"/>
      <c r="O27" s="704" t="s">
        <v>97</v>
      </c>
      <c r="P27" s="704"/>
      <c r="Q27" s="704" t="s">
        <v>98</v>
      </c>
      <c r="R27" s="704"/>
      <c r="S27" s="704" t="s">
        <v>99</v>
      </c>
      <c r="T27" s="704" t="s">
        <v>100</v>
      </c>
      <c r="U27" s="704"/>
      <c r="V27" s="704" t="s">
        <v>101</v>
      </c>
      <c r="W27" s="704" t="s">
        <v>102</v>
      </c>
      <c r="X27" s="704"/>
      <c r="Y27" s="735" t="s">
        <v>88</v>
      </c>
      <c r="Z27" s="80"/>
      <c r="AA27" s="79"/>
    </row>
    <row r="28" spans="1:27" ht="9.75" customHeight="1">
      <c r="A28" s="82"/>
      <c r="B28" s="82"/>
      <c r="C28" s="82"/>
      <c r="D28" s="82"/>
      <c r="E28" s="82"/>
      <c r="F28" s="79"/>
      <c r="G28" s="136"/>
      <c r="H28" s="82"/>
      <c r="I28" s="82"/>
      <c r="J28" s="165"/>
      <c r="K28" s="89"/>
      <c r="L28" s="730"/>
      <c r="M28" s="704"/>
      <c r="N28" s="704"/>
      <c r="O28" s="704"/>
      <c r="P28" s="704"/>
      <c r="Q28" s="704"/>
      <c r="R28" s="704"/>
      <c r="S28" s="704"/>
      <c r="T28" s="704"/>
      <c r="U28" s="704"/>
      <c r="V28" s="704"/>
      <c r="W28" s="704"/>
      <c r="X28" s="704"/>
      <c r="Y28" s="735"/>
      <c r="Z28" s="80"/>
      <c r="AA28" s="103"/>
    </row>
    <row r="29" spans="1:27" ht="17.25" customHeight="1" thickBot="1">
      <c r="A29" s="82"/>
      <c r="B29" s="82"/>
      <c r="C29" s="82"/>
      <c r="D29" s="82"/>
      <c r="E29" s="82"/>
      <c r="F29" s="79"/>
      <c r="G29" s="137"/>
      <c r="H29" s="166"/>
      <c r="I29" s="166"/>
      <c r="J29" s="138"/>
      <c r="K29" s="89"/>
      <c r="L29" s="716" t="s">
        <v>18</v>
      </c>
      <c r="M29" s="684"/>
      <c r="N29" s="684"/>
      <c r="O29" s="684">
        <v>3</v>
      </c>
      <c r="P29" s="684"/>
      <c r="Q29" s="684">
        <v>1</v>
      </c>
      <c r="R29" s="684"/>
      <c r="S29" s="71">
        <v>0</v>
      </c>
      <c r="T29" s="684">
        <v>0</v>
      </c>
      <c r="U29" s="684"/>
      <c r="V29" s="71">
        <v>3</v>
      </c>
      <c r="W29" s="684">
        <v>0</v>
      </c>
      <c r="X29" s="685"/>
      <c r="Y29" s="195">
        <v>6</v>
      </c>
      <c r="Z29" s="80"/>
      <c r="AA29" s="103"/>
    </row>
    <row r="30" spans="1:27" ht="15.75" thickBot="1">
      <c r="A30" s="82"/>
      <c r="B30" s="82"/>
      <c r="C30" s="82"/>
      <c r="D30" s="82"/>
      <c r="E30" s="82"/>
      <c r="F30" s="82"/>
      <c r="G30" s="106"/>
      <c r="H30" s="106"/>
      <c r="I30" s="106"/>
      <c r="J30" s="106"/>
      <c r="K30" s="79"/>
      <c r="L30" s="716" t="s">
        <v>16</v>
      </c>
      <c r="M30" s="684"/>
      <c r="N30" s="684"/>
      <c r="O30" s="684">
        <v>0</v>
      </c>
      <c r="P30" s="684"/>
      <c r="Q30" s="684">
        <v>0</v>
      </c>
      <c r="R30" s="684"/>
      <c r="S30" s="71">
        <v>9</v>
      </c>
      <c r="T30" s="684">
        <v>3</v>
      </c>
      <c r="U30" s="684"/>
      <c r="V30" s="71">
        <v>2</v>
      </c>
      <c r="W30" s="684">
        <v>1</v>
      </c>
      <c r="X30" s="685"/>
      <c r="Y30" s="195">
        <v>11</v>
      </c>
      <c r="Z30" s="80"/>
      <c r="AA30" s="79"/>
    </row>
    <row r="31" spans="1:27" ht="21">
      <c r="A31" s="82"/>
      <c r="B31" s="82"/>
      <c r="C31" s="82"/>
      <c r="D31" s="82"/>
      <c r="E31" s="82"/>
      <c r="F31" s="79"/>
      <c r="G31" s="135"/>
      <c r="H31" s="705" t="s">
        <v>93</v>
      </c>
      <c r="I31" s="706"/>
      <c r="J31" s="707"/>
      <c r="K31" s="89"/>
      <c r="L31" s="716" t="s">
        <v>19</v>
      </c>
      <c r="M31" s="684"/>
      <c r="N31" s="684"/>
      <c r="O31" s="684">
        <v>1</v>
      </c>
      <c r="P31" s="684"/>
      <c r="Q31" s="684">
        <v>0</v>
      </c>
      <c r="R31" s="684"/>
      <c r="S31" s="71">
        <v>3</v>
      </c>
      <c r="T31" s="684">
        <v>4</v>
      </c>
      <c r="U31" s="684"/>
      <c r="V31" s="71">
        <v>2</v>
      </c>
      <c r="W31" s="684">
        <v>0</v>
      </c>
      <c r="X31" s="685"/>
      <c r="Y31" s="195">
        <v>6</v>
      </c>
      <c r="Z31" s="80"/>
      <c r="AA31" s="79"/>
    </row>
    <row r="32" spans="1:27" ht="17.25" customHeight="1">
      <c r="A32" s="82"/>
      <c r="B32" s="82"/>
      <c r="C32" s="82"/>
      <c r="D32" s="82"/>
      <c r="E32" s="82"/>
      <c r="F32" s="79"/>
      <c r="G32" s="136"/>
      <c r="H32" s="82"/>
      <c r="I32" s="82"/>
      <c r="J32" s="165"/>
      <c r="K32" s="89"/>
      <c r="L32" s="716" t="s">
        <v>17</v>
      </c>
      <c r="M32" s="684"/>
      <c r="N32" s="684"/>
      <c r="O32" s="684">
        <v>2</v>
      </c>
      <c r="P32" s="684"/>
      <c r="Q32" s="684">
        <v>0</v>
      </c>
      <c r="R32" s="684"/>
      <c r="S32" s="71">
        <v>4</v>
      </c>
      <c r="T32" s="684">
        <v>2</v>
      </c>
      <c r="U32" s="684"/>
      <c r="V32" s="71">
        <v>9</v>
      </c>
      <c r="W32" s="684">
        <v>2</v>
      </c>
      <c r="X32" s="685"/>
      <c r="Y32" s="195">
        <v>15</v>
      </c>
      <c r="Z32" s="80"/>
      <c r="AA32" s="79"/>
    </row>
    <row r="33" spans="1:27" ht="31.5" customHeight="1">
      <c r="A33" s="82"/>
      <c r="B33" s="82"/>
      <c r="C33" s="82"/>
      <c r="D33" s="82"/>
      <c r="E33" s="82"/>
      <c r="F33" s="79"/>
      <c r="G33" s="136"/>
      <c r="H33" s="681">
        <f>O38</f>
        <v>13</v>
      </c>
      <c r="I33" s="682"/>
      <c r="J33" s="683"/>
      <c r="K33" s="89"/>
      <c r="L33" s="716" t="s">
        <v>164</v>
      </c>
      <c r="M33" s="684"/>
      <c r="N33" s="684"/>
      <c r="O33" s="684">
        <v>2</v>
      </c>
      <c r="P33" s="684"/>
      <c r="Q33" s="684">
        <v>2</v>
      </c>
      <c r="R33" s="684"/>
      <c r="S33" s="71">
        <v>0</v>
      </c>
      <c r="T33" s="684">
        <v>0</v>
      </c>
      <c r="U33" s="684"/>
      <c r="V33" s="71">
        <v>1</v>
      </c>
      <c r="W33" s="684">
        <v>1</v>
      </c>
      <c r="X33" s="685"/>
      <c r="Y33" s="195">
        <v>3</v>
      </c>
      <c r="Z33" s="80"/>
      <c r="AA33" s="193"/>
    </row>
    <row r="34" spans="1:27" ht="18" customHeight="1">
      <c r="A34" s="82"/>
      <c r="B34" s="82"/>
      <c r="C34" s="82"/>
      <c r="D34" s="82"/>
      <c r="E34" s="82"/>
      <c r="F34" s="79"/>
      <c r="G34" s="136"/>
      <c r="H34" s="82"/>
      <c r="I34" s="82"/>
      <c r="J34" s="165"/>
      <c r="K34" s="89"/>
      <c r="L34" s="716" t="s">
        <v>165</v>
      </c>
      <c r="M34" s="684"/>
      <c r="N34" s="684"/>
      <c r="O34" s="684">
        <v>1</v>
      </c>
      <c r="P34" s="684"/>
      <c r="Q34" s="684">
        <v>0</v>
      </c>
      <c r="R34" s="684"/>
      <c r="S34" s="71">
        <v>0</v>
      </c>
      <c r="T34" s="684">
        <v>0</v>
      </c>
      <c r="U34" s="684"/>
      <c r="V34" s="71">
        <v>4</v>
      </c>
      <c r="W34" s="684">
        <v>0</v>
      </c>
      <c r="X34" s="685"/>
      <c r="Y34" s="195">
        <v>5</v>
      </c>
      <c r="Z34" s="80"/>
      <c r="AA34" s="79"/>
    </row>
    <row r="35" spans="1:27" ht="15.75" customHeight="1" thickBot="1">
      <c r="A35" s="82"/>
      <c r="B35" s="82"/>
      <c r="C35" s="82"/>
      <c r="D35" s="82"/>
      <c r="E35" s="82"/>
      <c r="F35" s="79"/>
      <c r="G35" s="137"/>
      <c r="H35" s="166"/>
      <c r="I35" s="166"/>
      <c r="J35" s="138"/>
      <c r="K35" s="89"/>
      <c r="L35" s="716" t="s">
        <v>22</v>
      </c>
      <c r="M35" s="684"/>
      <c r="N35" s="684"/>
      <c r="O35" s="711">
        <v>0</v>
      </c>
      <c r="P35" s="711"/>
      <c r="Q35" s="711">
        <v>0</v>
      </c>
      <c r="R35" s="711"/>
      <c r="S35" s="162">
        <v>0</v>
      </c>
      <c r="T35" s="711">
        <v>0</v>
      </c>
      <c r="U35" s="711"/>
      <c r="V35" s="162">
        <v>5</v>
      </c>
      <c r="W35" s="711">
        <v>0</v>
      </c>
      <c r="X35" s="731"/>
      <c r="Y35" s="195">
        <v>5</v>
      </c>
      <c r="Z35" s="80"/>
      <c r="AA35" s="103"/>
    </row>
    <row r="36" spans="1:27" ht="21" customHeight="1" thickBot="1">
      <c r="A36" s="82"/>
      <c r="B36" s="82"/>
      <c r="C36" s="82"/>
      <c r="D36" s="82"/>
      <c r="E36" s="82"/>
      <c r="F36" s="82"/>
      <c r="G36" s="106"/>
      <c r="H36" s="106"/>
      <c r="I36" s="106"/>
      <c r="J36" s="106"/>
      <c r="K36" s="79"/>
      <c r="L36" s="716" t="s">
        <v>20</v>
      </c>
      <c r="M36" s="684"/>
      <c r="N36" s="685"/>
      <c r="O36" s="688">
        <v>4</v>
      </c>
      <c r="P36" s="688"/>
      <c r="Q36" s="688">
        <v>1</v>
      </c>
      <c r="R36" s="688"/>
      <c r="S36" s="163">
        <v>0</v>
      </c>
      <c r="T36" s="688">
        <v>0</v>
      </c>
      <c r="U36" s="688"/>
      <c r="V36" s="163">
        <v>6</v>
      </c>
      <c r="W36" s="688">
        <v>1</v>
      </c>
      <c r="X36" s="712"/>
      <c r="Y36" s="195">
        <v>10</v>
      </c>
      <c r="Z36" s="80"/>
      <c r="AA36" s="79"/>
    </row>
    <row r="37" spans="1:27" ht="19.5" customHeight="1">
      <c r="A37" s="82"/>
      <c r="B37" s="82"/>
      <c r="C37" s="82"/>
      <c r="D37" s="82"/>
      <c r="E37" s="82"/>
      <c r="F37" s="79"/>
      <c r="G37" s="135"/>
      <c r="H37" s="705" t="s">
        <v>92</v>
      </c>
      <c r="I37" s="706"/>
      <c r="J37" s="707"/>
      <c r="K37" s="89"/>
      <c r="L37" s="716" t="s">
        <v>166</v>
      </c>
      <c r="M37" s="684"/>
      <c r="N37" s="685"/>
      <c r="O37" s="688">
        <v>0</v>
      </c>
      <c r="P37" s="688"/>
      <c r="Q37" s="688">
        <v>0</v>
      </c>
      <c r="R37" s="688"/>
      <c r="S37" s="163">
        <v>0</v>
      </c>
      <c r="T37" s="688">
        <v>0</v>
      </c>
      <c r="U37" s="688"/>
      <c r="V37" s="163">
        <v>3</v>
      </c>
      <c r="W37" s="688">
        <v>3</v>
      </c>
      <c r="X37" s="712"/>
      <c r="Y37" s="195">
        <v>3</v>
      </c>
      <c r="Z37" s="80"/>
    </row>
    <row r="38" spans="1:27" ht="14.25" customHeight="1" thickBot="1">
      <c r="A38" s="82"/>
      <c r="B38" s="82"/>
      <c r="C38" s="82"/>
      <c r="D38" s="82"/>
      <c r="E38" s="82"/>
      <c r="F38" s="79"/>
      <c r="G38" s="136"/>
      <c r="H38" s="82"/>
      <c r="I38" s="82"/>
      <c r="J38" s="165"/>
      <c r="K38" s="89"/>
      <c r="L38" s="724" t="s">
        <v>88</v>
      </c>
      <c r="M38" s="725"/>
      <c r="N38" s="726"/>
      <c r="O38" s="689">
        <f>SUM(O29:P37)</f>
        <v>13</v>
      </c>
      <c r="P38" s="689"/>
      <c r="Q38" s="689">
        <f>SUM(Q29:R37)</f>
        <v>4</v>
      </c>
      <c r="R38" s="689"/>
      <c r="S38" s="196">
        <f>SUM(S29:S37)</f>
        <v>16</v>
      </c>
      <c r="T38" s="689">
        <f>SUM(T29:U37)</f>
        <v>9</v>
      </c>
      <c r="U38" s="689"/>
      <c r="V38" s="196">
        <f>SUM(V29:V37)</f>
        <v>35</v>
      </c>
      <c r="W38" s="689">
        <f>SUM(W29:X37)</f>
        <v>8</v>
      </c>
      <c r="X38" s="689"/>
      <c r="Y38" s="197">
        <f>SUM(Y29:Y37)</f>
        <v>64</v>
      </c>
      <c r="Z38" s="80"/>
      <c r="AA38" s="103"/>
    </row>
    <row r="39" spans="1:27" ht="25.5" customHeight="1">
      <c r="A39" s="82"/>
      <c r="B39" s="82"/>
      <c r="C39" s="82"/>
      <c r="D39" s="82"/>
      <c r="E39" s="82"/>
      <c r="F39" s="79"/>
      <c r="G39" s="136"/>
      <c r="H39" s="681">
        <f>S38</f>
        <v>16</v>
      </c>
      <c r="I39" s="682"/>
      <c r="J39" s="683"/>
      <c r="K39" s="89"/>
      <c r="L39" s="719"/>
      <c r="M39" s="727"/>
      <c r="N39" s="728"/>
      <c r="O39" s="719"/>
      <c r="P39" s="720"/>
      <c r="Q39" s="702"/>
      <c r="R39" s="703"/>
      <c r="S39" s="104"/>
      <c r="T39" s="690"/>
      <c r="U39" s="690"/>
      <c r="V39" s="104"/>
      <c r="W39" s="690"/>
      <c r="X39" s="690"/>
      <c r="Y39" s="132"/>
      <c r="Z39" s="82"/>
      <c r="AA39" s="79"/>
    </row>
    <row r="40" spans="1:27" ht="12" customHeight="1">
      <c r="A40" s="82"/>
      <c r="B40" s="82"/>
      <c r="C40" s="82"/>
      <c r="D40" s="82"/>
      <c r="E40" s="82"/>
      <c r="F40" s="79"/>
      <c r="G40" s="136"/>
      <c r="H40" s="82"/>
      <c r="I40" s="82"/>
      <c r="J40" s="165"/>
      <c r="K40" s="89"/>
      <c r="L40" s="692"/>
      <c r="M40" s="729"/>
      <c r="N40" s="693"/>
      <c r="O40" s="721"/>
      <c r="P40" s="718"/>
      <c r="Q40" s="717"/>
      <c r="R40" s="718"/>
      <c r="S40" s="82"/>
      <c r="T40" s="691"/>
      <c r="U40" s="691"/>
      <c r="V40" s="82"/>
      <c r="W40" s="691"/>
      <c r="X40" s="691"/>
      <c r="Y40" s="140"/>
      <c r="Z40" s="82"/>
    </row>
    <row r="41" spans="1:27" ht="9" customHeight="1" thickBot="1">
      <c r="A41" s="82"/>
      <c r="B41" s="82"/>
      <c r="C41" s="82"/>
      <c r="D41" s="82"/>
      <c r="E41" s="82"/>
      <c r="F41" s="79"/>
      <c r="G41" s="137"/>
      <c r="H41" s="166"/>
      <c r="I41" s="166"/>
      <c r="J41" s="138"/>
      <c r="K41" s="89"/>
      <c r="L41" s="692"/>
      <c r="M41" s="729"/>
      <c r="N41" s="693"/>
      <c r="O41" s="722"/>
      <c r="P41" s="723"/>
      <c r="Q41" s="692"/>
      <c r="R41" s="693"/>
      <c r="S41" s="82"/>
      <c r="T41" s="692"/>
      <c r="U41" s="693"/>
      <c r="V41" s="82"/>
      <c r="W41" s="692"/>
      <c r="X41" s="693"/>
      <c r="Y41" s="140"/>
      <c r="Z41" s="82"/>
      <c r="AA41" s="103"/>
    </row>
    <row r="42" spans="1:27" ht="24" thickBot="1">
      <c r="A42" s="82"/>
      <c r="B42" s="82"/>
      <c r="C42" s="82"/>
      <c r="D42" s="82"/>
      <c r="E42" s="82"/>
      <c r="F42" s="82"/>
      <c r="G42" s="106"/>
      <c r="H42" s="106"/>
      <c r="I42" s="106"/>
      <c r="J42" s="106"/>
      <c r="K42" s="79"/>
      <c r="L42" s="713"/>
      <c r="M42" s="714"/>
      <c r="N42" s="715"/>
      <c r="O42" s="702"/>
      <c r="P42" s="703"/>
      <c r="Q42" s="82"/>
      <c r="R42" s="686" t="s">
        <v>136</v>
      </c>
      <c r="S42" s="687"/>
      <c r="T42" s="105"/>
      <c r="U42" s="694"/>
      <c r="V42" s="695"/>
      <c r="W42" s="694"/>
      <c r="X42" s="695"/>
      <c r="Y42" s="140"/>
      <c r="Z42" s="82"/>
      <c r="AA42" s="79"/>
    </row>
    <row r="43" spans="1:27" ht="26.25" customHeight="1">
      <c r="A43" s="82"/>
      <c r="B43" s="82"/>
      <c r="C43" s="82"/>
      <c r="D43" s="82"/>
      <c r="E43" s="82"/>
      <c r="F43" s="79"/>
      <c r="G43" s="135"/>
      <c r="H43" s="697" t="s">
        <v>104</v>
      </c>
      <c r="I43" s="697"/>
      <c r="J43" s="698"/>
      <c r="K43" s="89"/>
      <c r="L43" s="135"/>
      <c r="M43" s="164"/>
      <c r="N43" s="672" t="s">
        <v>94</v>
      </c>
      <c r="O43" s="673"/>
      <c r="P43" s="674"/>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681">
        <f>SUM(V38)</f>
        <v>35</v>
      </c>
      <c r="I45" s="682"/>
      <c r="J45" s="683"/>
      <c r="K45" s="89"/>
      <c r="L45" s="136"/>
      <c r="M45" s="82"/>
      <c r="N45" s="82"/>
      <c r="O45" s="675">
        <f>SUM(Q38,T38,W38)</f>
        <v>21</v>
      </c>
      <c r="P45" s="676"/>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677"/>
      <c r="P46" s="678"/>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679"/>
      <c r="I50" s="679"/>
      <c r="J50" s="680"/>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696"/>
      <c r="I52" s="696"/>
      <c r="J52" s="696"/>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669"/>
      <c r="Y55" s="670"/>
      <c r="Z55" s="670"/>
      <c r="AA55" s="670"/>
      <c r="AB55" s="671"/>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669"/>
      <c r="V63" s="670"/>
      <c r="W63" s="670"/>
      <c r="X63" s="670"/>
      <c r="Y63" s="671"/>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85" t="s">
        <v>105</v>
      </c>
      <c r="C2" s="785"/>
      <c r="D2" s="785"/>
      <c r="E2" s="785"/>
      <c r="F2" s="785"/>
    </row>
    <row r="3" spans="1:6">
      <c r="B3" s="786" t="s">
        <v>106</v>
      </c>
      <c r="C3" s="786"/>
      <c r="D3" s="786"/>
      <c r="E3" s="786"/>
      <c r="F3" s="786"/>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83" t="s">
        <v>112</v>
      </c>
      <c r="H26" s="784">
        <v>5</v>
      </c>
    </row>
    <row r="27" spans="3:8">
      <c r="C27" s="73">
        <v>3</v>
      </c>
      <c r="D27" s="73">
        <v>3</v>
      </c>
      <c r="E27" s="2">
        <v>96</v>
      </c>
      <c r="G27" s="783"/>
      <c r="H27" s="784"/>
    </row>
    <row r="28" spans="3:8">
      <c r="C28" s="73">
        <v>4</v>
      </c>
      <c r="D28" s="73">
        <v>3</v>
      </c>
      <c r="E28" s="2">
        <v>21</v>
      </c>
      <c r="G28" s="783"/>
      <c r="H28" s="784"/>
    </row>
    <row r="29" spans="3:8">
      <c r="C29" s="73">
        <v>5</v>
      </c>
      <c r="D29" s="73">
        <v>3</v>
      </c>
      <c r="E29" s="2">
        <v>2</v>
      </c>
      <c r="G29" s="783"/>
      <c r="H29" s="784"/>
    </row>
    <row r="30" spans="3:8">
      <c r="C30" s="73">
        <v>1</v>
      </c>
      <c r="D30" s="73">
        <v>4</v>
      </c>
      <c r="E30" s="2">
        <v>22</v>
      </c>
      <c r="G30" s="783"/>
      <c r="H30" s="784"/>
    </row>
    <row r="31" spans="3:8">
      <c r="C31" s="73">
        <v>2</v>
      </c>
      <c r="D31" s="73">
        <v>4</v>
      </c>
      <c r="E31" s="2">
        <v>31</v>
      </c>
      <c r="G31" s="783"/>
      <c r="H31" s="784">
        <v>4</v>
      </c>
    </row>
    <row r="32" spans="3:8">
      <c r="C32" s="73">
        <v>3</v>
      </c>
      <c r="D32" s="73">
        <v>4</v>
      </c>
      <c r="E32" s="2">
        <v>45</v>
      </c>
      <c r="G32" s="783"/>
      <c r="H32" s="784"/>
    </row>
    <row r="33" spans="3:8">
      <c r="C33" s="73">
        <v>4</v>
      </c>
      <c r="D33" s="73">
        <v>4</v>
      </c>
      <c r="E33" s="2">
        <v>18</v>
      </c>
      <c r="G33" s="783"/>
      <c r="H33" s="784"/>
    </row>
    <row r="34" spans="3:8">
      <c r="C34" s="73">
        <v>5</v>
      </c>
      <c r="D34" s="73">
        <v>4</v>
      </c>
      <c r="E34" s="2">
        <v>0</v>
      </c>
      <c r="G34" s="783"/>
      <c r="H34" s="784"/>
    </row>
    <row r="35" spans="3:8">
      <c r="C35" s="73">
        <v>1</v>
      </c>
      <c r="D35" s="73">
        <v>5</v>
      </c>
      <c r="E35" s="2">
        <v>14</v>
      </c>
      <c r="G35" s="783"/>
      <c r="H35" s="784"/>
    </row>
    <row r="36" spans="3:8">
      <c r="C36" s="73">
        <v>2</v>
      </c>
      <c r="D36" s="73">
        <v>5</v>
      </c>
      <c r="E36" s="2">
        <v>10</v>
      </c>
      <c r="G36" s="783"/>
      <c r="H36" s="784">
        <v>3</v>
      </c>
    </row>
    <row r="37" spans="3:8">
      <c r="C37" s="73">
        <v>3</v>
      </c>
      <c r="D37" s="73">
        <v>5</v>
      </c>
      <c r="E37" s="2">
        <v>2</v>
      </c>
      <c r="G37" s="783"/>
      <c r="H37" s="784"/>
    </row>
    <row r="38" spans="3:8">
      <c r="C38" s="73">
        <v>4</v>
      </c>
      <c r="D38" s="73">
        <v>5</v>
      </c>
      <c r="E38" s="2">
        <v>0</v>
      </c>
      <c r="G38" s="783"/>
      <c r="H38" s="784"/>
    </row>
    <row r="39" spans="3:8">
      <c r="C39" s="73">
        <v>5</v>
      </c>
      <c r="D39" s="73">
        <v>5</v>
      </c>
      <c r="E39" s="2">
        <v>0</v>
      </c>
      <c r="G39" s="783"/>
      <c r="H39" s="784"/>
    </row>
    <row r="40" spans="3:8">
      <c r="G40" s="783"/>
      <c r="H40" s="784"/>
    </row>
    <row r="41" spans="3:8">
      <c r="G41" s="783"/>
      <c r="H41" s="784">
        <v>2</v>
      </c>
    </row>
    <row r="42" spans="3:8">
      <c r="G42" s="783"/>
      <c r="H42" s="784"/>
    </row>
    <row r="43" spans="3:8">
      <c r="G43" s="783"/>
      <c r="H43" s="784"/>
    </row>
    <row r="44" spans="3:8">
      <c r="G44" s="783"/>
      <c r="H44" s="784"/>
    </row>
    <row r="45" spans="3:8">
      <c r="G45" s="783"/>
      <c r="H45" s="784"/>
    </row>
    <row r="46" spans="3:8">
      <c r="G46" s="783"/>
      <c r="H46" s="784">
        <v>1</v>
      </c>
    </row>
    <row r="47" spans="3:8">
      <c r="G47" s="783"/>
      <c r="H47" s="784"/>
    </row>
    <row r="48" spans="3:8">
      <c r="G48" s="783"/>
      <c r="H48" s="784"/>
    </row>
    <row r="49" spans="7:10">
      <c r="G49" s="783"/>
      <c r="H49" s="784"/>
    </row>
    <row r="50" spans="7:10">
      <c r="G50" s="783"/>
      <c r="H50" s="784"/>
    </row>
    <row r="55" spans="7:10">
      <c r="H55" s="172"/>
      <c r="I55" s="784"/>
      <c r="J55" s="783"/>
    </row>
    <row r="56" spans="7:10">
      <c r="H56" s="172"/>
      <c r="I56" s="784"/>
      <c r="J56" s="783"/>
    </row>
    <row r="57" spans="7:10">
      <c r="H57" s="172"/>
      <c r="I57" s="784"/>
      <c r="J57" s="783"/>
    </row>
    <row r="58" spans="7:10">
      <c r="H58" s="172"/>
      <c r="I58" s="784"/>
      <c r="J58" s="783"/>
    </row>
    <row r="59" spans="7:10">
      <c r="H59" s="172"/>
      <c r="I59" s="784"/>
      <c r="J59" s="783"/>
    </row>
    <row r="60" spans="7:10">
      <c r="H60" s="172"/>
      <c r="I60" s="784"/>
      <c r="J60" s="783"/>
    </row>
    <row r="61" spans="7:10">
      <c r="H61" s="172"/>
      <c r="I61" s="784"/>
      <c r="J61" s="783"/>
    </row>
    <row r="62" spans="7:10">
      <c r="H62" s="172"/>
      <c r="I62" s="784"/>
      <c r="J62" s="783"/>
    </row>
    <row r="63" spans="7:10">
      <c r="H63" s="172"/>
      <c r="I63" s="784"/>
      <c r="J63" s="783"/>
    </row>
    <row r="64" spans="7:10">
      <c r="H64" s="172"/>
      <c r="I64" s="784"/>
      <c r="J64" s="783"/>
    </row>
    <row r="65" spans="8:11">
      <c r="H65" s="172"/>
      <c r="I65" s="784"/>
      <c r="J65" s="783"/>
    </row>
    <row r="66" spans="8:11">
      <c r="H66" s="172"/>
      <c r="I66" s="784"/>
      <c r="J66" s="783"/>
    </row>
    <row r="67" spans="8:11">
      <c r="H67" s="172"/>
      <c r="I67" s="784"/>
      <c r="J67" s="783"/>
    </row>
    <row r="68" spans="8:11">
      <c r="H68" s="172"/>
      <c r="I68" s="784"/>
      <c r="J68" s="783"/>
    </row>
    <row r="69" spans="8:11">
      <c r="H69" s="172"/>
      <c r="I69" s="784"/>
      <c r="J69" s="783"/>
    </row>
    <row r="70" spans="8:11">
      <c r="H70" s="172"/>
      <c r="I70" s="784"/>
      <c r="J70" s="783"/>
      <c r="K70" s="783" t="s">
        <v>113</v>
      </c>
    </row>
    <row r="71" spans="8:11">
      <c r="H71" s="172"/>
      <c r="I71" s="784"/>
      <c r="J71" s="783"/>
      <c r="K71" s="783"/>
    </row>
    <row r="72" spans="8:11">
      <c r="H72" s="172"/>
      <c r="I72" s="784"/>
      <c r="J72" s="783"/>
      <c r="K72" s="783"/>
    </row>
    <row r="73" spans="8:11">
      <c r="H73" s="172"/>
      <c r="I73" s="784"/>
      <c r="J73" s="783"/>
      <c r="K73" s="783"/>
    </row>
    <row r="74" spans="8:11">
      <c r="H74" s="172"/>
      <c r="I74" s="784"/>
      <c r="J74" s="783"/>
      <c r="K74" s="783"/>
    </row>
    <row r="75" spans="8:11">
      <c r="H75" s="172"/>
      <c r="I75" s="784"/>
      <c r="J75" s="783"/>
      <c r="K75" s="783"/>
    </row>
    <row r="76" spans="8:11">
      <c r="H76" s="172"/>
      <c r="I76" s="784"/>
      <c r="J76" s="783"/>
      <c r="K76" s="783"/>
    </row>
    <row r="77" spans="8:11">
      <c r="H77" s="172"/>
      <c r="I77" s="784"/>
      <c r="J77" s="783"/>
      <c r="K77" s="783"/>
    </row>
    <row r="78" spans="8:11">
      <c r="H78" s="172"/>
      <c r="I78" s="784"/>
      <c r="J78" s="783"/>
      <c r="K78" s="783"/>
    </row>
    <row r="79" spans="8:11">
      <c r="H79" s="172"/>
      <c r="I79" s="784"/>
      <c r="J79" s="783"/>
      <c r="K79" s="783"/>
    </row>
    <row r="80" spans="8:11">
      <c r="K80" s="783"/>
    </row>
    <row r="81" spans="11:11">
      <c r="K81" s="783"/>
    </row>
    <row r="82" spans="11:11">
      <c r="K82" s="783"/>
    </row>
    <row r="83" spans="11:11">
      <c r="K83" s="783"/>
    </row>
    <row r="84" spans="11:11">
      <c r="K84" s="783"/>
    </row>
    <row r="85" spans="11:11">
      <c r="K85" s="783"/>
    </row>
    <row r="86" spans="11:11">
      <c r="K86" s="783"/>
    </row>
    <row r="87" spans="11:11">
      <c r="K87" s="783"/>
    </row>
    <row r="88" spans="11:11">
      <c r="K88" s="783"/>
    </row>
    <row r="89" spans="11:11">
      <c r="K89" s="783"/>
    </row>
    <row r="90" spans="11:11">
      <c r="K90" s="783"/>
    </row>
    <row r="91" spans="11:11">
      <c r="K91" s="783"/>
    </row>
    <row r="92" spans="11:11">
      <c r="K92" s="783"/>
    </row>
    <row r="93" spans="11:11">
      <c r="K93" s="783"/>
    </row>
    <row r="94" spans="11:11">
      <c r="K94" s="783"/>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zoomScale="85" zoomScaleNormal="85" workbookViewId="0">
      <selection activeCell="N6" sqref="N6"/>
    </sheetView>
  </sheetViews>
  <sheetFormatPr baseColWidth="10" defaultRowHeight="15"/>
  <cols>
    <col min="1" max="1" width="23.5703125" customWidth="1"/>
    <col min="2" max="2" width="21" customWidth="1"/>
    <col min="3" max="3" width="14.85546875" customWidth="1"/>
    <col min="4" max="4" width="25.42578125" customWidth="1"/>
    <col min="5" max="5" width="21" customWidth="1"/>
    <col min="6" max="6" width="11.42578125" customWidth="1"/>
    <col min="7" max="7" width="12.42578125" customWidth="1"/>
    <col min="8" max="8" width="37.140625" customWidth="1"/>
    <col min="9" max="9" width="17.28515625" customWidth="1"/>
    <col min="10" max="10" width="22.140625" customWidth="1"/>
    <col min="11" max="11" width="27.5703125" customWidth="1"/>
    <col min="12" max="12" width="3.85546875" customWidth="1"/>
    <col min="13" max="13" width="18.28515625" customWidth="1"/>
    <col min="14" max="14" width="20" customWidth="1"/>
    <col min="15" max="15" width="14" customWidth="1"/>
  </cols>
  <sheetData>
    <row r="1" spans="1:15" ht="38.25" customHeight="1" thickBot="1">
      <c r="A1" s="793" t="s">
        <v>0</v>
      </c>
      <c r="B1" s="793"/>
      <c r="C1" s="793"/>
      <c r="D1" s="793"/>
      <c r="E1" s="793"/>
      <c r="F1" s="793"/>
      <c r="G1" s="793"/>
      <c r="H1" s="793"/>
      <c r="I1" s="793"/>
      <c r="J1" s="793"/>
      <c r="K1" s="793"/>
      <c r="L1" s="793"/>
      <c r="M1" s="793"/>
      <c r="N1" s="793"/>
      <c r="O1" s="794"/>
    </row>
    <row r="2" spans="1:15" ht="6.75" customHeight="1" thickBot="1">
      <c r="A2" s="795"/>
      <c r="B2" s="795"/>
      <c r="C2" s="795"/>
      <c r="D2" s="795"/>
      <c r="E2" s="795"/>
      <c r="F2" s="795"/>
      <c r="G2" s="795"/>
      <c r="H2" s="795"/>
      <c r="I2" s="795"/>
      <c r="J2" s="795"/>
      <c r="K2" s="795"/>
      <c r="L2" s="795"/>
      <c r="M2" s="795"/>
      <c r="N2" s="795"/>
      <c r="O2" s="796"/>
    </row>
    <row r="3" spans="1:15" ht="21" customHeight="1">
      <c r="A3" s="797" t="s">
        <v>148</v>
      </c>
      <c r="B3" s="797"/>
      <c r="C3" s="797"/>
      <c r="D3" s="797"/>
      <c r="E3" s="797"/>
      <c r="F3" s="797"/>
      <c r="G3" s="797"/>
      <c r="H3" s="797"/>
      <c r="I3" s="797"/>
      <c r="J3" s="797"/>
      <c r="K3" s="797"/>
      <c r="L3" s="797"/>
      <c r="M3" s="797"/>
      <c r="N3" s="797"/>
      <c r="O3" s="798"/>
    </row>
    <row r="4" spans="1:15" ht="24" customHeight="1" thickBot="1">
      <c r="A4" s="799" t="s">
        <v>411</v>
      </c>
      <c r="B4" s="799"/>
      <c r="C4" s="799"/>
      <c r="D4" s="799"/>
      <c r="E4" s="799"/>
      <c r="F4" s="799"/>
      <c r="G4" s="799"/>
      <c r="H4" s="799"/>
      <c r="I4" s="799"/>
      <c r="J4" s="799"/>
      <c r="K4" s="799"/>
      <c r="L4" s="799"/>
      <c r="M4" s="799"/>
      <c r="N4" s="799"/>
      <c r="O4" s="800"/>
    </row>
    <row r="5" spans="1:15" ht="14.25" customHeight="1" thickBot="1">
      <c r="A5" s="90"/>
      <c r="B5" s="513"/>
      <c r="C5" s="82"/>
      <c r="D5" s="514"/>
      <c r="E5" s="515"/>
      <c r="F5" s="80"/>
      <c r="G5" s="516"/>
      <c r="H5" s="514"/>
      <c r="I5" s="82"/>
      <c r="J5" s="801"/>
      <c r="K5" s="801"/>
      <c r="L5" s="519"/>
      <c r="M5" s="516"/>
      <c r="N5" s="520"/>
      <c r="O5" s="406"/>
    </row>
    <row r="6" spans="1:15" ht="51.75" customHeight="1">
      <c r="A6" s="135"/>
      <c r="B6" s="522" t="s">
        <v>155</v>
      </c>
      <c r="C6" s="89"/>
      <c r="D6" s="135"/>
      <c r="E6" s="558" t="s">
        <v>92</v>
      </c>
      <c r="F6" s="89"/>
      <c r="G6" s="135"/>
      <c r="H6" s="526" t="s">
        <v>93</v>
      </c>
      <c r="I6" s="89"/>
      <c r="J6" s="524"/>
      <c r="K6" s="558" t="s">
        <v>104</v>
      </c>
      <c r="L6" s="517"/>
      <c r="M6" s="135"/>
      <c r="N6" s="522" t="s">
        <v>178</v>
      </c>
      <c r="O6" s="232"/>
    </row>
    <row r="7" spans="1:15" ht="40.5" customHeight="1" thickBot="1">
      <c r="A7" s="137"/>
      <c r="B7" s="523">
        <f>SUM(E13:E15)</f>
        <v>64</v>
      </c>
      <c r="C7" s="89"/>
      <c r="D7" s="137"/>
      <c r="E7" s="523">
        <f>E13</f>
        <v>16</v>
      </c>
      <c r="F7" s="89"/>
      <c r="G7" s="137"/>
      <c r="H7" s="523">
        <v>10</v>
      </c>
      <c r="I7" s="89"/>
      <c r="J7" s="525"/>
      <c r="K7" s="523">
        <f>E15</f>
        <v>38</v>
      </c>
      <c r="L7" s="518"/>
      <c r="M7" s="137"/>
      <c r="N7" s="523">
        <f>F25</f>
        <v>20</v>
      </c>
      <c r="O7" s="406"/>
    </row>
    <row r="8" spans="1:15" ht="13.5" customHeight="1" thickBot="1">
      <c r="A8" s="106"/>
      <c r="B8" s="106"/>
      <c r="C8" s="90"/>
      <c r="D8" s="106"/>
      <c r="E8" s="106"/>
      <c r="F8" s="90"/>
      <c r="G8" s="104"/>
      <c r="H8" s="791"/>
      <c r="I8" s="792"/>
      <c r="J8" s="791"/>
      <c r="K8" s="791"/>
      <c r="L8" s="791"/>
      <c r="M8" s="791"/>
      <c r="N8" s="521"/>
      <c r="O8" s="406"/>
    </row>
    <row r="9" spans="1:15" ht="15" customHeight="1">
      <c r="A9" s="819" t="s">
        <v>151</v>
      </c>
      <c r="B9" s="820"/>
      <c r="C9" s="820"/>
      <c r="D9" s="820"/>
      <c r="E9" s="820"/>
      <c r="F9" s="821"/>
      <c r="G9" s="83"/>
      <c r="H9" s="498"/>
      <c r="I9" s="503"/>
      <c r="J9" s="503"/>
      <c r="K9" s="503"/>
      <c r="L9" s="503"/>
      <c r="M9" s="503"/>
      <c r="N9" s="503"/>
      <c r="O9" s="232"/>
    </row>
    <row r="10" spans="1:15" ht="16.5" customHeight="1" thickBot="1">
      <c r="A10" s="822"/>
      <c r="B10" s="823"/>
      <c r="C10" s="823"/>
      <c r="D10" s="823"/>
      <c r="E10" s="823"/>
      <c r="F10" s="824"/>
      <c r="G10" s="80"/>
      <c r="H10" s="82"/>
      <c r="I10" s="501"/>
      <c r="J10" s="501"/>
      <c r="K10" s="501"/>
      <c r="L10" s="501"/>
      <c r="M10" s="501"/>
      <c r="N10" s="501"/>
      <c r="O10" s="406"/>
    </row>
    <row r="11" spans="1:15" ht="15.75" customHeight="1">
      <c r="A11" s="835" t="s">
        <v>150</v>
      </c>
      <c r="B11" s="830" t="s">
        <v>152</v>
      </c>
      <c r="C11" s="832" t="s">
        <v>176</v>
      </c>
      <c r="D11" s="834" t="s">
        <v>154</v>
      </c>
      <c r="E11" s="815" t="s">
        <v>88</v>
      </c>
      <c r="F11" s="816"/>
      <c r="G11" s="80"/>
      <c r="H11" s="82"/>
      <c r="I11" s="501"/>
      <c r="J11" s="501"/>
      <c r="K11" s="501"/>
      <c r="L11" s="501"/>
      <c r="M11" s="501"/>
      <c r="N11" s="501"/>
      <c r="O11" s="406"/>
    </row>
    <row r="12" spans="1:15" ht="38.25" customHeight="1" thickBot="1">
      <c r="A12" s="836"/>
      <c r="B12" s="831"/>
      <c r="C12" s="833"/>
      <c r="D12" s="822"/>
      <c r="E12" s="817"/>
      <c r="F12" s="818"/>
      <c r="G12" s="80"/>
      <c r="H12" s="82"/>
      <c r="I12" s="501"/>
      <c r="J12" s="501"/>
      <c r="K12" s="501"/>
      <c r="L12" s="501"/>
      <c r="M12" s="501"/>
      <c r="N12" s="501"/>
      <c r="O12" s="232"/>
    </row>
    <row r="13" spans="1:15" ht="21">
      <c r="A13" s="563" t="s">
        <v>92</v>
      </c>
      <c r="B13" s="564">
        <v>2</v>
      </c>
      <c r="C13" s="564">
        <v>14</v>
      </c>
      <c r="D13" s="565">
        <v>0</v>
      </c>
      <c r="E13" s="825">
        <f>SUM(B13:D13)</f>
        <v>16</v>
      </c>
      <c r="F13" s="826"/>
      <c r="G13" s="80"/>
      <c r="H13" s="82"/>
      <c r="I13" s="82"/>
      <c r="J13" s="504"/>
      <c r="K13" s="82"/>
      <c r="L13" s="82"/>
      <c r="M13" s="82"/>
      <c r="N13" s="82"/>
      <c r="O13" s="406"/>
    </row>
    <row r="14" spans="1:15" ht="21">
      <c r="A14" s="507" t="s">
        <v>93</v>
      </c>
      <c r="B14" s="506">
        <v>0</v>
      </c>
      <c r="C14" s="506">
        <v>10</v>
      </c>
      <c r="D14" s="566">
        <v>0</v>
      </c>
      <c r="E14" s="827">
        <f>SUM(B14:D14)</f>
        <v>10</v>
      </c>
      <c r="F14" s="828"/>
      <c r="G14" s="80"/>
      <c r="H14" s="82"/>
      <c r="I14" s="501"/>
      <c r="J14" s="501"/>
      <c r="K14" s="501"/>
      <c r="L14" s="501"/>
      <c r="M14" s="501"/>
      <c r="N14" s="501"/>
      <c r="O14" s="232"/>
    </row>
    <row r="15" spans="1:15" ht="21.75" thickBot="1">
      <c r="A15" s="508" t="s">
        <v>104</v>
      </c>
      <c r="B15" s="509">
        <v>0</v>
      </c>
      <c r="C15" s="509">
        <v>38</v>
      </c>
      <c r="D15" s="510">
        <v>0</v>
      </c>
      <c r="E15" s="837">
        <f>SUM(B15:D15)</f>
        <v>38</v>
      </c>
      <c r="F15" s="838"/>
      <c r="G15" s="80"/>
      <c r="H15" s="82"/>
      <c r="I15" s="501"/>
      <c r="J15" s="501"/>
      <c r="K15" s="501"/>
      <c r="L15" s="501"/>
      <c r="M15" s="501"/>
      <c r="N15" s="501"/>
      <c r="O15" s="232"/>
    </row>
    <row r="16" spans="1:15" ht="110.25" customHeight="1" thickBot="1">
      <c r="A16" s="500"/>
      <c r="B16" s="501"/>
      <c r="C16" s="82"/>
      <c r="D16" s="82"/>
      <c r="E16" s="98"/>
      <c r="F16" s="104"/>
      <c r="G16" s="105"/>
      <c r="H16" s="397"/>
      <c r="I16" s="397"/>
      <c r="J16" s="413"/>
      <c r="K16" s="81"/>
      <c r="L16" s="81"/>
      <c r="M16" s="81"/>
      <c r="N16" s="104"/>
      <c r="O16" s="165"/>
    </row>
    <row r="17" spans="1:15" ht="27.75" customHeight="1" thickBot="1">
      <c r="A17" s="500"/>
      <c r="B17" s="501"/>
      <c r="C17" s="82"/>
      <c r="D17" s="82"/>
      <c r="E17" s="89"/>
      <c r="F17" s="82"/>
      <c r="H17" s="803" t="s">
        <v>157</v>
      </c>
      <c r="I17" s="804"/>
      <c r="J17" s="805"/>
      <c r="K17" s="227"/>
      <c r="L17" s="227"/>
      <c r="M17" s="227"/>
      <c r="N17" s="82"/>
      <c r="O17" s="165"/>
    </row>
    <row r="18" spans="1:15" ht="10.5" customHeight="1" thickBot="1">
      <c r="A18" s="500"/>
      <c r="B18" s="501"/>
      <c r="C18" s="82"/>
      <c r="D18" s="82"/>
      <c r="E18" s="89"/>
      <c r="F18" s="82"/>
      <c r="G18" s="80"/>
      <c r="H18" s="394"/>
      <c r="I18" s="394"/>
      <c r="J18" s="394"/>
      <c r="K18" s="227"/>
      <c r="L18" s="227"/>
      <c r="M18" s="227"/>
      <c r="N18" s="82"/>
      <c r="O18" s="165"/>
    </row>
    <row r="19" spans="1:15" ht="24" customHeight="1" thickBot="1">
      <c r="A19" s="529"/>
      <c r="B19" s="530"/>
      <c r="C19" s="498"/>
      <c r="D19" s="82"/>
      <c r="E19" s="80"/>
      <c r="F19" s="105"/>
      <c r="H19" s="193"/>
      <c r="I19" s="533" t="s">
        <v>174</v>
      </c>
      <c r="J19" s="527"/>
      <c r="K19" s="528"/>
      <c r="L19" s="389"/>
      <c r="M19" s="389"/>
      <c r="N19" s="104"/>
      <c r="O19" s="165"/>
    </row>
    <row r="20" spans="1:15" ht="29.25" customHeight="1" thickBot="1">
      <c r="A20" s="531" t="s">
        <v>152</v>
      </c>
      <c r="B20" s="530" t="s">
        <v>176</v>
      </c>
      <c r="C20" s="503" t="s">
        <v>177</v>
      </c>
      <c r="D20" s="82"/>
      <c r="E20" s="83"/>
      <c r="F20" s="83"/>
      <c r="H20" s="545" t="s">
        <v>50</v>
      </c>
      <c r="I20" s="542" t="s">
        <v>175</v>
      </c>
      <c r="J20" s="543" t="s">
        <v>51</v>
      </c>
      <c r="K20" s="544" t="s">
        <v>52</v>
      </c>
      <c r="L20" s="811" t="s">
        <v>53</v>
      </c>
      <c r="M20" s="812"/>
      <c r="N20" s="402"/>
      <c r="O20" s="165"/>
    </row>
    <row r="21" spans="1:15" ht="22.5" customHeight="1">
      <c r="A21" s="503">
        <f>SUM(B13:B15)</f>
        <v>2</v>
      </c>
      <c r="B21" s="532">
        <f>SUM(C13:C15)</f>
        <v>62</v>
      </c>
      <c r="C21" s="503">
        <f>SUM(D13:D15)</f>
        <v>0</v>
      </c>
      <c r="D21" s="82"/>
      <c r="E21" s="82"/>
      <c r="F21" s="82"/>
      <c r="G21" s="78"/>
      <c r="H21" s="549" t="s">
        <v>18</v>
      </c>
      <c r="I21" s="547">
        <v>1</v>
      </c>
      <c r="J21" s="547">
        <v>1</v>
      </c>
      <c r="K21" s="547">
        <v>1</v>
      </c>
      <c r="L21" s="813">
        <v>1</v>
      </c>
      <c r="M21" s="814"/>
      <c r="N21" s="80"/>
      <c r="O21" s="165"/>
    </row>
    <row r="22" spans="1:15" ht="25.5" customHeight="1" thickBot="1">
      <c r="A22" s="106"/>
      <c r="B22" s="106"/>
      <c r="C22" s="106"/>
      <c r="D22" s="106"/>
      <c r="E22" s="106"/>
      <c r="F22" s="106"/>
      <c r="G22" s="78"/>
      <c r="H22" s="550" t="s">
        <v>16</v>
      </c>
      <c r="I22" s="546">
        <v>1</v>
      </c>
      <c r="J22" s="546">
        <v>1</v>
      </c>
      <c r="K22" s="546">
        <v>1</v>
      </c>
      <c r="L22" s="787">
        <v>1</v>
      </c>
      <c r="M22" s="788"/>
      <c r="N22" s="80"/>
      <c r="O22" s="165"/>
    </row>
    <row r="23" spans="1:15" ht="27.75" customHeight="1" thickBot="1">
      <c r="A23" s="808" t="s">
        <v>159</v>
      </c>
      <c r="B23" s="809"/>
      <c r="C23" s="809"/>
      <c r="D23" s="809"/>
      <c r="E23" s="809"/>
      <c r="F23" s="810"/>
      <c r="G23" s="78"/>
      <c r="H23" s="550" t="s">
        <v>19</v>
      </c>
      <c r="I23" s="546">
        <v>1</v>
      </c>
      <c r="J23" s="546">
        <v>1</v>
      </c>
      <c r="K23" s="546">
        <v>1</v>
      </c>
      <c r="L23" s="787">
        <v>1</v>
      </c>
      <c r="M23" s="788"/>
      <c r="N23" s="80"/>
      <c r="O23" s="165"/>
    </row>
    <row r="24" spans="1:15" ht="36" customHeight="1" thickBot="1">
      <c r="A24" s="559" t="s">
        <v>158</v>
      </c>
      <c r="B24" s="806" t="s">
        <v>180</v>
      </c>
      <c r="C24" s="807"/>
      <c r="D24" s="560" t="s">
        <v>161</v>
      </c>
      <c r="E24" s="561" t="s">
        <v>179</v>
      </c>
      <c r="F24" s="562" t="s">
        <v>88</v>
      </c>
      <c r="G24" s="78"/>
      <c r="H24" s="550" t="s">
        <v>17</v>
      </c>
      <c r="I24" s="546">
        <v>1</v>
      </c>
      <c r="J24" s="546">
        <v>1</v>
      </c>
      <c r="K24" s="546">
        <v>1</v>
      </c>
      <c r="L24" s="787">
        <v>1</v>
      </c>
      <c r="M24" s="788"/>
      <c r="N24" s="80"/>
      <c r="O24" s="165"/>
    </row>
    <row r="25" spans="1:15" ht="24.75" customHeight="1">
      <c r="A25" s="505" t="s">
        <v>94</v>
      </c>
      <c r="B25" s="829">
        <v>4</v>
      </c>
      <c r="C25" s="829"/>
      <c r="D25" s="512">
        <v>16</v>
      </c>
      <c r="E25" s="512">
        <v>4</v>
      </c>
      <c r="F25" s="511">
        <f>SUM(B25:D25)</f>
        <v>20</v>
      </c>
      <c r="G25" s="78"/>
      <c r="H25" s="551" t="s">
        <v>367</v>
      </c>
      <c r="I25" s="546">
        <v>1</v>
      </c>
      <c r="J25" s="546">
        <v>1</v>
      </c>
      <c r="K25" s="546">
        <v>1</v>
      </c>
      <c r="L25" s="787">
        <v>1</v>
      </c>
      <c r="M25" s="788"/>
      <c r="N25" s="80"/>
      <c r="O25" s="165"/>
    </row>
    <row r="26" spans="1:15" ht="31.5" customHeight="1">
      <c r="B26" s="496"/>
      <c r="C26" s="496"/>
      <c r="F26" s="497"/>
      <c r="G26" s="103"/>
      <c r="H26" s="551" t="s">
        <v>412</v>
      </c>
      <c r="I26" s="546">
        <v>1</v>
      </c>
      <c r="J26" s="546">
        <v>1</v>
      </c>
      <c r="K26" s="546">
        <v>1</v>
      </c>
      <c r="L26" s="787">
        <v>1</v>
      </c>
      <c r="M26" s="788"/>
      <c r="N26" s="80"/>
      <c r="O26" s="165"/>
    </row>
    <row r="27" spans="1:15" ht="27" customHeight="1">
      <c r="A27" s="802"/>
      <c r="B27" s="802"/>
      <c r="C27" s="802"/>
      <c r="D27" s="802"/>
      <c r="E27" s="499"/>
      <c r="F27" s="502"/>
      <c r="G27" s="89"/>
      <c r="H27" s="551" t="s">
        <v>413</v>
      </c>
      <c r="I27" s="546">
        <v>1</v>
      </c>
      <c r="J27" s="546">
        <v>1</v>
      </c>
      <c r="K27" s="546">
        <v>1</v>
      </c>
      <c r="L27" s="787">
        <v>1</v>
      </c>
      <c r="M27" s="788"/>
      <c r="N27" s="80"/>
      <c r="O27" s="165"/>
    </row>
    <row r="28" spans="1:15" ht="23.25" customHeight="1">
      <c r="A28" s="82"/>
      <c r="B28" s="82"/>
      <c r="C28" s="82"/>
      <c r="D28" s="82"/>
      <c r="E28" s="82"/>
      <c r="F28" s="82"/>
      <c r="G28" s="89"/>
      <c r="H28" s="551" t="s">
        <v>368</v>
      </c>
      <c r="I28" s="546">
        <v>1</v>
      </c>
      <c r="J28" s="546">
        <v>1</v>
      </c>
      <c r="K28" s="546">
        <v>1</v>
      </c>
      <c r="L28" s="787">
        <v>1</v>
      </c>
      <c r="M28" s="788"/>
      <c r="N28" s="105"/>
      <c r="O28" s="165"/>
    </row>
    <row r="29" spans="1:15" ht="29.25" customHeight="1">
      <c r="A29" s="500"/>
      <c r="B29" s="501"/>
      <c r="C29" s="82"/>
      <c r="D29" s="82"/>
      <c r="E29" s="82"/>
      <c r="F29" s="82"/>
      <c r="H29" s="551" t="s">
        <v>369</v>
      </c>
      <c r="I29" s="546">
        <v>1</v>
      </c>
      <c r="J29" s="546">
        <v>1</v>
      </c>
      <c r="K29" s="546">
        <v>1</v>
      </c>
      <c r="L29" s="787">
        <v>1</v>
      </c>
      <c r="M29" s="788"/>
      <c r="N29" s="80"/>
      <c r="O29" s="165"/>
    </row>
    <row r="30" spans="1:15" ht="24.75" customHeight="1">
      <c r="A30" s="500"/>
      <c r="B30" s="501"/>
      <c r="C30" s="82"/>
      <c r="D30" s="82"/>
      <c r="E30" s="82"/>
      <c r="F30" s="82"/>
      <c r="G30" s="78"/>
      <c r="H30" s="551" t="s">
        <v>370</v>
      </c>
      <c r="I30" s="546">
        <v>1</v>
      </c>
      <c r="J30" s="546">
        <v>1</v>
      </c>
      <c r="K30" s="546">
        <v>1</v>
      </c>
      <c r="L30" s="787">
        <v>1</v>
      </c>
      <c r="M30" s="788"/>
      <c r="N30" s="80"/>
      <c r="O30" s="165"/>
    </row>
    <row r="31" spans="1:15" ht="24" customHeight="1">
      <c r="A31" s="500"/>
      <c r="B31" s="501"/>
      <c r="C31" s="82"/>
      <c r="D31" s="82"/>
      <c r="E31" s="82"/>
      <c r="F31" s="82"/>
      <c r="G31" s="78"/>
      <c r="H31" s="550" t="s">
        <v>371</v>
      </c>
      <c r="I31" s="546">
        <v>0.8</v>
      </c>
      <c r="J31" s="546">
        <v>1</v>
      </c>
      <c r="K31" s="546">
        <v>1</v>
      </c>
      <c r="L31" s="787">
        <v>0.4</v>
      </c>
      <c r="M31" s="788"/>
      <c r="N31" s="80"/>
      <c r="O31" s="165"/>
    </row>
    <row r="32" spans="1:15" ht="27.75" customHeight="1">
      <c r="A32" s="500"/>
      <c r="B32" s="501"/>
      <c r="C32" s="82"/>
      <c r="D32" s="82"/>
      <c r="E32" s="82"/>
      <c r="F32" s="82"/>
      <c r="G32" s="78"/>
      <c r="H32" s="550" t="s">
        <v>372</v>
      </c>
      <c r="I32" s="546">
        <v>1</v>
      </c>
      <c r="J32" s="546">
        <v>1</v>
      </c>
      <c r="K32" s="546">
        <v>1</v>
      </c>
      <c r="L32" s="787">
        <v>1</v>
      </c>
      <c r="M32" s="788"/>
      <c r="N32" s="80"/>
      <c r="O32" s="165"/>
    </row>
    <row r="33" spans="1:15" ht="25.5" customHeight="1">
      <c r="A33" s="500"/>
      <c r="B33" s="501"/>
      <c r="C33" s="82"/>
      <c r="D33" s="82"/>
      <c r="E33" s="82"/>
      <c r="F33" s="82"/>
      <c r="G33" s="78"/>
      <c r="H33" s="557" t="s">
        <v>374</v>
      </c>
      <c r="I33" s="546">
        <v>1</v>
      </c>
      <c r="J33" s="546">
        <v>1</v>
      </c>
      <c r="K33" s="546">
        <v>1</v>
      </c>
      <c r="L33" s="787">
        <v>1</v>
      </c>
      <c r="M33" s="788"/>
      <c r="N33" s="80"/>
      <c r="O33" s="165"/>
    </row>
    <row r="34" spans="1:15" ht="27" customHeight="1">
      <c r="A34" s="500"/>
      <c r="B34" s="501"/>
      <c r="C34" s="82"/>
      <c r="D34" s="82"/>
      <c r="E34" s="82"/>
      <c r="F34" s="82"/>
      <c r="G34" s="78"/>
      <c r="H34" s="557" t="s">
        <v>414</v>
      </c>
      <c r="I34" s="546">
        <v>1</v>
      </c>
      <c r="J34" s="546">
        <v>1</v>
      </c>
      <c r="K34" s="546">
        <v>1</v>
      </c>
      <c r="L34" s="787">
        <v>1</v>
      </c>
      <c r="M34" s="788"/>
      <c r="N34" s="80"/>
      <c r="O34" s="165"/>
    </row>
    <row r="35" spans="1:15" ht="24" customHeight="1">
      <c r="A35" s="500"/>
      <c r="B35" s="501"/>
      <c r="C35" s="82"/>
      <c r="D35" s="82"/>
      <c r="E35" s="82"/>
      <c r="F35" s="82"/>
      <c r="G35" s="89"/>
      <c r="H35" s="550" t="s">
        <v>191</v>
      </c>
      <c r="I35" s="546">
        <v>1</v>
      </c>
      <c r="J35" s="546">
        <v>1</v>
      </c>
      <c r="K35" s="546">
        <v>1</v>
      </c>
      <c r="L35" s="787">
        <v>1</v>
      </c>
      <c r="M35" s="788"/>
      <c r="N35" s="80"/>
      <c r="O35" s="165"/>
    </row>
    <row r="36" spans="1:15" ht="24" customHeight="1">
      <c r="A36" s="500"/>
      <c r="B36" s="501"/>
      <c r="C36" s="82"/>
      <c r="D36" s="82"/>
      <c r="E36" s="82"/>
      <c r="F36" s="82"/>
      <c r="H36" s="556" t="s">
        <v>375</v>
      </c>
      <c r="I36" s="546">
        <v>1</v>
      </c>
      <c r="J36" s="546">
        <v>1</v>
      </c>
      <c r="K36" s="546">
        <v>1</v>
      </c>
      <c r="L36" s="787">
        <v>1</v>
      </c>
      <c r="M36" s="788"/>
      <c r="N36" s="80"/>
      <c r="O36" s="165"/>
    </row>
    <row r="37" spans="1:15" ht="22.5" customHeight="1" thickBot="1">
      <c r="A37" s="500"/>
      <c r="B37" s="501"/>
      <c r="C37" s="82"/>
      <c r="D37" s="82"/>
      <c r="E37" s="82"/>
      <c r="F37" s="82"/>
      <c r="G37" s="78"/>
      <c r="H37" s="552" t="s">
        <v>20</v>
      </c>
      <c r="I37" s="548">
        <v>0.67</v>
      </c>
      <c r="J37" s="548">
        <v>1</v>
      </c>
      <c r="K37" s="548">
        <v>1</v>
      </c>
      <c r="L37" s="789">
        <v>0</v>
      </c>
      <c r="M37" s="790"/>
      <c r="N37" s="80"/>
      <c r="O37" s="165"/>
    </row>
  </sheetData>
  <mergeCells count="38">
    <mergeCell ref="E11:F12"/>
    <mergeCell ref="A9:F10"/>
    <mergeCell ref="E13:F13"/>
    <mergeCell ref="E14:F14"/>
    <mergeCell ref="B25:C25"/>
    <mergeCell ref="B11:B12"/>
    <mergeCell ref="C11:C12"/>
    <mergeCell ref="D11:D12"/>
    <mergeCell ref="A11:A12"/>
    <mergeCell ref="E15:F15"/>
    <mergeCell ref="A27:D27"/>
    <mergeCell ref="H17:J17"/>
    <mergeCell ref="B24:C24"/>
    <mergeCell ref="A23:F23"/>
    <mergeCell ref="L22:M22"/>
    <mergeCell ref="L23:M23"/>
    <mergeCell ref="L24:M24"/>
    <mergeCell ref="L20:M20"/>
    <mergeCell ref="L21:M21"/>
    <mergeCell ref="L25:M25"/>
    <mergeCell ref="L26:M26"/>
    <mergeCell ref="L27:M27"/>
    <mergeCell ref="H8:M8"/>
    <mergeCell ref="A1:O1"/>
    <mergeCell ref="A2:O2"/>
    <mergeCell ref="A3:O3"/>
    <mergeCell ref="A4:O4"/>
    <mergeCell ref="J5:K5"/>
    <mergeCell ref="L28:M28"/>
    <mergeCell ref="L29:M29"/>
    <mergeCell ref="L35:M35"/>
    <mergeCell ref="L36:M36"/>
    <mergeCell ref="L37:M37"/>
    <mergeCell ref="L30:M30"/>
    <mergeCell ref="L31:M31"/>
    <mergeCell ref="L32:M32"/>
    <mergeCell ref="L33:M33"/>
    <mergeCell ref="L34:M34"/>
  </mergeCells>
  <conditionalFormatting sqref="I21:L37">
    <cfRule type="expression" dxfId="27" priority="1">
      <formula>I21&lt;100%</formula>
    </cfRule>
  </conditionalFormatting>
  <printOptions horizontalCentered="1"/>
  <pageMargins left="0" right="0" top="0" bottom="0" header="0" footer="0"/>
  <pageSetup paperSize="5" scale="6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72" t="s">
        <v>119</v>
      </c>
      <c r="C1" s="873"/>
      <c r="D1" s="873"/>
      <c r="E1" s="873"/>
      <c r="F1" s="873"/>
      <c r="G1" s="873"/>
      <c r="H1" s="873"/>
      <c r="I1" s="873"/>
      <c r="J1" s="873"/>
      <c r="K1" s="873"/>
      <c r="L1" s="873"/>
      <c r="M1" s="873"/>
      <c r="N1" s="873"/>
      <c r="O1" s="874"/>
      <c r="P1" s="82"/>
      <c r="Q1" s="82"/>
      <c r="R1" s="82"/>
      <c r="S1" s="82"/>
      <c r="T1" s="82"/>
    </row>
    <row r="2" spans="1:20" ht="18.75" customHeight="1">
      <c r="A2" s="82"/>
      <c r="B2" s="860" t="s">
        <v>120</v>
      </c>
      <c r="C2" s="861"/>
      <c r="D2" s="861"/>
      <c r="E2" s="861"/>
      <c r="F2" s="861"/>
      <c r="G2" s="862" t="s">
        <v>189</v>
      </c>
      <c r="H2" s="862"/>
      <c r="I2" s="862"/>
      <c r="J2" s="862"/>
      <c r="K2" s="862"/>
      <c r="L2" s="862"/>
      <c r="M2" s="862"/>
      <c r="N2" s="862"/>
      <c r="O2" s="863"/>
      <c r="P2" s="82"/>
      <c r="Q2" s="82"/>
      <c r="R2" s="82"/>
      <c r="S2" s="82"/>
      <c r="T2" s="82"/>
    </row>
    <row r="3" spans="1:20" ht="28.5" customHeight="1" thickBot="1">
      <c r="A3" s="82"/>
      <c r="B3" s="864" t="s">
        <v>170</v>
      </c>
      <c r="C3" s="865"/>
      <c r="D3" s="865"/>
      <c r="E3" s="865"/>
      <c r="F3" s="865"/>
      <c r="G3" s="865"/>
      <c r="H3" s="866"/>
      <c r="I3" s="208"/>
      <c r="J3" s="209"/>
      <c r="K3" s="479"/>
      <c r="L3" s="207"/>
      <c r="M3" s="207"/>
      <c r="N3" s="207"/>
      <c r="O3" s="209"/>
      <c r="P3" s="82"/>
      <c r="Q3" s="82"/>
      <c r="R3" s="82"/>
      <c r="S3" s="82"/>
      <c r="T3" s="82"/>
    </row>
    <row r="4" spans="1:20" ht="27.75" customHeight="1">
      <c r="A4" s="82"/>
      <c r="B4" s="103"/>
      <c r="C4" s="90"/>
      <c r="D4" s="90"/>
      <c r="E4" s="83"/>
      <c r="F4" s="83"/>
      <c r="G4" s="83"/>
      <c r="H4" s="80"/>
      <c r="I4" s="88"/>
      <c r="J4" s="103"/>
      <c r="K4" s="882" t="s">
        <v>184</v>
      </c>
      <c r="L4" s="883"/>
      <c r="M4" s="883"/>
      <c r="N4" s="883"/>
      <c r="O4" s="884"/>
      <c r="P4" s="80"/>
      <c r="Q4" s="82"/>
      <c r="R4" s="82"/>
      <c r="S4" s="82"/>
      <c r="T4" s="82"/>
    </row>
    <row r="5" spans="1:20" ht="36" customHeight="1" thickBot="1">
      <c r="A5" s="82"/>
      <c r="B5" s="103"/>
      <c r="H5" s="79"/>
      <c r="I5" s="82"/>
      <c r="J5" s="210"/>
      <c r="K5" s="879" t="s">
        <v>122</v>
      </c>
      <c r="L5" s="878"/>
      <c r="M5" s="878" t="s">
        <v>187</v>
      </c>
      <c r="N5" s="878"/>
      <c r="O5" s="534" t="s">
        <v>70</v>
      </c>
      <c r="P5" s="80"/>
      <c r="Q5" s="82"/>
      <c r="R5" s="82"/>
      <c r="S5" s="82"/>
      <c r="T5" s="82"/>
    </row>
    <row r="6" spans="1:20" ht="93.75" customHeight="1">
      <c r="A6" s="82"/>
      <c r="B6" s="79"/>
      <c r="H6" s="79"/>
      <c r="I6" s="82"/>
      <c r="J6" s="79"/>
      <c r="K6" s="885" t="s">
        <v>416</v>
      </c>
      <c r="L6" s="886"/>
      <c r="M6" s="876" t="s">
        <v>423</v>
      </c>
      <c r="N6" s="877"/>
      <c r="O6" s="572" t="s">
        <v>439</v>
      </c>
      <c r="P6" s="80"/>
      <c r="Q6" s="82"/>
      <c r="R6" s="82"/>
      <c r="S6" s="82"/>
      <c r="T6" s="82"/>
    </row>
    <row r="7" spans="1:20" ht="53.25" customHeight="1">
      <c r="A7" s="82"/>
      <c r="C7" s="82"/>
      <c r="D7" s="82"/>
      <c r="E7" s="880"/>
      <c r="F7" s="881"/>
      <c r="G7" s="881"/>
      <c r="H7" s="881"/>
      <c r="I7" s="82"/>
      <c r="J7" s="103"/>
      <c r="K7" s="841" t="s">
        <v>416</v>
      </c>
      <c r="L7" s="842"/>
      <c r="M7" s="839" t="s">
        <v>424</v>
      </c>
      <c r="N7" s="840"/>
      <c r="O7" s="573" t="s">
        <v>440</v>
      </c>
      <c r="P7" s="80"/>
      <c r="Q7" s="82"/>
      <c r="R7" s="82"/>
      <c r="S7" s="82"/>
      <c r="T7" s="82"/>
    </row>
    <row r="8" spans="1:20" ht="50.25" customHeight="1">
      <c r="A8" s="79"/>
      <c r="B8" s="82"/>
      <c r="C8" s="82"/>
      <c r="D8" s="82"/>
      <c r="I8" s="82"/>
      <c r="J8" s="79"/>
      <c r="K8" s="841" t="s">
        <v>416</v>
      </c>
      <c r="L8" s="842"/>
      <c r="M8" s="839" t="s">
        <v>425</v>
      </c>
      <c r="N8" s="840"/>
      <c r="O8" s="573" t="s">
        <v>439</v>
      </c>
      <c r="P8" s="80"/>
      <c r="Q8" s="82"/>
      <c r="R8" s="82"/>
      <c r="S8" s="82"/>
      <c r="T8" s="82"/>
    </row>
    <row r="9" spans="1:20" ht="55.5" customHeight="1" thickBot="1">
      <c r="A9" s="79"/>
      <c r="B9" s="90"/>
      <c r="C9" s="90"/>
      <c r="D9" s="82"/>
      <c r="I9" s="82"/>
      <c r="J9" s="103"/>
      <c r="K9" s="841" t="s">
        <v>131</v>
      </c>
      <c r="L9" s="842"/>
      <c r="M9" s="839" t="s">
        <v>426</v>
      </c>
      <c r="N9" s="840"/>
      <c r="O9" s="573" t="s">
        <v>441</v>
      </c>
      <c r="P9" s="80"/>
      <c r="Q9" s="82"/>
      <c r="R9" s="82"/>
      <c r="S9" s="82"/>
      <c r="T9" s="82"/>
    </row>
    <row r="10" spans="1:20" ht="51" customHeight="1" thickBot="1">
      <c r="A10" s="79"/>
      <c r="B10" s="568"/>
      <c r="C10" s="569" t="s">
        <v>181</v>
      </c>
      <c r="D10" s="80"/>
      <c r="I10" s="82"/>
      <c r="J10" s="79"/>
      <c r="K10" s="841" t="s">
        <v>131</v>
      </c>
      <c r="L10" s="842"/>
      <c r="M10" s="839" t="s">
        <v>427</v>
      </c>
      <c r="N10" s="840"/>
      <c r="O10" s="573" t="s">
        <v>441</v>
      </c>
      <c r="P10" s="80"/>
      <c r="Q10" s="82"/>
      <c r="R10" s="82"/>
      <c r="S10" s="82"/>
      <c r="T10" s="82"/>
    </row>
    <row r="11" spans="1:20" ht="57" customHeight="1" thickBot="1">
      <c r="A11" s="79"/>
      <c r="B11" s="570"/>
      <c r="C11" s="571" t="s">
        <v>182</v>
      </c>
      <c r="D11" s="89"/>
      <c r="F11" s="89"/>
      <c r="H11" s="87"/>
      <c r="I11" s="80"/>
      <c r="J11" s="103"/>
      <c r="K11" s="841" t="s">
        <v>131</v>
      </c>
      <c r="L11" s="842"/>
      <c r="M11" s="839" t="s">
        <v>428</v>
      </c>
      <c r="N11" s="840"/>
      <c r="O11" s="573" t="s">
        <v>442</v>
      </c>
      <c r="P11" s="80"/>
      <c r="Q11" s="82"/>
      <c r="R11" s="82"/>
      <c r="S11" s="82"/>
      <c r="T11" s="82"/>
    </row>
    <row r="12" spans="1:20" ht="49.5" customHeight="1">
      <c r="A12" s="79"/>
      <c r="B12" s="567"/>
      <c r="C12" s="567"/>
      <c r="D12" s="89"/>
      <c r="G12" s="89"/>
      <c r="I12" s="80"/>
      <c r="J12" s="103"/>
      <c r="K12" s="841" t="s">
        <v>421</v>
      </c>
      <c r="L12" s="842"/>
      <c r="M12" s="839" t="s">
        <v>429</v>
      </c>
      <c r="N12" s="840"/>
      <c r="O12" s="573" t="s">
        <v>441</v>
      </c>
      <c r="P12" s="80"/>
      <c r="Q12" s="82"/>
      <c r="R12" s="82"/>
      <c r="S12" s="82"/>
      <c r="T12" s="82"/>
    </row>
    <row r="13" spans="1:20" ht="55.5" customHeight="1">
      <c r="A13" s="79"/>
      <c r="D13" s="89"/>
      <c r="E13" s="875" t="s">
        <v>171</v>
      </c>
      <c r="F13" s="875"/>
      <c r="G13" s="875"/>
      <c r="H13" s="875"/>
      <c r="I13" s="80"/>
      <c r="J13" s="103"/>
      <c r="K13" s="841" t="s">
        <v>421</v>
      </c>
      <c r="L13" s="842"/>
      <c r="M13" s="839" t="s">
        <v>430</v>
      </c>
      <c r="N13" s="840"/>
      <c r="O13" s="573" t="s">
        <v>443</v>
      </c>
      <c r="P13" s="80"/>
      <c r="Q13" s="82"/>
      <c r="R13" s="82"/>
      <c r="S13" s="82"/>
      <c r="T13" s="82"/>
    </row>
    <row r="14" spans="1:20" ht="47.25" customHeight="1">
      <c r="A14" s="79"/>
      <c r="B14" s="851" t="s">
        <v>167</v>
      </c>
      <c r="C14" s="851"/>
      <c r="D14" s="89"/>
      <c r="E14" s="868" t="s">
        <v>122</v>
      </c>
      <c r="F14" s="868"/>
      <c r="G14" s="868"/>
      <c r="H14" s="467" t="s">
        <v>123</v>
      </c>
      <c r="I14" s="80"/>
      <c r="J14" s="103"/>
      <c r="K14" s="841" t="s">
        <v>422</v>
      </c>
      <c r="L14" s="842"/>
      <c r="M14" s="839" t="s">
        <v>431</v>
      </c>
      <c r="N14" s="840"/>
      <c r="O14" s="573" t="s">
        <v>444</v>
      </c>
      <c r="P14" s="80"/>
      <c r="Q14" s="82"/>
      <c r="R14" s="82"/>
      <c r="S14" s="82"/>
      <c r="T14" s="82"/>
    </row>
    <row r="15" spans="1:20" ht="44.25" customHeight="1">
      <c r="A15" s="79"/>
      <c r="B15" s="474" t="s">
        <v>121</v>
      </c>
      <c r="C15" s="474" t="s">
        <v>169</v>
      </c>
      <c r="D15" s="89"/>
      <c r="E15" s="855" t="s">
        <v>415</v>
      </c>
      <c r="F15" s="855"/>
      <c r="G15" s="855"/>
      <c r="H15" s="476">
        <v>2</v>
      </c>
      <c r="I15" s="80"/>
      <c r="J15" s="103"/>
      <c r="K15" s="841" t="s">
        <v>422</v>
      </c>
      <c r="L15" s="842"/>
      <c r="M15" s="839" t="s">
        <v>432</v>
      </c>
      <c r="N15" s="840"/>
      <c r="O15" s="573" t="s">
        <v>445</v>
      </c>
      <c r="P15" s="80"/>
      <c r="Q15" s="82"/>
      <c r="R15" s="82"/>
      <c r="S15" s="82"/>
      <c r="T15" s="82"/>
    </row>
    <row r="16" spans="1:20" ht="47.25" customHeight="1">
      <c r="A16" s="79"/>
      <c r="B16" s="475" t="s">
        <v>415</v>
      </c>
      <c r="C16" s="475">
        <v>4</v>
      </c>
      <c r="D16" s="89"/>
      <c r="E16" s="855" t="s">
        <v>416</v>
      </c>
      <c r="F16" s="855"/>
      <c r="G16" s="855"/>
      <c r="H16" s="476">
        <v>26</v>
      </c>
      <c r="I16" s="80"/>
      <c r="J16" s="103"/>
      <c r="K16" s="841" t="s">
        <v>417</v>
      </c>
      <c r="L16" s="842"/>
      <c r="M16" s="839" t="s">
        <v>433</v>
      </c>
      <c r="N16" s="840"/>
      <c r="O16" s="573" t="s">
        <v>443</v>
      </c>
      <c r="P16" s="80"/>
      <c r="Q16" s="82"/>
      <c r="R16" s="82"/>
      <c r="S16" s="82"/>
      <c r="T16" s="82"/>
    </row>
    <row r="17" spans="1:20" ht="46.5" customHeight="1">
      <c r="A17" s="79"/>
      <c r="B17" s="475" t="s">
        <v>416</v>
      </c>
      <c r="C17" s="475">
        <v>26</v>
      </c>
      <c r="D17" s="89"/>
      <c r="E17" s="855" t="s">
        <v>417</v>
      </c>
      <c r="F17" s="855"/>
      <c r="G17" s="855"/>
      <c r="H17" s="476">
        <v>5</v>
      </c>
      <c r="I17" s="80"/>
      <c r="J17" s="79"/>
      <c r="K17" s="841" t="s">
        <v>417</v>
      </c>
      <c r="L17" s="842"/>
      <c r="M17" s="839" t="s">
        <v>434</v>
      </c>
      <c r="N17" s="840"/>
      <c r="O17" s="573" t="s">
        <v>446</v>
      </c>
      <c r="P17" s="80"/>
      <c r="Q17" s="82"/>
      <c r="R17" s="82"/>
      <c r="S17" s="82"/>
      <c r="T17" s="82"/>
    </row>
    <row r="18" spans="1:20" ht="54.75" customHeight="1" thickBot="1">
      <c r="A18" s="79"/>
      <c r="B18" s="475" t="s">
        <v>417</v>
      </c>
      <c r="C18" s="475">
        <v>5</v>
      </c>
      <c r="D18" s="89"/>
      <c r="E18" s="855" t="s">
        <v>418</v>
      </c>
      <c r="F18" s="855"/>
      <c r="G18" s="855"/>
      <c r="H18" s="476">
        <v>31</v>
      </c>
      <c r="I18" s="80"/>
      <c r="J18" s="87"/>
      <c r="K18" s="858" t="s">
        <v>417</v>
      </c>
      <c r="L18" s="859"/>
      <c r="M18" s="846" t="s">
        <v>435</v>
      </c>
      <c r="N18" s="847"/>
      <c r="O18" s="573" t="s">
        <v>447</v>
      </c>
      <c r="P18" s="80"/>
      <c r="Q18" s="82"/>
      <c r="R18" s="82"/>
      <c r="S18" s="82"/>
      <c r="T18" s="82"/>
    </row>
    <row r="19" spans="1:20" ht="42" customHeight="1" thickBot="1">
      <c r="A19" s="79"/>
      <c r="B19" s="475" t="s">
        <v>418</v>
      </c>
      <c r="C19" s="475">
        <v>31</v>
      </c>
      <c r="D19" s="89"/>
      <c r="E19" s="855" t="s">
        <v>419</v>
      </c>
      <c r="F19" s="855"/>
      <c r="G19" s="855"/>
      <c r="H19" s="476">
        <v>6</v>
      </c>
      <c r="I19" s="80"/>
      <c r="J19" s="79"/>
      <c r="K19" s="230" t="s">
        <v>415</v>
      </c>
      <c r="M19" s="846" t="s">
        <v>436</v>
      </c>
      <c r="N19" s="847"/>
      <c r="O19" s="573" t="s">
        <v>439</v>
      </c>
      <c r="P19" s="80"/>
      <c r="Q19" s="82"/>
      <c r="R19" s="82"/>
      <c r="S19" s="82"/>
      <c r="T19" s="82"/>
    </row>
    <row r="20" spans="1:20" ht="33.75" customHeight="1" thickBot="1">
      <c r="A20" s="79"/>
      <c r="B20" s="475" t="s">
        <v>419</v>
      </c>
      <c r="C20" s="475">
        <v>6</v>
      </c>
      <c r="D20" s="89"/>
      <c r="E20" s="856" t="s">
        <v>420</v>
      </c>
      <c r="F20" s="856"/>
      <c r="G20" s="856"/>
      <c r="H20" s="477">
        <v>25</v>
      </c>
      <c r="I20" s="80"/>
      <c r="J20" s="103"/>
      <c r="K20" s="230" t="s">
        <v>415</v>
      </c>
      <c r="M20" s="846" t="s">
        <v>437</v>
      </c>
      <c r="N20" s="847"/>
      <c r="O20" s="573" t="s">
        <v>443</v>
      </c>
      <c r="P20" s="80"/>
      <c r="Q20" s="82"/>
      <c r="R20" s="82"/>
      <c r="S20" s="82"/>
      <c r="T20" s="82"/>
    </row>
    <row r="21" spans="1:20" ht="46.5" customHeight="1" thickBot="1">
      <c r="A21" s="79"/>
      <c r="B21" s="475" t="s">
        <v>420</v>
      </c>
      <c r="C21" s="475">
        <v>25</v>
      </c>
      <c r="D21" s="98"/>
      <c r="E21" s="867" t="s">
        <v>10</v>
      </c>
      <c r="F21" s="867"/>
      <c r="G21" s="867"/>
      <c r="H21" s="478">
        <f>SUM(H15:H20)</f>
        <v>95</v>
      </c>
      <c r="I21" s="80"/>
      <c r="J21" s="103"/>
      <c r="K21" s="230" t="s">
        <v>415</v>
      </c>
      <c r="M21" s="846" t="s">
        <v>438</v>
      </c>
      <c r="N21" s="847"/>
      <c r="O21" s="573" t="s">
        <v>443</v>
      </c>
      <c r="P21" s="80"/>
      <c r="Q21" s="82"/>
      <c r="R21" s="82"/>
      <c r="S21" s="82"/>
      <c r="T21" s="82"/>
    </row>
    <row r="22" spans="1:20" ht="37.5" customHeight="1" thickBot="1">
      <c r="A22" s="79"/>
      <c r="B22" s="478" t="s">
        <v>10</v>
      </c>
      <c r="C22" s="478">
        <f>SUM(C16:C21)</f>
        <v>97</v>
      </c>
      <c r="D22" s="89"/>
      <c r="E22" s="843" t="s">
        <v>168</v>
      </c>
      <c r="F22" s="844"/>
      <c r="G22" s="844"/>
      <c r="H22" s="845"/>
      <c r="I22" s="80"/>
      <c r="J22" s="79"/>
      <c r="K22" s="230"/>
      <c r="M22" s="846"/>
      <c r="N22" s="847"/>
      <c r="O22" s="573"/>
      <c r="P22" s="80"/>
      <c r="Q22" s="82"/>
      <c r="R22" s="79"/>
      <c r="S22" s="82"/>
      <c r="T22" s="82"/>
    </row>
    <row r="23" spans="1:20" ht="36.75" customHeight="1" thickBot="1">
      <c r="A23" s="79"/>
      <c r="D23" s="78"/>
      <c r="I23" s="83"/>
      <c r="J23" s="79"/>
      <c r="K23" s="230"/>
      <c r="L23" s="87"/>
      <c r="M23" s="846"/>
      <c r="N23" s="847"/>
      <c r="O23" s="573"/>
      <c r="P23" s="80"/>
      <c r="Q23" s="82"/>
      <c r="R23" s="79"/>
      <c r="S23" s="82"/>
      <c r="T23" s="82"/>
    </row>
    <row r="24" spans="1:20" ht="25.5" customHeight="1" thickBot="1">
      <c r="A24" s="79"/>
      <c r="B24" s="465"/>
      <c r="C24" s="465"/>
      <c r="D24" s="212"/>
      <c r="I24" s="90"/>
      <c r="J24" s="87"/>
      <c r="K24" s="235"/>
      <c r="L24" s="234"/>
      <c r="M24" s="846"/>
      <c r="N24" s="847"/>
      <c r="O24" s="573"/>
      <c r="P24" s="80"/>
      <c r="Q24" s="82"/>
      <c r="S24" s="82"/>
      <c r="T24" s="82"/>
    </row>
    <row r="25" spans="1:20" ht="25.5" customHeight="1" thickBot="1">
      <c r="A25" s="79"/>
      <c r="B25" s="466"/>
      <c r="C25" s="466"/>
      <c r="D25" s="231"/>
      <c r="J25" s="89"/>
      <c r="K25" s="536" t="s">
        <v>144</v>
      </c>
      <c r="L25" s="537"/>
      <c r="M25" s="846"/>
      <c r="N25" s="847"/>
      <c r="O25" s="573"/>
      <c r="P25" s="80"/>
      <c r="Q25" s="82"/>
      <c r="S25" s="82"/>
      <c r="T25" s="82"/>
    </row>
    <row r="26" spans="1:20" ht="21" customHeight="1">
      <c r="A26" s="79"/>
      <c r="B26" s="466"/>
      <c r="C26" s="466"/>
      <c r="D26" s="231"/>
      <c r="E26" s="469"/>
      <c r="F26" s="470"/>
      <c r="H26" s="857"/>
      <c r="I26" s="857"/>
      <c r="J26" s="468"/>
      <c r="K26" s="852" t="s">
        <v>188</v>
      </c>
      <c r="L26" s="853"/>
      <c r="M26" s="853"/>
      <c r="N26" s="854"/>
      <c r="O26" s="535"/>
      <c r="P26" s="80"/>
      <c r="Q26" s="82"/>
      <c r="S26" s="82"/>
      <c r="T26" s="82"/>
    </row>
    <row r="27" spans="1:20" ht="26.25" customHeight="1">
      <c r="A27" s="79"/>
      <c r="B27" s="466"/>
      <c r="C27" s="466"/>
      <c r="D27" s="231"/>
      <c r="E27" s="471"/>
      <c r="F27" s="471"/>
      <c r="H27" s="472"/>
      <c r="I27" s="473"/>
      <c r="J27" s="211"/>
      <c r="K27" s="848" t="s">
        <v>186</v>
      </c>
      <c r="L27" s="849"/>
      <c r="M27" s="849"/>
      <c r="N27" s="849"/>
      <c r="O27" s="850"/>
      <c r="P27" s="80"/>
      <c r="Q27" s="82"/>
      <c r="S27" s="82"/>
      <c r="T27" s="82"/>
    </row>
    <row r="28" spans="1:20" ht="32.25" customHeight="1" thickBot="1">
      <c r="A28" s="79"/>
      <c r="J28" s="78"/>
      <c r="K28" s="869" t="s">
        <v>185</v>
      </c>
      <c r="L28" s="870"/>
      <c r="M28" s="870"/>
      <c r="N28" s="870"/>
      <c r="O28" s="871"/>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M12:N12"/>
    <mergeCell ref="M13:N13"/>
    <mergeCell ref="K13:L13"/>
    <mergeCell ref="K14:L14"/>
    <mergeCell ref="E22:H22"/>
    <mergeCell ref="M19:N19"/>
    <mergeCell ref="M20:N20"/>
    <mergeCell ref="M21:N21"/>
    <mergeCell ref="M22:N22"/>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20" t="s">
        <v>0</v>
      </c>
      <c r="B1" s="921"/>
      <c r="C1" s="921"/>
      <c r="D1" s="921"/>
      <c r="E1" s="921"/>
      <c r="F1" s="921"/>
      <c r="G1" s="921"/>
      <c r="H1" s="921"/>
      <c r="I1" s="921"/>
      <c r="J1" s="921"/>
      <c r="K1" s="921"/>
      <c r="L1" s="921"/>
      <c r="M1" s="921"/>
      <c r="N1" s="921"/>
      <c r="O1" s="921"/>
      <c r="P1" s="921"/>
      <c r="Q1" s="921"/>
      <c r="R1" s="921"/>
      <c r="S1" s="921"/>
      <c r="T1" s="921"/>
      <c r="U1" s="921"/>
      <c r="V1" s="921"/>
      <c r="W1" s="921"/>
      <c r="X1" s="921"/>
      <c r="Y1" s="921"/>
      <c r="Z1" s="921"/>
      <c r="AA1" s="921"/>
      <c r="AB1" s="921"/>
      <c r="AC1" s="921"/>
      <c r="AD1" s="921"/>
      <c r="AE1" s="921"/>
      <c r="AF1" s="921"/>
      <c r="AG1" s="921"/>
      <c r="AH1" s="921"/>
      <c r="AI1" s="922"/>
    </row>
    <row r="2" spans="1:36" ht="4.5" customHeight="1" thickBot="1">
      <c r="A2" s="940"/>
      <c r="B2" s="795"/>
      <c r="C2" s="795"/>
      <c r="D2" s="795"/>
      <c r="E2" s="795"/>
      <c r="F2" s="795"/>
      <c r="G2" s="795"/>
      <c r="H2" s="795"/>
      <c r="I2" s="795"/>
      <c r="J2" s="795"/>
      <c r="K2" s="795"/>
      <c r="L2" s="795"/>
      <c r="M2" s="795"/>
      <c r="N2" s="795"/>
      <c r="O2" s="795"/>
      <c r="P2" s="795"/>
      <c r="Q2" s="795"/>
      <c r="R2" s="795"/>
      <c r="S2" s="795"/>
      <c r="T2" s="795"/>
      <c r="U2" s="795"/>
      <c r="V2" s="795"/>
      <c r="W2" s="795"/>
      <c r="X2" s="795"/>
      <c r="Y2" s="795"/>
      <c r="Z2" s="795"/>
      <c r="AA2" s="795"/>
      <c r="AB2" s="795"/>
      <c r="AC2" s="795"/>
      <c r="AD2" s="795"/>
      <c r="AE2" s="795"/>
      <c r="AF2" s="795"/>
      <c r="AG2" s="795"/>
      <c r="AH2" s="795"/>
      <c r="AI2" s="796"/>
    </row>
    <row r="3" spans="1:36" ht="15.75">
      <c r="A3" s="956" t="s">
        <v>148</v>
      </c>
      <c r="B3" s="957"/>
      <c r="C3" s="957"/>
      <c r="D3" s="957"/>
      <c r="E3" s="957"/>
      <c r="F3" s="957"/>
      <c r="G3" s="957"/>
      <c r="H3" s="957"/>
      <c r="I3" s="957"/>
      <c r="J3" s="957"/>
      <c r="K3" s="957"/>
      <c r="L3" s="957"/>
      <c r="M3" s="957"/>
      <c r="N3" s="957"/>
      <c r="O3" s="957"/>
      <c r="P3" s="957"/>
      <c r="Q3" s="957"/>
      <c r="R3" s="957"/>
      <c r="S3" s="957"/>
      <c r="T3" s="957"/>
      <c r="U3" s="957"/>
      <c r="V3" s="957"/>
      <c r="W3" s="957"/>
      <c r="X3" s="957"/>
      <c r="Y3" s="957"/>
      <c r="Z3" s="957"/>
      <c r="AA3" s="957"/>
      <c r="AB3" s="957"/>
      <c r="AC3" s="957"/>
      <c r="AD3" s="957"/>
      <c r="AE3" s="957"/>
      <c r="AF3" s="957"/>
      <c r="AG3" s="957"/>
      <c r="AH3" s="957"/>
      <c r="AI3" s="958"/>
      <c r="AJ3" s="98"/>
    </row>
    <row r="4" spans="1:36" ht="19.5" customHeight="1" thickBot="1">
      <c r="A4" s="953" t="s">
        <v>149</v>
      </c>
      <c r="B4" s="954"/>
      <c r="C4" s="954"/>
      <c r="D4" s="954"/>
      <c r="E4" s="954"/>
      <c r="F4" s="954"/>
      <c r="G4" s="954"/>
      <c r="H4" s="954"/>
      <c r="I4" s="954"/>
      <c r="J4" s="954"/>
      <c r="K4" s="954"/>
      <c r="L4" s="954"/>
      <c r="M4" s="954"/>
      <c r="N4" s="954"/>
      <c r="O4" s="954"/>
      <c r="P4" s="954"/>
      <c r="Q4" s="954"/>
      <c r="R4" s="954"/>
      <c r="S4" s="954"/>
      <c r="T4" s="954"/>
      <c r="U4" s="954"/>
      <c r="V4" s="954"/>
      <c r="W4" s="954"/>
      <c r="X4" s="954"/>
      <c r="Y4" s="954"/>
      <c r="Z4" s="954"/>
      <c r="AA4" s="954"/>
      <c r="AB4" s="954"/>
      <c r="AC4" s="954"/>
      <c r="AD4" s="954"/>
      <c r="AE4" s="954"/>
      <c r="AF4" s="954"/>
      <c r="AG4" s="954"/>
      <c r="AH4" s="954"/>
      <c r="AI4" s="955"/>
    </row>
    <row r="5" spans="1:36" ht="11.25" customHeight="1" thickBot="1">
      <c r="A5" s="230"/>
      <c r="B5" s="104"/>
      <c r="D5" s="355"/>
      <c r="E5" s="355"/>
      <c r="F5" s="355"/>
      <c r="G5" s="355"/>
      <c r="H5" s="87"/>
      <c r="I5" s="357"/>
      <c r="J5" s="358"/>
      <c r="L5" s="357"/>
      <c r="M5" s="104"/>
      <c r="N5" s="358"/>
      <c r="P5" s="357"/>
      <c r="Q5" s="357"/>
      <c r="R5" s="357"/>
      <c r="S5" s="104"/>
      <c r="U5" s="357"/>
      <c r="V5" s="357"/>
      <c r="W5" s="358"/>
      <c r="X5" s="358"/>
      <c r="Y5" s="358"/>
      <c r="Z5" s="358"/>
      <c r="AA5" s="106"/>
      <c r="AB5" s="106"/>
      <c r="AC5" s="106"/>
      <c r="AD5" s="106"/>
      <c r="AE5" s="104"/>
      <c r="AF5" s="358"/>
      <c r="AH5" s="87"/>
      <c r="AI5" s="405"/>
    </row>
    <row r="6" spans="1:36" ht="9.75" customHeight="1">
      <c r="A6" s="136"/>
      <c r="C6" s="151"/>
      <c r="D6" s="124"/>
      <c r="E6" s="968" t="s">
        <v>155</v>
      </c>
      <c r="F6" s="969"/>
      <c r="G6" s="970"/>
      <c r="H6" s="356"/>
      <c r="I6" s="229"/>
      <c r="J6" s="941" t="s">
        <v>92</v>
      </c>
      <c r="K6" s="942"/>
      <c r="L6" s="943"/>
      <c r="M6" s="359"/>
      <c r="N6" s="229"/>
      <c r="O6" s="362"/>
      <c r="P6" s="362"/>
      <c r="Q6" s="962" t="s">
        <v>93</v>
      </c>
      <c r="R6" s="963"/>
      <c r="S6" s="360"/>
      <c r="T6" s="229"/>
      <c r="U6" s="362"/>
      <c r="V6" s="362"/>
      <c r="W6" s="941" t="s">
        <v>104</v>
      </c>
      <c r="X6" s="942"/>
      <c r="Y6" s="942"/>
      <c r="Z6" s="943"/>
      <c r="AA6" s="398"/>
      <c r="AB6" s="229"/>
      <c r="AC6" s="362"/>
      <c r="AD6" s="934" t="s">
        <v>94</v>
      </c>
      <c r="AE6" s="935"/>
      <c r="AF6" s="936"/>
      <c r="AG6" s="136"/>
      <c r="AH6" s="386"/>
      <c r="AI6" s="406"/>
    </row>
    <row r="7" spans="1:36" ht="15.75" customHeight="1">
      <c r="A7" s="136"/>
      <c r="B7" s="100"/>
      <c r="C7" s="23"/>
      <c r="E7" s="971"/>
      <c r="F7" s="972"/>
      <c r="G7" s="973"/>
      <c r="H7" s="356"/>
      <c r="I7" s="233"/>
      <c r="J7" s="959"/>
      <c r="K7" s="960"/>
      <c r="L7" s="961"/>
      <c r="M7" s="359"/>
      <c r="N7" s="233"/>
      <c r="O7" s="354"/>
      <c r="P7" s="361"/>
      <c r="Q7" s="864"/>
      <c r="R7" s="964"/>
      <c r="S7" s="360"/>
      <c r="T7" s="233"/>
      <c r="U7" s="354"/>
      <c r="V7" s="361"/>
      <c r="W7" s="944"/>
      <c r="X7" s="945"/>
      <c r="Y7" s="945"/>
      <c r="Z7" s="946"/>
      <c r="AA7" s="398"/>
      <c r="AB7" s="233"/>
      <c r="AC7" s="354"/>
      <c r="AD7" s="937"/>
      <c r="AE7" s="938"/>
      <c r="AF7" s="939"/>
      <c r="AG7" s="136"/>
      <c r="AH7" s="386"/>
      <c r="AI7" s="406"/>
    </row>
    <row r="8" spans="1:36" ht="12.75" customHeight="1">
      <c r="A8" s="136"/>
      <c r="B8" s="363"/>
      <c r="C8" s="206"/>
      <c r="E8" s="947">
        <v>64</v>
      </c>
      <c r="F8" s="948"/>
      <c r="G8" s="974"/>
      <c r="H8" s="152"/>
      <c r="I8" s="136"/>
      <c r="J8" s="79"/>
      <c r="K8" s="978">
        <v>16</v>
      </c>
      <c r="L8" s="979"/>
      <c r="M8" s="359"/>
      <c r="N8" s="136"/>
      <c r="O8" s="79"/>
      <c r="P8" s="947">
        <v>10</v>
      </c>
      <c r="Q8" s="948"/>
      <c r="R8" s="949"/>
      <c r="S8" s="360"/>
      <c r="T8" s="136"/>
      <c r="U8" s="79"/>
      <c r="V8" s="947">
        <v>38</v>
      </c>
      <c r="W8" s="948"/>
      <c r="X8" s="948"/>
      <c r="Y8" s="948"/>
      <c r="Z8" s="949"/>
      <c r="AA8" s="399"/>
      <c r="AB8" s="136"/>
      <c r="AC8" s="79"/>
      <c r="AD8" s="947">
        <v>20</v>
      </c>
      <c r="AE8" s="948"/>
      <c r="AF8" s="949"/>
      <c r="AG8" s="136"/>
      <c r="AH8" s="387"/>
      <c r="AI8" s="232"/>
    </row>
    <row r="9" spans="1:36" ht="13.5" customHeight="1" thickBot="1">
      <c r="A9" s="230"/>
      <c r="B9" s="100"/>
      <c r="C9" s="144"/>
      <c r="D9" s="352"/>
      <c r="E9" s="975"/>
      <c r="F9" s="976"/>
      <c r="G9" s="977"/>
      <c r="I9" s="137"/>
      <c r="J9" s="353"/>
      <c r="K9" s="980"/>
      <c r="L9" s="981"/>
      <c r="M9" s="360"/>
      <c r="N9" s="137"/>
      <c r="O9" s="353"/>
      <c r="P9" s="950"/>
      <c r="Q9" s="951"/>
      <c r="R9" s="952"/>
      <c r="S9" s="360"/>
      <c r="T9" s="137"/>
      <c r="U9" s="353"/>
      <c r="V9" s="950"/>
      <c r="W9" s="951"/>
      <c r="X9" s="951"/>
      <c r="Y9" s="951"/>
      <c r="Z9" s="952"/>
      <c r="AA9" s="399"/>
      <c r="AB9" s="137"/>
      <c r="AC9" s="353"/>
      <c r="AD9" s="950"/>
      <c r="AE9" s="951"/>
      <c r="AF9" s="952"/>
      <c r="AG9" s="400"/>
      <c r="AH9" s="387"/>
      <c r="AI9" s="165"/>
    </row>
    <row r="10" spans="1:36" ht="13.5" customHeight="1" thickBot="1">
      <c r="A10" s="136"/>
      <c r="B10" s="103"/>
      <c r="C10" s="107"/>
      <c r="D10" s="106"/>
      <c r="E10" s="435"/>
      <c r="F10" s="435"/>
      <c r="G10" s="435"/>
      <c r="H10" s="82"/>
      <c r="I10" s="164"/>
      <c r="K10" s="434"/>
      <c r="L10" s="434"/>
      <c r="M10" s="80"/>
      <c r="N10" s="433"/>
      <c r="O10" s="164"/>
      <c r="P10" s="431"/>
      <c r="Q10" s="429"/>
      <c r="R10" s="439"/>
      <c r="S10" s="103"/>
      <c r="T10" s="412"/>
      <c r="U10" s="365"/>
      <c r="V10" s="440"/>
      <c r="W10" s="429"/>
      <c r="X10" s="439"/>
      <c r="Y10" s="440"/>
      <c r="Z10" s="440"/>
      <c r="AA10" s="430"/>
      <c r="AB10" s="365"/>
      <c r="AD10" s="440"/>
      <c r="AE10" s="440"/>
      <c r="AF10" s="429"/>
      <c r="AG10" s="90"/>
      <c r="AH10" s="441"/>
      <c r="AI10" s="165"/>
    </row>
    <row r="11" spans="1:36" ht="26.25" customHeight="1" thickBot="1">
      <c r="A11" s="302"/>
      <c r="B11" s="148"/>
      <c r="C11" s="148"/>
      <c r="D11" s="148"/>
      <c r="E11" s="352"/>
      <c r="F11" s="148"/>
      <c r="G11" s="352"/>
      <c r="H11" s="148"/>
      <c r="I11" s="352"/>
      <c r="J11" s="148"/>
      <c r="K11" s="148"/>
      <c r="L11" s="148"/>
      <c r="M11" s="148"/>
      <c r="N11" s="148"/>
      <c r="O11" s="82"/>
      <c r="Q11" s="887" t="s">
        <v>163</v>
      </c>
      <c r="R11" s="888"/>
      <c r="S11" s="888"/>
      <c r="T11" s="888"/>
      <c r="U11" s="888"/>
      <c r="V11" s="888"/>
      <c r="W11" s="888"/>
      <c r="X11" s="888"/>
      <c r="Y11" s="888"/>
      <c r="Z11" s="888"/>
      <c r="AA11" s="888"/>
      <c r="AB11" s="888"/>
      <c r="AC11" s="888"/>
      <c r="AD11" s="888"/>
      <c r="AE11" s="888"/>
      <c r="AF11" s="438">
        <v>2025</v>
      </c>
      <c r="AG11" s="449"/>
      <c r="AH11" s="432"/>
      <c r="AI11" s="406"/>
    </row>
    <row r="12" spans="1:36" ht="15" customHeight="1">
      <c r="A12" s="407"/>
      <c r="B12" s="901" t="s">
        <v>150</v>
      </c>
      <c r="C12" s="902"/>
      <c r="D12" s="902"/>
      <c r="E12" s="903"/>
      <c r="F12" s="891" t="s">
        <v>151</v>
      </c>
      <c r="G12" s="892"/>
      <c r="H12" s="892"/>
      <c r="I12" s="892"/>
      <c r="J12" s="892"/>
      <c r="K12" s="892"/>
      <c r="L12" s="892"/>
      <c r="M12" s="891" t="s">
        <v>88</v>
      </c>
      <c r="N12" s="895"/>
      <c r="O12" s="366"/>
      <c r="P12" s="79"/>
      <c r="Q12" s="436"/>
      <c r="R12" s="437"/>
      <c r="S12" s="427">
        <v>0</v>
      </c>
      <c r="T12" s="428">
        <v>1</v>
      </c>
      <c r="U12" s="428">
        <v>2</v>
      </c>
      <c r="V12" s="427">
        <v>3</v>
      </c>
      <c r="W12" s="428">
        <v>4</v>
      </c>
      <c r="X12" s="428">
        <v>5</v>
      </c>
      <c r="Y12" s="427">
        <v>6</v>
      </c>
      <c r="Z12" s="428">
        <v>7</v>
      </c>
      <c r="AA12" s="428">
        <v>8</v>
      </c>
      <c r="AB12" s="427">
        <v>9</v>
      </c>
      <c r="AC12" s="428">
        <v>10</v>
      </c>
      <c r="AD12" s="428">
        <v>11</v>
      </c>
      <c r="AE12" s="427">
        <v>12</v>
      </c>
      <c r="AF12" s="445">
        <v>13</v>
      </c>
      <c r="AG12" s="414"/>
      <c r="AH12" s="450"/>
      <c r="AI12" s="232"/>
    </row>
    <row r="13" spans="1:36" ht="15.75" customHeight="1" thickBot="1">
      <c r="A13" s="230"/>
      <c r="B13" s="904"/>
      <c r="C13" s="905"/>
      <c r="D13" s="905"/>
      <c r="E13" s="906"/>
      <c r="F13" s="893"/>
      <c r="G13" s="894"/>
      <c r="H13" s="894"/>
      <c r="I13" s="894"/>
      <c r="J13" s="894"/>
      <c r="K13" s="894"/>
      <c r="L13" s="894"/>
      <c r="M13" s="896"/>
      <c r="N13" s="897"/>
      <c r="O13" s="366"/>
      <c r="P13" s="79"/>
      <c r="Q13" s="421"/>
      <c r="R13" s="411"/>
      <c r="S13" s="426">
        <f>IF(INT($J$18*14/64 - S$12) = 0,$J$18, INT($J$18*14/64 - S$12))</f>
        <v>5</v>
      </c>
      <c r="T13" s="426">
        <f t="shared" ref="T13:AF13" si="0">IF(INT($J$18*14/64 - T$12) = 0,$J$18, INT($J$18*14/64 - T$12))</f>
        <v>4</v>
      </c>
      <c r="U13" s="426">
        <f t="shared" si="0"/>
        <v>3</v>
      </c>
      <c r="V13" s="426">
        <f t="shared" si="0"/>
        <v>2</v>
      </c>
      <c r="W13" s="426">
        <f t="shared" si="0"/>
        <v>1</v>
      </c>
      <c r="X13" s="426">
        <f t="shared" si="0"/>
        <v>25</v>
      </c>
      <c r="Y13" s="426">
        <f t="shared" si="0"/>
        <v>-1</v>
      </c>
      <c r="Z13" s="426">
        <f t="shared" si="0"/>
        <v>-2</v>
      </c>
      <c r="AA13" s="426">
        <f t="shared" si="0"/>
        <v>-3</v>
      </c>
      <c r="AB13" s="426">
        <f t="shared" si="0"/>
        <v>-4</v>
      </c>
      <c r="AC13" s="426">
        <f t="shared" si="0"/>
        <v>-5</v>
      </c>
      <c r="AD13" s="426">
        <f t="shared" si="0"/>
        <v>-6</v>
      </c>
      <c r="AE13" s="426">
        <f t="shared" si="0"/>
        <v>-7</v>
      </c>
      <c r="AF13" s="444">
        <f t="shared" si="0"/>
        <v>-8</v>
      </c>
      <c r="AG13" s="411"/>
      <c r="AH13" s="450"/>
      <c r="AI13" s="406"/>
    </row>
    <row r="14" spans="1:36" ht="13.5" customHeight="1">
      <c r="A14" s="407"/>
      <c r="B14" s="904"/>
      <c r="C14" s="905"/>
      <c r="D14" s="905"/>
      <c r="E14" s="906"/>
      <c r="F14" s="910" t="s">
        <v>152</v>
      </c>
      <c r="G14" s="911"/>
      <c r="H14" s="914" t="s">
        <v>153</v>
      </c>
      <c r="I14" s="915"/>
      <c r="J14" s="918" t="s">
        <v>154</v>
      </c>
      <c r="K14" s="919"/>
      <c r="L14" s="919"/>
      <c r="M14" s="896"/>
      <c r="N14" s="897"/>
      <c r="O14" s="366"/>
      <c r="P14" s="79"/>
      <c r="Q14" s="421"/>
      <c r="R14" s="415" t="s">
        <v>104</v>
      </c>
      <c r="S14" s="424">
        <f>IF(INT($H$18*14/64 - S$12) = 0,$H$18, INT($H$18*14/64 - S$12))</f>
        <v>8</v>
      </c>
      <c r="T14" s="424">
        <f t="shared" ref="T14:AF14" si="1">IF(INT($H$18*14/64 - T$12) = 0,$H$18, INT($H$18*14/64 - T$12))</f>
        <v>7</v>
      </c>
      <c r="U14" s="424">
        <f t="shared" si="1"/>
        <v>6</v>
      </c>
      <c r="V14" s="424">
        <f t="shared" si="1"/>
        <v>5</v>
      </c>
      <c r="W14" s="424">
        <f t="shared" si="1"/>
        <v>4</v>
      </c>
      <c r="X14" s="424">
        <f t="shared" si="1"/>
        <v>3</v>
      </c>
      <c r="Y14" s="424">
        <f t="shared" si="1"/>
        <v>2</v>
      </c>
      <c r="Z14" s="424">
        <f t="shared" si="1"/>
        <v>1</v>
      </c>
      <c r="AA14" s="424">
        <f t="shared" si="1"/>
        <v>38</v>
      </c>
      <c r="AB14" s="424">
        <f t="shared" si="1"/>
        <v>-1</v>
      </c>
      <c r="AC14" s="424">
        <f t="shared" si="1"/>
        <v>-2</v>
      </c>
      <c r="AD14" s="424">
        <f t="shared" si="1"/>
        <v>-3</v>
      </c>
      <c r="AE14" s="424">
        <f t="shared" si="1"/>
        <v>-4</v>
      </c>
      <c r="AF14" s="424">
        <f t="shared" si="1"/>
        <v>-5</v>
      </c>
      <c r="AG14" s="411"/>
      <c r="AH14" s="450"/>
      <c r="AI14" s="406"/>
    </row>
    <row r="15" spans="1:36" ht="15" customHeight="1">
      <c r="A15" s="407"/>
      <c r="B15" s="907"/>
      <c r="C15" s="908"/>
      <c r="D15" s="908"/>
      <c r="E15" s="909"/>
      <c r="F15" s="912"/>
      <c r="G15" s="913"/>
      <c r="H15" s="916"/>
      <c r="I15" s="917"/>
      <c r="J15" s="918"/>
      <c r="K15" s="919"/>
      <c r="L15" s="919"/>
      <c r="M15" s="896"/>
      <c r="N15" s="897"/>
      <c r="P15" s="79"/>
      <c r="Q15" s="421"/>
      <c r="R15" s="411"/>
      <c r="S15" s="426">
        <f>IF(INT($F$18*14/64 - S$12) = 0,$F$18, INT($F$18*14/64 - S$12))</f>
        <v>2</v>
      </c>
      <c r="T15" s="426">
        <f t="shared" ref="T15:AF15" si="2">IF(INT($F$18*14/64 - T$12) = 0,$F$18, INT($F$18*14/64 - T$12))</f>
        <v>1</v>
      </c>
      <c r="U15" s="426">
        <f t="shared" si="2"/>
        <v>10</v>
      </c>
      <c r="V15" s="426">
        <f t="shared" si="2"/>
        <v>-1</v>
      </c>
      <c r="W15" s="426">
        <f t="shared" si="2"/>
        <v>-2</v>
      </c>
      <c r="X15" s="426">
        <f t="shared" si="2"/>
        <v>-3</v>
      </c>
      <c r="Y15" s="426">
        <f t="shared" si="2"/>
        <v>-4</v>
      </c>
      <c r="Z15" s="426">
        <f t="shared" si="2"/>
        <v>-5</v>
      </c>
      <c r="AA15" s="426">
        <f t="shared" si="2"/>
        <v>-6</v>
      </c>
      <c r="AB15" s="426">
        <f t="shared" si="2"/>
        <v>-7</v>
      </c>
      <c r="AC15" s="426">
        <f t="shared" si="2"/>
        <v>-8</v>
      </c>
      <c r="AD15" s="426">
        <f t="shared" si="2"/>
        <v>-9</v>
      </c>
      <c r="AE15" s="426">
        <f t="shared" si="2"/>
        <v>-10</v>
      </c>
      <c r="AF15" s="444">
        <f t="shared" si="2"/>
        <v>-11</v>
      </c>
      <c r="AG15" s="411"/>
      <c r="AH15" s="450"/>
      <c r="AI15" s="232"/>
    </row>
    <row r="16" spans="1:36" ht="15.75">
      <c r="A16" s="230"/>
      <c r="B16" s="898" t="s">
        <v>92</v>
      </c>
      <c r="C16" s="899"/>
      <c r="D16" s="899"/>
      <c r="E16" s="899"/>
      <c r="F16" s="786">
        <v>2</v>
      </c>
      <c r="G16" s="786"/>
      <c r="H16" s="786">
        <v>14</v>
      </c>
      <c r="I16" s="786"/>
      <c r="J16" s="786">
        <v>0</v>
      </c>
      <c r="K16" s="786"/>
      <c r="L16" s="786"/>
      <c r="M16" s="786">
        <v>16</v>
      </c>
      <c r="N16" s="900"/>
      <c r="O16" s="366"/>
      <c r="P16" s="79"/>
      <c r="Q16" s="421"/>
      <c r="R16" s="411"/>
      <c r="S16" s="416"/>
      <c r="T16" s="411"/>
      <c r="U16" s="411"/>
      <c r="V16" s="411"/>
      <c r="W16" s="417"/>
      <c r="X16" s="411"/>
      <c r="Y16" s="411"/>
      <c r="Z16" s="411"/>
      <c r="AA16" s="411"/>
      <c r="AB16" s="411"/>
      <c r="AC16" s="411"/>
      <c r="AD16" s="411"/>
      <c r="AE16" s="411"/>
      <c r="AF16" s="443"/>
      <c r="AG16" s="411"/>
      <c r="AH16" s="450"/>
      <c r="AI16" s="406"/>
    </row>
    <row r="17" spans="1:36" ht="15.75">
      <c r="A17" s="407"/>
      <c r="B17" s="898" t="s">
        <v>93</v>
      </c>
      <c r="C17" s="899"/>
      <c r="D17" s="899"/>
      <c r="E17" s="899"/>
      <c r="F17" s="786">
        <v>0</v>
      </c>
      <c r="G17" s="786"/>
      <c r="H17" s="786">
        <v>10</v>
      </c>
      <c r="I17" s="786"/>
      <c r="J17" s="786">
        <v>0</v>
      </c>
      <c r="K17" s="786"/>
      <c r="L17" s="786"/>
      <c r="M17" s="786">
        <v>10</v>
      </c>
      <c r="N17" s="900"/>
      <c r="O17" s="116"/>
      <c r="P17" s="79"/>
      <c r="Q17" s="418"/>
      <c r="R17" s="423"/>
      <c r="S17" s="426">
        <f>IF(INT($J$17*14/64 - S$12) = 0,$J$17, INT($J$17*14/64 - S$12))</f>
        <v>0</v>
      </c>
      <c r="T17" s="426">
        <f t="shared" ref="T17:AF17" si="3">IF(INT($J$17*14/64 - T$12) = 0,$J$17, INT($J$17*14/64 - T$12))</f>
        <v>-1</v>
      </c>
      <c r="U17" s="426">
        <f t="shared" si="3"/>
        <v>-2</v>
      </c>
      <c r="V17" s="426">
        <f t="shared" si="3"/>
        <v>-3</v>
      </c>
      <c r="W17" s="426">
        <f t="shared" si="3"/>
        <v>-4</v>
      </c>
      <c r="X17" s="426">
        <f t="shared" si="3"/>
        <v>-5</v>
      </c>
      <c r="Y17" s="426">
        <f t="shared" si="3"/>
        <v>-6</v>
      </c>
      <c r="Z17" s="426">
        <f t="shared" si="3"/>
        <v>-7</v>
      </c>
      <c r="AA17" s="426">
        <f t="shared" si="3"/>
        <v>-8</v>
      </c>
      <c r="AB17" s="426">
        <f t="shared" si="3"/>
        <v>-9</v>
      </c>
      <c r="AC17" s="426">
        <f t="shared" si="3"/>
        <v>-10</v>
      </c>
      <c r="AD17" s="426">
        <f t="shared" si="3"/>
        <v>-11</v>
      </c>
      <c r="AE17" s="426">
        <f t="shared" si="3"/>
        <v>-12</v>
      </c>
      <c r="AF17" s="444">
        <f t="shared" si="3"/>
        <v>-13</v>
      </c>
      <c r="AG17" s="411"/>
      <c r="AH17" s="450"/>
      <c r="AI17" s="232"/>
    </row>
    <row r="18" spans="1:36" ht="16.5" thickBot="1">
      <c r="A18" s="230"/>
      <c r="B18" s="982" t="s">
        <v>104</v>
      </c>
      <c r="C18" s="983"/>
      <c r="D18" s="983"/>
      <c r="E18" s="983"/>
      <c r="F18" s="889">
        <v>10</v>
      </c>
      <c r="G18" s="889"/>
      <c r="H18" s="889">
        <v>38</v>
      </c>
      <c r="I18" s="889"/>
      <c r="J18" s="965">
        <v>25</v>
      </c>
      <c r="K18" s="966"/>
      <c r="L18" s="967"/>
      <c r="M18" s="889">
        <v>38</v>
      </c>
      <c r="N18" s="890"/>
      <c r="O18" s="155"/>
      <c r="P18" s="81"/>
      <c r="Q18" s="421"/>
      <c r="R18" s="422" t="s">
        <v>93</v>
      </c>
      <c r="S18" s="424">
        <f>IF(INT($H$17*14/64 - S$12) = 0,$H$17, INT($H$17*14/64 - S$12))</f>
        <v>2</v>
      </c>
      <c r="T18" s="424">
        <f t="shared" ref="T18:AF18" si="4">IF(INT($H$17*14/64 - T$12) = 0,$H$17, INT($H$17*14/64 - T$12))</f>
        <v>1</v>
      </c>
      <c r="U18" s="424">
        <f t="shared" si="4"/>
        <v>10</v>
      </c>
      <c r="V18" s="424">
        <f t="shared" si="4"/>
        <v>-1</v>
      </c>
      <c r="W18" s="424">
        <f t="shared" si="4"/>
        <v>-2</v>
      </c>
      <c r="X18" s="424">
        <f t="shared" si="4"/>
        <v>-3</v>
      </c>
      <c r="Y18" s="424">
        <f t="shared" si="4"/>
        <v>-4</v>
      </c>
      <c r="Z18" s="424">
        <f t="shared" si="4"/>
        <v>-5</v>
      </c>
      <c r="AA18" s="424">
        <f t="shared" si="4"/>
        <v>-6</v>
      </c>
      <c r="AB18" s="424">
        <f t="shared" si="4"/>
        <v>-7</v>
      </c>
      <c r="AC18" s="424">
        <f t="shared" si="4"/>
        <v>-8</v>
      </c>
      <c r="AD18" s="424">
        <f t="shared" si="4"/>
        <v>-9</v>
      </c>
      <c r="AE18" s="424">
        <f t="shared" si="4"/>
        <v>-10</v>
      </c>
      <c r="AF18" s="424">
        <f t="shared" si="4"/>
        <v>-11</v>
      </c>
      <c r="AG18" s="411"/>
      <c r="AH18" s="450"/>
      <c r="AI18" s="232"/>
    </row>
    <row r="19" spans="1:36" ht="14.25" customHeight="1">
      <c r="A19" s="233"/>
      <c r="B19" s="125"/>
      <c r="C19" s="364"/>
      <c r="D19" s="364"/>
      <c r="E19" s="364"/>
      <c r="F19" s="107"/>
      <c r="G19" s="107"/>
      <c r="I19" s="364"/>
      <c r="J19" s="107"/>
      <c r="K19" s="364"/>
      <c r="L19" s="364"/>
      <c r="M19" s="107"/>
      <c r="N19" s="124"/>
      <c r="O19" s="82"/>
      <c r="P19" s="79"/>
      <c r="Q19" s="421"/>
      <c r="R19" s="10"/>
      <c r="S19" s="426">
        <f>IF(INT($F$17*14/64 - S$12) = 0,$F$17, INT($F$17*14/64 - S$12))</f>
        <v>0</v>
      </c>
      <c r="T19" s="426">
        <f t="shared" ref="T19:AF19" si="5">IF(INT($F$17*14/64 - T$12) = 0,$F$17, INT($F$17*14/64 - T$12))</f>
        <v>-1</v>
      </c>
      <c r="U19" s="426">
        <f t="shared" si="5"/>
        <v>-2</v>
      </c>
      <c r="V19" s="426">
        <f t="shared" si="5"/>
        <v>-3</v>
      </c>
      <c r="W19" s="426">
        <f t="shared" si="5"/>
        <v>-4</v>
      </c>
      <c r="X19" s="426">
        <f t="shared" si="5"/>
        <v>-5</v>
      </c>
      <c r="Y19" s="426">
        <f t="shared" si="5"/>
        <v>-6</v>
      </c>
      <c r="Z19" s="426">
        <f t="shared" si="5"/>
        <v>-7</v>
      </c>
      <c r="AA19" s="426">
        <f t="shared" si="5"/>
        <v>-8</v>
      </c>
      <c r="AB19" s="426">
        <f t="shared" si="5"/>
        <v>-9</v>
      </c>
      <c r="AC19" s="426">
        <f t="shared" si="5"/>
        <v>-10</v>
      </c>
      <c r="AD19" s="426">
        <f t="shared" si="5"/>
        <v>-11</v>
      </c>
      <c r="AE19" s="426">
        <f t="shared" si="5"/>
        <v>-12</v>
      </c>
      <c r="AF19" s="444">
        <f t="shared" si="5"/>
        <v>-13</v>
      </c>
      <c r="AG19" s="411"/>
      <c r="AH19" s="450"/>
      <c r="AI19" s="406"/>
    </row>
    <row r="20" spans="1:36">
      <c r="A20" s="230"/>
      <c r="B20" s="82"/>
      <c r="C20" s="82"/>
      <c r="D20" s="82"/>
      <c r="E20" s="82"/>
      <c r="F20" s="82"/>
      <c r="G20" s="82"/>
      <c r="H20" s="82"/>
      <c r="I20" s="82"/>
      <c r="J20" s="82"/>
      <c r="K20" s="82"/>
      <c r="L20" s="82"/>
      <c r="M20" s="82"/>
      <c r="N20" s="82"/>
      <c r="O20" s="80"/>
      <c r="P20" s="79"/>
      <c r="Q20" s="418"/>
      <c r="R20" s="10"/>
      <c r="S20" s="411"/>
      <c r="T20" s="411"/>
      <c r="U20" s="411"/>
      <c r="V20" s="411"/>
      <c r="W20" s="411"/>
      <c r="X20" s="411"/>
      <c r="Y20" s="411"/>
      <c r="Z20" s="411"/>
      <c r="AA20" s="411"/>
      <c r="AB20" s="411"/>
      <c r="AC20" s="411"/>
      <c r="AD20" s="411"/>
      <c r="AE20" s="411"/>
      <c r="AF20" s="443"/>
      <c r="AG20" s="411"/>
      <c r="AH20" s="450"/>
      <c r="AI20" s="408"/>
    </row>
    <row r="21" spans="1:36">
      <c r="A21" s="136"/>
      <c r="B21" s="82"/>
      <c r="C21" s="82"/>
      <c r="D21" s="82"/>
      <c r="E21" s="82"/>
      <c r="F21" s="82"/>
      <c r="G21" s="82"/>
      <c r="H21" s="82"/>
      <c r="I21" s="82"/>
      <c r="J21" s="82"/>
      <c r="K21" s="82"/>
      <c r="L21" s="82"/>
      <c r="M21" s="82"/>
      <c r="N21" s="82"/>
      <c r="O21" s="83"/>
      <c r="P21" s="103"/>
      <c r="Q21" s="420"/>
      <c r="R21" s="410"/>
      <c r="S21" s="425">
        <f>IF(INT($J$16*14/64 - S$12) = 0,$J$16, INT($J$16*14/64 - S$12))</f>
        <v>0</v>
      </c>
      <c r="T21" s="425">
        <f t="shared" ref="T21:AF21" si="6">IF(INT($J$16*14/64 - T$12) = 0,$J$16, INT($J$16*14/64 - T$12))</f>
        <v>-1</v>
      </c>
      <c r="U21" s="425">
        <f t="shared" si="6"/>
        <v>-2</v>
      </c>
      <c r="V21" s="425">
        <f t="shared" si="6"/>
        <v>-3</v>
      </c>
      <c r="W21" s="425">
        <f t="shared" si="6"/>
        <v>-4</v>
      </c>
      <c r="X21" s="425">
        <f t="shared" si="6"/>
        <v>-5</v>
      </c>
      <c r="Y21" s="425">
        <f t="shared" si="6"/>
        <v>-6</v>
      </c>
      <c r="Z21" s="425">
        <f t="shared" si="6"/>
        <v>-7</v>
      </c>
      <c r="AA21" s="425">
        <f t="shared" si="6"/>
        <v>-8</v>
      </c>
      <c r="AB21" s="425">
        <f t="shared" si="6"/>
        <v>-9</v>
      </c>
      <c r="AC21" s="425">
        <f t="shared" si="6"/>
        <v>-10</v>
      </c>
      <c r="AD21" s="425">
        <f t="shared" si="6"/>
        <v>-11</v>
      </c>
      <c r="AE21" s="425">
        <f t="shared" si="6"/>
        <v>-12</v>
      </c>
      <c r="AF21" s="446">
        <f t="shared" si="6"/>
        <v>-13</v>
      </c>
      <c r="AG21" s="411"/>
      <c r="AH21" s="450"/>
      <c r="AI21" s="351"/>
    </row>
    <row r="22" spans="1:36" ht="15.75">
      <c r="A22" s="303"/>
      <c r="B22" s="82"/>
      <c r="C22" s="82"/>
      <c r="D22" s="82"/>
      <c r="E22" s="82"/>
      <c r="F22" s="82"/>
      <c r="G22" s="82"/>
      <c r="H22" s="82"/>
      <c r="I22" s="82"/>
      <c r="J22" s="82"/>
      <c r="K22" s="82"/>
      <c r="L22" s="82"/>
      <c r="M22" s="82"/>
      <c r="N22" s="82"/>
      <c r="O22" s="80"/>
      <c r="P22" s="79"/>
      <c r="Q22" s="421"/>
      <c r="R22" s="422" t="s">
        <v>92</v>
      </c>
      <c r="S22" s="424">
        <f>IF(INT($H$16*14/64 - S$12) = 0,$H$16, INT($H$16*14/64 - S$12))</f>
        <v>3</v>
      </c>
      <c r="T22" s="424">
        <f t="shared" ref="T22:AF22" si="7">IF(INT($H$16*14/64 - T$12) = 0,$H$16, INT($H$16*14/64 - T$12))</f>
        <v>2</v>
      </c>
      <c r="U22" s="424">
        <f t="shared" si="7"/>
        <v>1</v>
      </c>
      <c r="V22" s="424">
        <f t="shared" si="7"/>
        <v>14</v>
      </c>
      <c r="W22" s="424">
        <f t="shared" si="7"/>
        <v>-1</v>
      </c>
      <c r="X22" s="424">
        <f t="shared" si="7"/>
        <v>-2</v>
      </c>
      <c r="Y22" s="424">
        <f t="shared" si="7"/>
        <v>-3</v>
      </c>
      <c r="Z22" s="424">
        <f t="shared" si="7"/>
        <v>-4</v>
      </c>
      <c r="AA22" s="424">
        <f t="shared" si="7"/>
        <v>-5</v>
      </c>
      <c r="AB22" s="424">
        <f t="shared" si="7"/>
        <v>-6</v>
      </c>
      <c r="AC22" s="424">
        <f t="shared" si="7"/>
        <v>-7</v>
      </c>
      <c r="AD22" s="424">
        <f t="shared" si="7"/>
        <v>-8</v>
      </c>
      <c r="AE22" s="424">
        <f t="shared" si="7"/>
        <v>-9</v>
      </c>
      <c r="AF22" s="424">
        <f t="shared" si="7"/>
        <v>-10</v>
      </c>
      <c r="AG22" s="411"/>
      <c r="AH22" s="450"/>
      <c r="AI22" s="232"/>
    </row>
    <row r="23" spans="1:36" ht="15.75">
      <c r="A23" s="136"/>
      <c r="B23" s="82"/>
      <c r="C23" s="82"/>
      <c r="D23" s="82"/>
      <c r="E23" s="82"/>
      <c r="F23" s="82"/>
      <c r="G23" s="82"/>
      <c r="H23" s="82"/>
      <c r="I23" s="82"/>
      <c r="J23" s="82"/>
      <c r="K23" s="82"/>
      <c r="L23" s="82"/>
      <c r="M23" s="82"/>
      <c r="N23" s="82"/>
      <c r="O23" s="80"/>
      <c r="P23" s="79"/>
      <c r="Q23" s="421"/>
      <c r="R23" s="411"/>
      <c r="S23" s="426">
        <f>IF(INT($F$16*14/64 - S$12) = 0,$F$16, INT($F$16*14/64 - S$12))</f>
        <v>2</v>
      </c>
      <c r="T23" s="426">
        <f t="shared" ref="T23:AF23" si="8">IF(INT($F$16*14/64 - T$12) = 0,$F$16, INT($F$16*14/64 - T$12))</f>
        <v>-1</v>
      </c>
      <c r="U23" s="426">
        <f t="shared" si="8"/>
        <v>-2</v>
      </c>
      <c r="V23" s="426">
        <f t="shared" si="8"/>
        <v>-3</v>
      </c>
      <c r="W23" s="426">
        <f t="shared" si="8"/>
        <v>-4</v>
      </c>
      <c r="X23" s="426">
        <f t="shared" si="8"/>
        <v>-5</v>
      </c>
      <c r="Y23" s="426">
        <f t="shared" si="8"/>
        <v>-6</v>
      </c>
      <c r="Z23" s="426">
        <f t="shared" si="8"/>
        <v>-7</v>
      </c>
      <c r="AA23" s="426">
        <f t="shared" si="8"/>
        <v>-8</v>
      </c>
      <c r="AB23" s="426">
        <f t="shared" si="8"/>
        <v>-9</v>
      </c>
      <c r="AC23" s="426">
        <f t="shared" si="8"/>
        <v>-10</v>
      </c>
      <c r="AD23" s="426">
        <f t="shared" si="8"/>
        <v>-11</v>
      </c>
      <c r="AE23" s="426">
        <f t="shared" si="8"/>
        <v>-12</v>
      </c>
      <c r="AF23" s="426">
        <f t="shared" si="8"/>
        <v>-13</v>
      </c>
      <c r="AG23" s="411"/>
      <c r="AH23" s="450"/>
      <c r="AI23" s="232"/>
    </row>
    <row r="24" spans="1:36">
      <c r="A24" s="136"/>
      <c r="B24" s="82"/>
      <c r="C24" s="82"/>
      <c r="D24" s="82"/>
      <c r="E24" s="82"/>
      <c r="F24" s="82"/>
      <c r="G24" s="82"/>
      <c r="H24" s="82"/>
      <c r="I24" s="82"/>
      <c r="J24" s="82"/>
      <c r="K24" s="82"/>
      <c r="L24" s="82"/>
      <c r="M24" s="82"/>
      <c r="N24" s="82"/>
      <c r="O24" s="80"/>
      <c r="P24" s="103"/>
      <c r="Q24" s="421"/>
      <c r="R24" s="411"/>
      <c r="S24" s="448"/>
      <c r="T24" s="448"/>
      <c r="U24" s="448"/>
      <c r="V24" s="448"/>
      <c r="W24" s="448"/>
      <c r="X24" s="448"/>
      <c r="Y24" s="448"/>
      <c r="Z24" s="448"/>
      <c r="AA24" s="448"/>
      <c r="AB24" s="448"/>
      <c r="AC24" s="448"/>
      <c r="AD24" s="448"/>
      <c r="AE24" s="448"/>
      <c r="AF24" s="416"/>
      <c r="AG24" s="411"/>
      <c r="AH24" s="450"/>
      <c r="AI24" s="406"/>
    </row>
    <row r="25" spans="1:36" ht="15.75" thickBot="1">
      <c r="A25" s="136"/>
      <c r="B25" s="82"/>
      <c r="C25" s="82"/>
      <c r="D25" s="82"/>
      <c r="E25" s="82"/>
      <c r="F25" s="82"/>
      <c r="G25" s="82"/>
      <c r="H25" s="82"/>
      <c r="I25" s="82"/>
      <c r="J25" s="82"/>
      <c r="K25" s="82"/>
      <c r="L25" s="82"/>
      <c r="M25" s="82"/>
      <c r="N25" s="82"/>
      <c r="O25" s="105"/>
      <c r="P25" s="103"/>
      <c r="Q25" s="442"/>
      <c r="R25" s="419"/>
      <c r="S25" s="419"/>
      <c r="T25" s="419"/>
      <c r="U25" s="419"/>
      <c r="V25" s="419"/>
      <c r="W25" s="419"/>
      <c r="X25" s="419"/>
      <c r="Y25" s="419"/>
      <c r="Z25" s="419"/>
      <c r="AA25" s="419"/>
      <c r="AB25" s="419"/>
      <c r="AC25" s="419"/>
      <c r="AD25" s="419"/>
      <c r="AE25" s="419"/>
      <c r="AF25" s="447"/>
      <c r="AG25" s="451"/>
      <c r="AH25" s="452"/>
      <c r="AI25" s="406"/>
    </row>
    <row r="26" spans="1:36" ht="11.25" customHeight="1" thickBot="1">
      <c r="A26" s="136"/>
      <c r="B26" s="82"/>
      <c r="C26" s="82"/>
      <c r="D26" s="82"/>
      <c r="E26" s="82"/>
      <c r="F26" s="82"/>
      <c r="G26" s="82"/>
      <c r="H26" s="82"/>
      <c r="I26" s="82"/>
      <c r="J26" s="82"/>
      <c r="K26" s="82"/>
      <c r="L26" s="82"/>
      <c r="M26" s="82"/>
      <c r="N26" s="82"/>
      <c r="O26" s="105"/>
      <c r="P26" s="82"/>
      <c r="Q26" s="397"/>
      <c r="S26" s="397"/>
      <c r="T26" s="397"/>
      <c r="U26" s="397"/>
      <c r="V26" s="397"/>
      <c r="W26" s="413"/>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2"/>
      <c r="Q27" s="923" t="s">
        <v>157</v>
      </c>
      <c r="R27" s="924"/>
      <c r="S27" s="924"/>
      <c r="T27" s="924"/>
      <c r="U27" s="924"/>
      <c r="V27" s="924"/>
      <c r="W27" s="925"/>
      <c r="X27" s="396"/>
      <c r="Y27" s="388"/>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4"/>
      <c r="R28" s="395"/>
      <c r="S28" s="393"/>
      <c r="T28" s="394"/>
      <c r="U28" s="226"/>
      <c r="V28" s="394"/>
      <c r="W28" s="394"/>
      <c r="X28" s="227"/>
      <c r="Y28" s="227"/>
      <c r="Z28" s="227"/>
      <c r="AA28" s="227"/>
      <c r="AB28" s="227"/>
      <c r="AC28" s="227"/>
      <c r="AD28" s="227"/>
      <c r="AE28" s="82"/>
      <c r="AF28" s="82"/>
      <c r="AG28" s="82"/>
      <c r="AH28" s="82"/>
      <c r="AI28" s="165"/>
      <c r="AJ28" s="401"/>
    </row>
    <row r="29" spans="1:36" ht="15.75" thickBot="1">
      <c r="A29" s="284"/>
      <c r="B29" s="82"/>
      <c r="C29" s="82"/>
      <c r="D29" s="82"/>
      <c r="E29" s="82"/>
      <c r="F29" s="82"/>
      <c r="G29" s="82"/>
      <c r="H29" s="82"/>
      <c r="I29" s="82"/>
      <c r="J29" s="82"/>
      <c r="K29" s="82"/>
      <c r="L29" s="82"/>
      <c r="M29" s="82"/>
      <c r="N29" s="82"/>
      <c r="O29" s="80"/>
      <c r="P29" s="82"/>
      <c r="Q29" s="389"/>
      <c r="R29" s="193"/>
      <c r="S29" s="193"/>
      <c r="T29" s="928" t="s">
        <v>156</v>
      </c>
      <c r="U29" s="929"/>
      <c r="V29" s="930"/>
      <c r="W29" s="402"/>
      <c r="X29" s="389"/>
      <c r="Y29" s="193"/>
      <c r="Z29" s="389"/>
      <c r="AA29" s="226"/>
      <c r="AB29" s="193"/>
      <c r="AC29" s="389"/>
      <c r="AD29" s="226"/>
      <c r="AE29" s="389"/>
      <c r="AF29" s="104"/>
      <c r="AG29" s="104"/>
      <c r="AH29" s="82"/>
      <c r="AI29" s="165"/>
    </row>
    <row r="30" spans="1:36" ht="33" customHeight="1" thickBot="1">
      <c r="A30" s="233"/>
      <c r="B30" s="82"/>
      <c r="C30" s="82"/>
      <c r="D30" s="82"/>
      <c r="E30" s="82"/>
      <c r="F30" s="82"/>
      <c r="G30" s="82"/>
      <c r="H30" s="82"/>
      <c r="I30" s="82"/>
      <c r="J30" s="82"/>
      <c r="K30" s="82"/>
      <c r="L30" s="82"/>
      <c r="M30" s="82"/>
      <c r="N30" s="82"/>
      <c r="O30" s="88"/>
      <c r="Q30" s="926" t="s">
        <v>50</v>
      </c>
      <c r="R30" s="927"/>
      <c r="S30" s="927"/>
      <c r="T30" s="931"/>
      <c r="U30" s="932"/>
      <c r="V30" s="933"/>
      <c r="W30" s="926" t="s">
        <v>51</v>
      </c>
      <c r="X30" s="927"/>
      <c r="Y30" s="927"/>
      <c r="Z30" s="1006" t="s">
        <v>52</v>
      </c>
      <c r="AA30" s="927"/>
      <c r="AB30" s="1015"/>
      <c r="AC30" s="1006" t="s">
        <v>53</v>
      </c>
      <c r="AD30" s="927"/>
      <c r="AE30" s="1007"/>
      <c r="AF30" s="390"/>
      <c r="AG30" s="227"/>
      <c r="AH30" s="82"/>
      <c r="AI30" s="165"/>
    </row>
    <row r="31" spans="1:36" ht="15" customHeight="1">
      <c r="A31" s="230"/>
      <c r="B31" s="82"/>
      <c r="C31" s="82"/>
      <c r="D31" s="82"/>
      <c r="E31" s="82"/>
      <c r="F31" s="82"/>
      <c r="G31" s="82"/>
      <c r="H31" s="82"/>
      <c r="I31" s="82"/>
      <c r="J31" s="82"/>
      <c r="K31" s="82"/>
      <c r="L31" s="82"/>
      <c r="M31" s="82"/>
      <c r="N31" s="82"/>
      <c r="O31" s="83"/>
      <c r="P31" s="103"/>
      <c r="Q31" s="1053"/>
      <c r="R31" s="1054"/>
      <c r="S31" s="1055"/>
      <c r="T31" s="1056"/>
      <c r="U31" s="1057"/>
      <c r="V31" s="1058"/>
      <c r="W31" s="1042"/>
      <c r="X31" s="1043"/>
      <c r="Y31" s="1043"/>
      <c r="Z31" s="1008"/>
      <c r="AA31" s="1009"/>
      <c r="AB31" s="1016"/>
      <c r="AC31" s="1008"/>
      <c r="AD31" s="1009"/>
      <c r="AE31" s="1010"/>
      <c r="AF31" s="391"/>
      <c r="AG31" s="82"/>
      <c r="AH31" s="82"/>
      <c r="AI31" s="165"/>
    </row>
    <row r="32" spans="1:36" ht="14.25" customHeight="1" thickBot="1">
      <c r="A32" s="136"/>
      <c r="B32" s="90"/>
      <c r="C32" s="90"/>
      <c r="D32" s="90"/>
      <c r="E32" s="90"/>
      <c r="F32" s="90"/>
      <c r="G32" s="90"/>
      <c r="H32" s="90"/>
      <c r="I32" s="90"/>
      <c r="J32" s="90"/>
      <c r="K32" s="90"/>
      <c r="L32" s="90"/>
      <c r="M32" s="90"/>
      <c r="N32" s="90"/>
      <c r="O32" s="83"/>
      <c r="P32" s="79"/>
      <c r="Q32" s="993"/>
      <c r="R32" s="994"/>
      <c r="S32" s="995"/>
      <c r="T32" s="1003"/>
      <c r="U32" s="1004"/>
      <c r="V32" s="1005"/>
      <c r="W32" s="1001"/>
      <c r="X32" s="1002"/>
      <c r="Y32" s="1002"/>
      <c r="Z32" s="1011"/>
      <c r="AA32" s="1012"/>
      <c r="AB32" s="1017"/>
      <c r="AC32" s="1011"/>
      <c r="AD32" s="1012"/>
      <c r="AE32" s="1013"/>
      <c r="AF32" s="80"/>
      <c r="AG32" s="82"/>
      <c r="AH32" s="82"/>
      <c r="AI32" s="165"/>
    </row>
    <row r="33" spans="1:35" ht="19.5" thickBot="1">
      <c r="A33" s="230"/>
      <c r="B33" s="1022" t="s">
        <v>158</v>
      </c>
      <c r="C33" s="1023"/>
      <c r="D33" s="1023"/>
      <c r="E33" s="1024"/>
      <c r="F33" s="1069" t="s">
        <v>159</v>
      </c>
      <c r="G33" s="1070"/>
      <c r="H33" s="1070"/>
      <c r="I33" s="1070"/>
      <c r="J33" s="1070"/>
      <c r="K33" s="1070"/>
      <c r="L33" s="1071"/>
      <c r="M33" s="1022" t="s">
        <v>88</v>
      </c>
      <c r="N33" s="1024"/>
      <c r="O33" s="78"/>
      <c r="P33" s="103"/>
      <c r="Q33" s="993"/>
      <c r="R33" s="994"/>
      <c r="S33" s="995"/>
      <c r="T33" s="1003"/>
      <c r="U33" s="1004"/>
      <c r="V33" s="1005"/>
      <c r="W33" s="1001"/>
      <c r="X33" s="1002"/>
      <c r="Y33" s="1002"/>
      <c r="Z33" s="1011"/>
      <c r="AA33" s="1012"/>
      <c r="AB33" s="1017"/>
      <c r="AC33" s="1011"/>
      <c r="AD33" s="1012"/>
      <c r="AE33" s="1013"/>
      <c r="AF33" s="80"/>
      <c r="AG33" s="82"/>
      <c r="AH33" s="82"/>
      <c r="AI33" s="165"/>
    </row>
    <row r="34" spans="1:35" ht="30.75" customHeight="1" thickBot="1">
      <c r="A34" s="233"/>
      <c r="B34" s="1025"/>
      <c r="C34" s="1026"/>
      <c r="D34" s="1026"/>
      <c r="E34" s="1027"/>
      <c r="F34" s="1028" t="s">
        <v>160</v>
      </c>
      <c r="G34" s="1029"/>
      <c r="H34" s="1030"/>
      <c r="I34" s="1031" t="s">
        <v>161</v>
      </c>
      <c r="J34" s="1032"/>
      <c r="K34" s="1067" t="s">
        <v>162</v>
      </c>
      <c r="L34" s="1068"/>
      <c r="M34" s="1025"/>
      <c r="N34" s="1027"/>
      <c r="O34" s="78"/>
      <c r="P34" s="103"/>
      <c r="Q34" s="993"/>
      <c r="R34" s="994"/>
      <c r="S34" s="995"/>
      <c r="T34" s="1003"/>
      <c r="U34" s="1004"/>
      <c r="V34" s="1005"/>
      <c r="W34" s="1001"/>
      <c r="X34" s="1002"/>
      <c r="Y34" s="1002"/>
      <c r="Z34" s="1011"/>
      <c r="AA34" s="1012"/>
      <c r="AB34" s="1017"/>
      <c r="AC34" s="1011"/>
      <c r="AD34" s="1012"/>
      <c r="AE34" s="1013"/>
      <c r="AF34" s="80"/>
      <c r="AG34" s="82"/>
      <c r="AH34" s="82"/>
      <c r="AI34" s="165"/>
    </row>
    <row r="35" spans="1:35" ht="22.5" customHeight="1">
      <c r="A35" s="409"/>
      <c r="B35" s="1041" t="s">
        <v>94</v>
      </c>
      <c r="C35" s="1041"/>
      <c r="D35" s="1041"/>
      <c r="E35" s="1041"/>
      <c r="F35" s="1041">
        <v>4</v>
      </c>
      <c r="G35" s="1041"/>
      <c r="H35" s="1041"/>
      <c r="I35" s="1041">
        <v>10</v>
      </c>
      <c r="J35" s="1041"/>
      <c r="K35" s="1041">
        <v>0</v>
      </c>
      <c r="L35" s="1041"/>
      <c r="M35" s="1041">
        <v>20</v>
      </c>
      <c r="N35" s="1041"/>
      <c r="O35" s="83"/>
      <c r="P35" s="79"/>
      <c r="Q35" s="990"/>
      <c r="R35" s="991"/>
      <c r="S35" s="992"/>
      <c r="T35" s="996"/>
      <c r="U35" s="997"/>
      <c r="V35" s="998"/>
      <c r="W35" s="999"/>
      <c r="X35" s="1000"/>
      <c r="Y35" s="1000"/>
      <c r="Z35" s="984"/>
      <c r="AA35" s="985"/>
      <c r="AB35" s="1014"/>
      <c r="AC35" s="984"/>
      <c r="AD35" s="985"/>
      <c r="AE35" s="986"/>
      <c r="AF35" s="80"/>
      <c r="AG35" s="82"/>
      <c r="AH35" s="82"/>
      <c r="AI35" s="165"/>
    </row>
    <row r="36" spans="1:35">
      <c r="A36" s="400"/>
      <c r="C36" s="403"/>
      <c r="E36" s="403"/>
      <c r="F36" s="403"/>
      <c r="H36" s="403"/>
      <c r="I36" s="403"/>
      <c r="K36" s="403"/>
      <c r="L36" s="404"/>
      <c r="M36" s="404"/>
      <c r="N36" s="403"/>
      <c r="O36" s="90"/>
      <c r="Q36" s="990"/>
      <c r="R36" s="991"/>
      <c r="S36" s="992"/>
      <c r="T36" s="996"/>
      <c r="U36" s="997"/>
      <c r="V36" s="998"/>
      <c r="W36" s="999"/>
      <c r="X36" s="1000"/>
      <c r="Y36" s="1000"/>
      <c r="Z36" s="984"/>
      <c r="AA36" s="985"/>
      <c r="AB36" s="1014"/>
      <c r="AC36" s="984"/>
      <c r="AD36" s="985"/>
      <c r="AE36" s="986"/>
      <c r="AF36" s="80"/>
      <c r="AG36" s="82"/>
      <c r="AH36" s="82"/>
      <c r="AI36" s="165"/>
    </row>
    <row r="37" spans="1:35">
      <c r="A37" s="136"/>
      <c r="B37" s="82"/>
      <c r="C37" s="82"/>
      <c r="D37" s="82"/>
      <c r="E37" s="82"/>
      <c r="F37" s="82"/>
      <c r="G37" s="82"/>
      <c r="H37" s="82"/>
      <c r="I37" s="82"/>
      <c r="J37" s="82"/>
      <c r="K37" s="82"/>
      <c r="L37" s="82"/>
      <c r="M37" s="82"/>
      <c r="N37" s="82"/>
      <c r="O37" s="80"/>
      <c r="P37" s="79"/>
      <c r="Q37" s="990"/>
      <c r="R37" s="991"/>
      <c r="S37" s="992"/>
      <c r="T37" s="996"/>
      <c r="U37" s="997"/>
      <c r="V37" s="998"/>
      <c r="W37" s="999"/>
      <c r="X37" s="1000"/>
      <c r="Y37" s="1000"/>
      <c r="Z37" s="984"/>
      <c r="AA37" s="985"/>
      <c r="AB37" s="1014"/>
      <c r="AC37" s="984"/>
      <c r="AD37" s="985"/>
      <c r="AE37" s="986"/>
      <c r="AF37" s="80"/>
      <c r="AG37" s="82"/>
      <c r="AH37" s="82"/>
      <c r="AI37" s="165"/>
    </row>
    <row r="38" spans="1:35">
      <c r="A38" s="136"/>
      <c r="B38" s="82"/>
      <c r="C38" s="82"/>
      <c r="D38" s="82"/>
      <c r="E38" s="82"/>
      <c r="F38" s="82"/>
      <c r="G38" s="82"/>
      <c r="H38" s="82"/>
      <c r="I38" s="82"/>
      <c r="J38" s="82"/>
      <c r="K38" s="82"/>
      <c r="L38" s="82"/>
      <c r="M38" s="82"/>
      <c r="N38" s="82"/>
      <c r="O38" s="80"/>
      <c r="P38" s="79"/>
      <c r="Q38" s="990"/>
      <c r="R38" s="991"/>
      <c r="S38" s="992"/>
      <c r="T38" s="996"/>
      <c r="U38" s="997"/>
      <c r="V38" s="998"/>
      <c r="W38" s="999"/>
      <c r="X38" s="1000"/>
      <c r="Y38" s="1000"/>
      <c r="Z38" s="984"/>
      <c r="AA38" s="985"/>
      <c r="AB38" s="1014"/>
      <c r="AC38" s="984"/>
      <c r="AD38" s="985"/>
      <c r="AE38" s="986"/>
      <c r="AF38" s="105"/>
      <c r="AG38" s="104"/>
      <c r="AH38" s="82"/>
      <c r="AI38" s="165"/>
    </row>
    <row r="39" spans="1:35">
      <c r="A39" s="136"/>
      <c r="B39" s="82"/>
      <c r="C39" s="82"/>
      <c r="D39" s="82"/>
      <c r="E39" s="82"/>
      <c r="F39" s="82"/>
      <c r="G39" s="82"/>
      <c r="H39" s="82"/>
      <c r="I39" s="82"/>
      <c r="J39" s="82"/>
      <c r="K39" s="82"/>
      <c r="L39" s="82"/>
      <c r="M39" s="82"/>
      <c r="N39" s="82"/>
      <c r="P39" s="79"/>
      <c r="Q39" s="990"/>
      <c r="R39" s="991"/>
      <c r="S39" s="992"/>
      <c r="T39" s="996"/>
      <c r="U39" s="997"/>
      <c r="V39" s="998"/>
      <c r="W39" s="999"/>
      <c r="X39" s="1000"/>
      <c r="Y39" s="1000"/>
      <c r="Z39" s="984"/>
      <c r="AA39" s="985"/>
      <c r="AB39" s="1014"/>
      <c r="AC39" s="984"/>
      <c r="AD39" s="985"/>
      <c r="AE39" s="986"/>
      <c r="AF39" s="80"/>
      <c r="AG39" s="82"/>
      <c r="AH39" s="82"/>
      <c r="AI39" s="165"/>
    </row>
    <row r="40" spans="1:35">
      <c r="A40" s="136"/>
      <c r="B40" s="82"/>
      <c r="C40" s="82"/>
      <c r="D40" s="82"/>
      <c r="E40" s="82"/>
      <c r="F40" s="82"/>
      <c r="G40" s="82"/>
      <c r="H40" s="82"/>
      <c r="I40" s="82"/>
      <c r="J40" s="82"/>
      <c r="K40" s="82"/>
      <c r="L40" s="82"/>
      <c r="M40" s="82"/>
      <c r="N40" s="82"/>
      <c r="O40" s="83"/>
      <c r="P40" s="87"/>
      <c r="Q40" s="990"/>
      <c r="R40" s="991"/>
      <c r="S40" s="992"/>
      <c r="T40" s="996"/>
      <c r="U40" s="997"/>
      <c r="V40" s="998"/>
      <c r="W40" s="999"/>
      <c r="X40" s="1000"/>
      <c r="Y40" s="1000"/>
      <c r="Z40" s="984"/>
      <c r="AA40" s="985"/>
      <c r="AB40" s="1014"/>
      <c r="AC40" s="984"/>
      <c r="AD40" s="985"/>
      <c r="AE40" s="986"/>
      <c r="AF40" s="80"/>
      <c r="AG40" s="82"/>
      <c r="AH40" s="82"/>
      <c r="AI40" s="165"/>
    </row>
    <row r="41" spans="1:35">
      <c r="A41" s="136"/>
      <c r="B41" s="82"/>
      <c r="C41" s="82"/>
      <c r="D41" s="82"/>
      <c r="E41" s="82"/>
      <c r="F41" s="82"/>
      <c r="G41" s="82"/>
      <c r="H41" s="82"/>
      <c r="I41" s="82"/>
      <c r="J41" s="82"/>
      <c r="K41" s="82"/>
      <c r="L41" s="82"/>
      <c r="M41" s="82"/>
      <c r="N41" s="82"/>
      <c r="O41" s="78"/>
      <c r="P41" s="79"/>
      <c r="Q41" s="993"/>
      <c r="R41" s="994"/>
      <c r="S41" s="995"/>
      <c r="T41" s="1003"/>
      <c r="U41" s="1004"/>
      <c r="V41" s="1005"/>
      <c r="W41" s="1001"/>
      <c r="X41" s="1002"/>
      <c r="Y41" s="1002"/>
      <c r="Z41" s="1011"/>
      <c r="AA41" s="1012"/>
      <c r="AB41" s="1017"/>
      <c r="AC41" s="1011"/>
      <c r="AD41" s="1012"/>
      <c r="AE41" s="1013"/>
      <c r="AF41" s="80"/>
      <c r="AG41" s="82"/>
      <c r="AH41" s="82"/>
      <c r="AI41" s="165"/>
    </row>
    <row r="42" spans="1:35">
      <c r="A42" s="136"/>
      <c r="B42" s="82"/>
      <c r="C42" s="82"/>
      <c r="D42" s="82"/>
      <c r="E42" s="82"/>
      <c r="F42" s="82"/>
      <c r="G42" s="82"/>
      <c r="H42" s="82"/>
      <c r="I42" s="82"/>
      <c r="J42" s="82"/>
      <c r="K42" s="82"/>
      <c r="L42" s="82"/>
      <c r="M42" s="82"/>
      <c r="N42" s="82"/>
      <c r="O42" s="80"/>
      <c r="P42" s="79"/>
      <c r="Q42" s="993"/>
      <c r="R42" s="994"/>
      <c r="S42" s="995"/>
      <c r="T42" s="1003"/>
      <c r="U42" s="1004"/>
      <c r="V42" s="1005"/>
      <c r="W42" s="1001"/>
      <c r="X42" s="1002"/>
      <c r="Y42" s="1002"/>
      <c r="Z42" s="1011"/>
      <c r="AA42" s="1012"/>
      <c r="AB42" s="1017"/>
      <c r="AC42" s="1011"/>
      <c r="AD42" s="1012"/>
      <c r="AE42" s="1013"/>
      <c r="AF42" s="80"/>
      <c r="AG42" s="82"/>
      <c r="AH42" s="82"/>
      <c r="AI42" s="165"/>
    </row>
    <row r="43" spans="1:35">
      <c r="A43" s="136"/>
      <c r="B43" s="82"/>
      <c r="C43" s="82"/>
      <c r="D43" s="82"/>
      <c r="E43" s="82"/>
      <c r="F43" s="82"/>
      <c r="G43" s="82"/>
      <c r="H43" s="82"/>
      <c r="I43" s="82"/>
      <c r="J43" s="82"/>
      <c r="K43" s="82"/>
      <c r="L43" s="82"/>
      <c r="M43" s="82"/>
      <c r="N43" s="82"/>
      <c r="P43" s="79"/>
      <c r="Q43" s="987"/>
      <c r="R43" s="988"/>
      <c r="S43" s="989"/>
      <c r="T43" s="996"/>
      <c r="U43" s="997"/>
      <c r="V43" s="998"/>
      <c r="W43" s="999"/>
      <c r="X43" s="1000"/>
      <c r="Y43" s="1000"/>
      <c r="Z43" s="984"/>
      <c r="AA43" s="985"/>
      <c r="AB43" s="1014"/>
      <c r="AC43" s="984"/>
      <c r="AD43" s="985"/>
      <c r="AE43" s="986"/>
      <c r="AF43" s="80"/>
      <c r="AG43" s="82"/>
      <c r="AH43" s="82"/>
      <c r="AI43" s="165"/>
    </row>
    <row r="44" spans="1:35">
      <c r="A44" s="136"/>
      <c r="B44" s="82"/>
      <c r="C44" s="82"/>
      <c r="D44" s="82"/>
      <c r="E44" s="82"/>
      <c r="F44" s="82"/>
      <c r="G44" s="82"/>
      <c r="H44" s="82"/>
      <c r="I44" s="82"/>
      <c r="J44" s="82"/>
      <c r="K44" s="82"/>
      <c r="L44" s="82"/>
      <c r="M44" s="82"/>
      <c r="N44" s="82"/>
      <c r="O44" s="78"/>
      <c r="P44" s="103"/>
      <c r="Q44" s="987"/>
      <c r="R44" s="988"/>
      <c r="S44" s="989"/>
      <c r="T44" s="996"/>
      <c r="U44" s="997"/>
      <c r="V44" s="998"/>
      <c r="W44" s="999"/>
      <c r="X44" s="1000"/>
      <c r="Y44" s="1000"/>
      <c r="Z44" s="984"/>
      <c r="AA44" s="985"/>
      <c r="AB44" s="1014"/>
      <c r="AC44" s="984"/>
      <c r="AD44" s="985"/>
      <c r="AE44" s="986"/>
      <c r="AF44" s="80"/>
      <c r="AG44" s="82"/>
      <c r="AH44" s="82"/>
      <c r="AI44" s="165"/>
    </row>
    <row r="45" spans="1:35">
      <c r="A45" s="136"/>
      <c r="B45" s="82"/>
      <c r="C45" s="82"/>
      <c r="D45" s="82"/>
      <c r="E45" s="82"/>
      <c r="F45" s="82"/>
      <c r="G45" s="82"/>
      <c r="H45" s="82"/>
      <c r="I45" s="82"/>
      <c r="J45" s="82"/>
      <c r="K45" s="82"/>
      <c r="L45" s="82"/>
      <c r="M45" s="82"/>
      <c r="N45" s="82"/>
      <c r="O45" s="83"/>
      <c r="P45" s="103"/>
      <c r="Q45" s="1062"/>
      <c r="R45" s="1063"/>
      <c r="S45" s="1064"/>
      <c r="T45" s="1050"/>
      <c r="U45" s="1051"/>
      <c r="V45" s="1052"/>
      <c r="W45" s="1039"/>
      <c r="X45" s="1040"/>
      <c r="Y45" s="1040"/>
      <c r="Z45" s="1033"/>
      <c r="AA45" s="1034"/>
      <c r="AB45" s="1038"/>
      <c r="AC45" s="1033"/>
      <c r="AD45" s="1034"/>
      <c r="AE45" s="1035"/>
      <c r="AF45" s="80"/>
      <c r="AG45" s="82"/>
      <c r="AH45" s="82"/>
      <c r="AI45" s="165"/>
    </row>
    <row r="46" spans="1:35">
      <c r="A46" s="136"/>
      <c r="B46" s="82"/>
      <c r="C46" s="82"/>
      <c r="D46" s="82"/>
      <c r="E46" s="82"/>
      <c r="F46" s="82"/>
      <c r="G46" s="82"/>
      <c r="H46" s="82"/>
      <c r="I46" s="82"/>
      <c r="J46" s="82"/>
      <c r="K46" s="82"/>
      <c r="L46" s="82"/>
      <c r="M46" s="82"/>
      <c r="N46" s="82"/>
      <c r="O46" s="83"/>
      <c r="P46" s="103"/>
      <c r="Q46" s="1065"/>
      <c r="R46" s="1066"/>
      <c r="S46" s="1066"/>
      <c r="T46" s="1049"/>
      <c r="U46" s="1049"/>
      <c r="V46" s="1049"/>
      <c r="W46" s="1036"/>
      <c r="X46" s="1036"/>
      <c r="Y46" s="1036"/>
      <c r="Z46" s="1036"/>
      <c r="AA46" s="1036"/>
      <c r="AB46" s="1036"/>
      <c r="AC46" s="1036"/>
      <c r="AD46" s="1036"/>
      <c r="AE46" s="1037"/>
      <c r="AF46" s="80"/>
      <c r="AG46" s="82"/>
      <c r="AH46" s="82"/>
      <c r="AI46" s="165"/>
    </row>
    <row r="47" spans="1:35" ht="15.75" thickBot="1">
      <c r="A47" s="136"/>
      <c r="B47" s="82"/>
      <c r="C47" s="82"/>
      <c r="D47" s="82"/>
      <c r="E47" s="82"/>
      <c r="F47" s="82"/>
      <c r="G47" s="82"/>
      <c r="H47" s="82"/>
      <c r="I47" s="82"/>
      <c r="J47" s="82"/>
      <c r="K47" s="82"/>
      <c r="L47" s="82"/>
      <c r="M47" s="82"/>
      <c r="N47" s="82"/>
      <c r="O47" s="83"/>
      <c r="P47" s="103"/>
      <c r="Q47" s="1059"/>
      <c r="R47" s="1060"/>
      <c r="S47" s="1061"/>
      <c r="T47" s="1044"/>
      <c r="U47" s="1045"/>
      <c r="V47" s="1046"/>
      <c r="W47" s="1047"/>
      <c r="X47" s="1048"/>
      <c r="Y47" s="1048"/>
      <c r="Z47" s="1018"/>
      <c r="AA47" s="1019"/>
      <c r="AB47" s="1020"/>
      <c r="AC47" s="1018"/>
      <c r="AD47" s="1019"/>
      <c r="AE47" s="1021"/>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47:S47"/>
    <mergeCell ref="Q45:S45"/>
    <mergeCell ref="Q46:S46"/>
    <mergeCell ref="W46:Y46"/>
    <mergeCell ref="W38:Y38"/>
    <mergeCell ref="W39:Y39"/>
    <mergeCell ref="K34:L34"/>
    <mergeCell ref="F33:L33"/>
    <mergeCell ref="M33:N34"/>
    <mergeCell ref="T36:V36"/>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3">
        <v>45646</v>
      </c>
      <c r="B3" s="455" t="s">
        <v>448</v>
      </c>
      <c r="C3" s="344">
        <v>2</v>
      </c>
      <c r="D3" s="344">
        <v>0</v>
      </c>
    </row>
    <row r="4" spans="1:4" ht="27.75" customHeight="1">
      <c r="A4" s="343">
        <v>45660</v>
      </c>
      <c r="B4" s="455" t="s">
        <v>449</v>
      </c>
      <c r="C4" s="344">
        <v>-1</v>
      </c>
      <c r="D4" s="344">
        <v>0</v>
      </c>
    </row>
    <row r="5" spans="1:4" ht="26.25" customHeight="1">
      <c r="A5" s="343">
        <v>45677</v>
      </c>
      <c r="B5" s="455" t="s">
        <v>450</v>
      </c>
      <c r="C5" s="344">
        <v>1</v>
      </c>
      <c r="D5" s="344">
        <v>0</v>
      </c>
    </row>
    <row r="6" spans="1:4" ht="24" customHeight="1">
      <c r="A6" s="343">
        <v>45683</v>
      </c>
      <c r="B6" s="455" t="s">
        <v>451</v>
      </c>
      <c r="C6" s="344">
        <v>-1</v>
      </c>
      <c r="D6" s="344">
        <v>0</v>
      </c>
    </row>
    <row r="7" spans="1:4" ht="27.75" customHeight="1">
      <c r="A7" s="343">
        <v>45783</v>
      </c>
      <c r="B7" s="455" t="s">
        <v>452</v>
      </c>
      <c r="C7" s="344">
        <v>2</v>
      </c>
      <c r="D7" s="344">
        <v>0</v>
      </c>
    </row>
    <row r="8" spans="1:4" ht="27.75" customHeight="1">
      <c r="A8" s="343">
        <v>45791</v>
      </c>
      <c r="B8" s="455" t="s">
        <v>453</v>
      </c>
      <c r="C8" s="344">
        <v>-1</v>
      </c>
      <c r="D8" s="344">
        <v>0</v>
      </c>
    </row>
    <row r="9" spans="1:4" ht="24.75" customHeight="1">
      <c r="A9" s="343">
        <v>45807</v>
      </c>
      <c r="B9" s="455" t="s">
        <v>454</v>
      </c>
      <c r="C9" s="344">
        <v>2</v>
      </c>
      <c r="D9" s="344">
        <v>0</v>
      </c>
    </row>
    <row r="10" spans="1:4" ht="33.75" customHeight="1">
      <c r="A10" s="343">
        <v>45814</v>
      </c>
      <c r="B10" s="342" t="s">
        <v>455</v>
      </c>
      <c r="C10" s="344">
        <v>-1</v>
      </c>
      <c r="D10" s="344">
        <v>0</v>
      </c>
    </row>
    <row r="11" spans="1:4" ht="14.25" customHeight="1">
      <c r="A11" s="343">
        <v>45821</v>
      </c>
      <c r="B11" s="455" t="s">
        <v>456</v>
      </c>
      <c r="C11" s="344">
        <v>1</v>
      </c>
      <c r="D11" s="344">
        <v>0</v>
      </c>
    </row>
    <row r="12" spans="1:4">
      <c r="A12" s="343">
        <v>45828</v>
      </c>
      <c r="B12" s="455" t="s">
        <v>457</v>
      </c>
      <c r="C12" s="344">
        <v>-1</v>
      </c>
      <c r="D12" s="344">
        <v>0</v>
      </c>
    </row>
    <row r="13" spans="1:4">
      <c r="A13" s="343">
        <v>45835</v>
      </c>
      <c r="B13" s="455" t="s">
        <v>458</v>
      </c>
      <c r="C13" s="344">
        <v>1</v>
      </c>
      <c r="D13" s="344">
        <v>0</v>
      </c>
    </row>
    <row r="14" spans="1:4" ht="45">
      <c r="A14" s="453">
        <v>45838</v>
      </c>
      <c r="B14" s="457" t="s">
        <v>459</v>
      </c>
      <c r="C14" s="454">
        <v>-1</v>
      </c>
      <c r="D14" s="454">
        <v>0</v>
      </c>
    </row>
    <row r="15" spans="1:4" ht="30">
      <c r="A15" s="458">
        <v>45840</v>
      </c>
      <c r="B15" s="456" t="s">
        <v>460</v>
      </c>
      <c r="C15" s="71">
        <v>2</v>
      </c>
      <c r="D15" s="71">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3.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2025-07-01T21:56:42Z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