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8_{50F531A4-57E4-4E08-B6EE-DA81EF3F054D}" xr6:coauthVersionLast="47" xr6:coauthVersionMax="47" xr10:uidLastSave="{00000000-0000-0000-0000-000000000000}"/>
  <bookViews>
    <workbookView xWindow="-120" yWindow="-120" windowWidth="20730" windowHeight="11040" tabRatio="733" firstSheet="11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D14" i="35" s="1"/>
  <c r="R12" i="35"/>
  <c r="D12" i="35" s="1"/>
  <c r="R13" i="35"/>
  <c r="D11" i="35" s="1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<sst xmlns="http://schemas.openxmlformats.org/spreadsheetml/2006/main" count="993" uniqueCount="433">
  <si>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</si>
  <si>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</si>
  <si>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</si>
  <si>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</si>
  <si>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</si>
  <si>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</si>
  <si>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</si>
  <si>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</si>
  <si>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</si>
  <si>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</si>
  <si>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</si>
  <si>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</si>
  <si>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</si>
  <si>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</si>
  <si>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</si>
  <si>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</si>
  <si>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</si>
  <si>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</si>
  <si>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</si>
  <si>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</si>
  <si>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</si>
  <si>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</si>
  <si>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</si>
  <si>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</si>
  <si>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</si>
  <si>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</si>
  <si>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</si>
  <si>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</si>
  <si>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</si>
  <si>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</si>
  <si>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</si>
  <si>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</si>
  <si>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</si>
  <si>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</si>
  <si>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</si>
  <si>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</si>
  <si>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</si>
  <si>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</si>
  <si>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</si>
  <si>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</si>
  <si>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</si>
  <si>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</si>
  <si>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</si>
  <si>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</si>
  <si>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</si>
  <si>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</si>
  <si>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</si>
  <si>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</si>
  <si>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</si>
  <si>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</si>
  <si>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</si>
  <si>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</si>
  <si>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</si>
  <si>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</si>
  <si>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</si>
  <si>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</si>
  <si>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</si>
  <si>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</si>
  <si>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</si>
  <si>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</si>
  <si>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</si>
  <si>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</si>
  <si>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</si>
  <si>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</si>
  <si>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</si>
  <si>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</si>
  <si>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</si>
  <si>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</si>
  <si>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</si>
  <si>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</si>
  <si>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</si>
  <si>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</si>
  <si>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</si>
  <si>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</si>
  <si>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</si>
  <si>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</si>
  <si>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</si>
  <si>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</si>
  <si>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</si>
  <si>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</si>
  <si>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</si>
  <si>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</si>
  <si>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</si>
  <si>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</si>
  <si>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</si>
  <si>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</si>
  <si>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</si>
  <si>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</si>
  <si>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</si>
  <si>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</si>
  <si>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</si>
  <si>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</si>
  <si>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</si>
  <si>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</si>
  <si>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</si>
  <si>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</si>
  <si>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</si>
  <si>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</si>
  <si>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</si>
  <si>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</si>
  <si>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</si>
  <si>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</si>
  <si>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</si>
  <si>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</si>
  <si>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</si>
  <si>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</si>
  <si>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</si>
  <si>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</si>
  <si>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</si>
  <si>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</si>
  <si>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</si>
  <si>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</si>
  <si>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</si>
  <si>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</si>
  <si>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</si>
  <si>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</si>
  <si>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</si>
  <si>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</si>
  <si>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</si>
  <si>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</si>
  <si>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</si>
  <si>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</si>
  <si>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</si>
  <si>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</si>
  <si>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</si>
  <si>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</si>
  <si>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</si>
  <si>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</si>
  <si>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</si>
  <si>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</si>
  <si>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</si>
  <si>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</si>
  <si>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</si>
  <si>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</si>
  <si>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</si>
  <si>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</si>
  <si>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</si>
  <si>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</si>
  <si>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</si>
  <si>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</si>
  <si>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</si>
  <si>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</si>
  <si>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</si>
  <si>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</si>
  <si>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</si>
  <si>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</si>
  <si>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</si>
  <si>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</si>
  <si>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</si>
  <si>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</si>
  <si>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</si>
  <si>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</si>
  <si>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</si>
  <si>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</si>
  <si>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</si>
  <si>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</si>
  <si>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</si>
  <si>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</si>
  <si>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</si>
  <si>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</si>
  <si>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</si>
  <si>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</si>
  <si>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</si>
  <si>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</si>
  <si>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</si>
  <si>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</si>
  <si>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</si>
  <si>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</si>
  <si>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</si>
  <si>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</si>
  <si>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</si>
  <si>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</si>
  <si>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</si>
  <si>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</si>
  <si>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</si>
  <si>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</si>
  <si>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</si>
  <si>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</si>
  <si>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</si>
  <si>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</si>
  <si>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</si>
  <si>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</si>
  <si>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</si>
  <si>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</si>
  <si>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</si>
  <si>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</si>
  <si>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</si>
  <si>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</si>
  <si>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</si>
  <si>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</si>
  <si>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</si>
  <si>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</si>
  <si>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</si>
  <si>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</si>
  <si>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</si>
  <si>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</si>
  <si>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</si>
  <si>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</si>
  <si>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</si>
  <si>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</si>
  <si>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</si>
  <si>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</si>
  <si>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</si>
  <si>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</si>
  <si>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</si>
  <si>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</si>
  <si>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</si>
  <si>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</si>
  <si>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</si>
  <si>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</si>
  <si>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</si>
  <si>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</si>
  <si>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</si>
  <si>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</si>
  <si>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</si>
  <si>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</si>
  <si>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</si>
  <si>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</si>
  <si>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</si>
  <si>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</si>
  <si>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</si>
  <si>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ABRIL - 2025</t>
  </si>
  <si>
    <t>Gab Subse</t>
  </si>
  <si>
    <t>Gab Ministro</t>
  </si>
  <si>
    <t>La Araucanía</t>
  </si>
  <si>
    <t>I16_002-Gabinete Ministerio</t>
  </si>
  <si>
    <t>I20_013-Gabinete Ministerio</t>
  </si>
  <si>
    <t>I20_014-Gabinete Ministerio</t>
  </si>
  <si>
    <t>I19_026-Gabinete Subsecretaría</t>
  </si>
  <si>
    <t>I23_015-Gabinete Subsecretaría</t>
  </si>
  <si>
    <t>I21_001-Gabinete Subsecretaría</t>
  </si>
  <si>
    <t>I24_001-Gabinete Subsecretaría</t>
  </si>
  <si>
    <t>I24_002-Gabinete Subsecretaría</t>
  </si>
  <si>
    <t>I25_002-CPEIP</t>
  </si>
  <si>
    <t>I23_018-CPEIP</t>
  </si>
  <si>
    <t>I25_003-CPEIP</t>
  </si>
  <si>
    <t>I25_001-CPEIP</t>
  </si>
  <si>
    <t>I25_011-DEG</t>
  </si>
  <si>
    <t>I17_001-DEG</t>
  </si>
  <si>
    <t>I23_004-DEG</t>
  </si>
  <si>
    <t>I24_009-DEG</t>
  </si>
  <si>
    <t>I16_043-División de Planificación y Presupuesto</t>
  </si>
  <si>
    <t>I20_011-División de Planificación y Presupuesto</t>
  </si>
  <si>
    <t>I20_012-División de Planificación y Presupuesto</t>
  </si>
  <si>
    <t>I25_012-División de Planificación y Presupuesto</t>
  </si>
  <si>
    <t>I21_002-División de Planificación y Presupuesto</t>
  </si>
  <si>
    <t>I16_054-División de Planificación y Presupuesto</t>
  </si>
  <si>
    <t>I19_012-División de Planificación y Presupuesto</t>
  </si>
  <si>
    <t>I25_005-División de Planificación y Presupuesto</t>
  </si>
  <si>
    <t>I21_007-DAG</t>
  </si>
  <si>
    <t>I25_004-DAG</t>
  </si>
  <si>
    <t>I23_019-DAG</t>
  </si>
  <si>
    <t>I25_013-DAG</t>
  </si>
  <si>
    <t>I20_006-DAG</t>
  </si>
  <si>
    <t>I20_005-DAG</t>
  </si>
  <si>
    <t>I19_020-UCE</t>
  </si>
  <si>
    <t>I21_011-UCE</t>
  </si>
  <si>
    <t>I21_012-UCE</t>
  </si>
  <si>
    <t>I22_006-UCE</t>
  </si>
  <si>
    <t>I19_019-UCE</t>
  </si>
  <si>
    <t>I16_062-UCE</t>
  </si>
  <si>
    <t>I25_010-UCE</t>
  </si>
  <si>
    <t>I16_052-División Jurídica</t>
  </si>
  <si>
    <t>I24_004-División Jurídica</t>
  </si>
  <si>
    <t>I23_007-División Jurídica</t>
  </si>
  <si>
    <t>I22_008-División Jurídica</t>
  </si>
  <si>
    <t>I24_011-División Jurídica</t>
  </si>
  <si>
    <t>I24_003-División Jurídica</t>
  </si>
  <si>
    <t>I16_053-División Jurídica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</si>
  <si>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</si>
  <si>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</si>
  <si>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</si>
  <si>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</si>
  <si>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</si>
  <si>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</si>
  <si>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</si>
  <si>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</si>
  <si>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</si>
  <si>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</si>
  <si>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</si>
  <si>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</si>
  <si>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</si>
  <si>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</si>
  <si>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</si>
  <si>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</si>
  <si>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</si>
  <si>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</si>
  <si>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</si>
  <si>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</si>
  <si>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</si>
  <si>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</si>
  <si>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</si>
  <si>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</si>
  <si>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</si>
  <si>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</si>
  <si>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</si>
  <si>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</si>
  <si>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</si>
  <si>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</si>
  <si>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</si>
  <si>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</si>
  <si>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</si>
  <si>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</si>
  <si>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</si>
  <si>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</si>
  <si>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</si>
  <si>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</si>
  <si>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</si>
  <si>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</si>
  <si>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</si>
  <si>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</si>
  <si>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</si>
  <si>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</si>
  <si>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</si>
  <si>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</si>
  <si>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</si>
  <si>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</si>
  <si>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</si>
  <si>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</si>
  <si>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</si>
  <si>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</si>
  <si>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</si>
  <si>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</si>
  <si>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</si>
  <si>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</si>
  <si>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</si>
  <si>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</si>
  <si>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</si>
  <si>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</si>
  <si>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</si>
  <si>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</si>
  <si>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</si>
  <si>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</si>
  <si>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</si>
  <si>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</si>
  <si>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</si>
  <si>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</si>
  <si>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</si>
  <si>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</si>
  <si>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</si>
  <si>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</si>
  <si>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</si>
  <si>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</si>
  <si>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</si>
  <si>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</si>
  <si>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</si>
  <si>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</si>
  <si>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</si>
  <si>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</si>
  <si>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</si>
  <si>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</si>
  <si>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</si>
  <si>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</si>
  <si>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</si>
  <si>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CNT</t>
  </si>
  <si>
    <t>Recursos Financieros</t>
  </si>
  <si>
    <t>Subvenciones</t>
  </si>
  <si>
    <t>URAE</t>
  </si>
  <si>
    <t>JURID</t>
  </si>
  <si>
    <t>GABMIN</t>
  </si>
  <si>
    <t>Auditoria</t>
  </si>
  <si>
    <t>Estudios</t>
  </si>
  <si>
    <t>GABSUB</t>
  </si>
  <si>
    <t>Ayuda Mineduc</t>
  </si>
  <si>
    <t>Gabinete Subsecretaría</t>
  </si>
  <si>
    <t>Innovación</t>
  </si>
  <si>
    <t>TP</t>
  </si>
  <si>
    <t>100%</t>
  </si>
  <si>
    <t>95%</t>
  </si>
  <si>
    <t>0%</t>
  </si>
  <si>
    <t>94%</t>
  </si>
  <si>
    <t>33%</t>
  </si>
  <si>
    <t>86%</t>
  </si>
  <si>
    <t>91%</t>
  </si>
  <si>
    <t>82%</t>
  </si>
  <si>
    <t>60%</t>
  </si>
  <si>
    <t>93%</t>
  </si>
  <si>
    <t>73%</t>
  </si>
  <si>
    <t>83%</t>
  </si>
  <si>
    <t>80%</t>
  </si>
  <si>
    <t>50%</t>
  </si>
  <si>
    <t>En enero 2025 se envió mediante mail del Jefe del Gabinete del Ministro, el resultado del monitoreo del tercer año de gestión.</t>
  </si>
  <si>
    <t>En marzo 2025 se envió mediante mail del Jefe del Gabinete del Ministro, el resultado del monitoreo del tercer año de gestión.</t>
  </si>
  <si>
    <t>En enero 2025 se tramitó totalmente el acto administrativo que aprueba el grado de cumplimiento global de las metas del convenio del 2do año de gestión.</t>
  </si>
  <si>
    <t>En marzo 2025 se inició el monitoreo del primer año de gestión.</t>
  </si>
  <si>
    <t>En febrero 2025 se tramitó totalmente el acto administrativo que aprueba el grado de cumplimiento global de las metas del convenio del 2do año de gestión.</t>
  </si>
  <si>
    <t>En marzo 2025 se enviaron los antecedentes a la División Jurídica para la elaboración del acto administrativo de la evaluación del segundo año de gestión.</t>
  </si>
  <si>
    <t>Acum ABRIL - 2025</t>
  </si>
  <si>
    <t>Hitos ADP ocurridos al 9 de ABRIL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</si>
  <si>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</si>
  <si>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</si>
  <si>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</si>
  <si>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</si>
  <si>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</si>
  <si>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</si>
  <si>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</si>
  <si>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</si>
  <si>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Pendiente actualizar</t>
  </si>
  <si>
    <t xml:space="preserve">Actualizado </t>
  </si>
  <si>
    <t xml:space="preserve">Institucionales </t>
  </si>
  <si>
    <t>Señales de Alerta no asociadas a MR</t>
  </si>
  <si>
    <t>Se realizará monitoreo con corte al 31/03</t>
  </si>
  <si>
    <t xml:space="preserve">Ciberseguridad </t>
  </si>
  <si>
    <t>GabMin Estudios</t>
  </si>
  <si>
    <t>Ayuda MINEDUC</t>
  </si>
  <si>
    <t>Subsecretaría de Educación Parvularia</t>
  </si>
  <si>
    <t>Subsecretaría de Educación Superior</t>
  </si>
  <si>
    <t>Beca de Apoyo a la Retención Escolar</t>
  </si>
  <si>
    <t>Programa Habilidades para la Vida III</t>
  </si>
  <si>
    <t>Educación Rural</t>
  </si>
  <si>
    <t>Fortalecimiento del aprendizaje del inglés</t>
  </si>
  <si>
    <t>Subvención Escolar Regular</t>
  </si>
  <si>
    <t>Jardines Infantiles y Sala Cuna modalidad No Convencional</t>
  </si>
  <si>
    <t>Vacaciones en mi Jardín</t>
  </si>
  <si>
    <t>Plan de Fortalecimiento de Universidades</t>
  </si>
  <si>
    <t>Beca Bicentenario</t>
  </si>
  <si>
    <t>Red Maestro de Maestros</t>
  </si>
  <si>
    <t>Subvención Pro-Retención</t>
  </si>
  <si>
    <t>Programa Jardín Transitorio Estacional</t>
  </si>
  <si>
    <t>Programa Alternativo de Atención al Párvulo</t>
  </si>
  <si>
    <t>BP</t>
  </si>
  <si>
    <t>Inicio Monitoreo 2024
ejecución año t-1</t>
  </si>
  <si>
    <t>Envío de orientaciones 
a contrapartes internas</t>
  </si>
  <si>
    <t>Reporte en 
plataforma</t>
  </si>
  <si>
    <t>Evaluación
MDSyF</t>
  </si>
  <si>
    <t>Publicación
de informes
de monitoreo</t>
  </si>
  <si>
    <t>Inicio Ex ante</t>
  </si>
  <si>
    <t>Envío de 
lineamientos 
internos</t>
  </si>
  <si>
    <t>Iteración 1</t>
  </si>
  <si>
    <t>Iteración 2</t>
  </si>
  <si>
    <t>Iteración 3</t>
  </si>
  <si>
    <t>Iteración 4</t>
  </si>
  <si>
    <t>Cierre
ex 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</si>
</sst>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2060"/>
        <bgColor theme="7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6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8" borderId="1" xfId="0" applyFont="1" applyFill="1" applyBorder="1" applyAlignment="1">
      <alignment horizontal="center"/>
    </xf>
    <xf numFmtId="0" fontId="66" fillId="18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9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0" borderId="32" xfId="0" applyNumberFormat="1" applyFont="1" applyFill="1" applyBorder="1" applyAlignment="1">
      <alignment horizontal="center" vertical="center"/>
    </xf>
    <xf numFmtId="49" fontId="20" fillId="20" borderId="1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34" xfId="0" applyNumberFormat="1" applyFont="1" applyFill="1" applyBorder="1" applyAlignment="1">
      <alignment horizontal="center" vertical="center"/>
    </xf>
    <xf numFmtId="49" fontId="20" fillId="20" borderId="36" xfId="0" applyNumberFormat="1" applyFont="1" applyFill="1" applyBorder="1" applyAlignment="1">
      <alignment horizontal="center" vertical="center"/>
    </xf>
    <xf numFmtId="49" fontId="20" fillId="20" borderId="37" xfId="0" applyNumberFormat="1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" fillId="4" borderId="157" xfId="0" applyFont="1" applyFill="1" applyBorder="1" applyAlignment="1">
      <alignment horizontal="center" vertical="center" wrapText="1"/>
    </xf>
    <xf numFmtId="0" fontId="0" fillId="4" borderId="80" xfId="0" applyFill="1" applyBorder="1" applyAlignment="1">
      <alignment horizontal="center" vertical="center" wrapText="1"/>
    </xf>
    <xf numFmtId="0" fontId="0" fillId="4" borderId="186" xfId="0" applyFill="1" applyBorder="1" applyAlignment="1">
      <alignment horizontal="center" vertical="center" wrapText="1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14" fontId="69" fillId="0" borderId="6" xfId="0" applyNumberFormat="1" applyFont="1" applyBorder="1" applyAlignment="1">
      <alignment horizontal="center" vertical="center"/>
    </xf>
    <xf numFmtId="14" fontId="69" fillId="0" borderId="1" xfId="0" applyNumberFormat="1" applyFont="1" applyBorder="1" applyAlignment="1">
      <alignment horizontal="center" vertical="center"/>
    </xf>
    <xf numFmtId="14" fontId="69" fillId="0" borderId="36" xfId="0" applyNumberFormat="1" applyFont="1" applyBorder="1" applyAlignment="1">
      <alignment horizontal="center" vertical="center"/>
    </xf>
    <xf numFmtId="14" fontId="69" fillId="0" borderId="45" xfId="0" applyNumberFormat="1" applyFont="1" applyBorder="1" applyAlignment="1">
      <alignment horizontal="center" vertical="center"/>
    </xf>
    <xf numFmtId="14" fontId="69" fillId="0" borderId="34" xfId="0" applyNumberFormat="1" applyFont="1" applyBorder="1" applyAlignment="1">
      <alignment horizontal="center" vertical="center"/>
    </xf>
    <xf numFmtId="14" fontId="69" fillId="0" borderId="37" xfId="0" applyNumberFormat="1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14" fontId="69" fillId="0" borderId="123" xfId="0" applyNumberFormat="1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14" fontId="69" fillId="0" borderId="12" xfId="0" applyNumberFormat="1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14" fontId="69" fillId="0" borderId="3" xfId="0" applyNumberFormat="1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106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30" xfId="0" applyBorder="1" applyAlignment="1">
      <alignment horizont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190" xfId="0" applyFont="1" applyBorder="1" applyAlignment="1">
      <alignment horizontal="center" vertical="center" wrapText="1"/>
    </xf>
    <xf numFmtId="0" fontId="16" fillId="0" borderId="206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4" borderId="185" xfId="0" applyFont="1" applyFill="1" applyBorder="1" applyAlignment="1">
      <alignment horizontal="center" vertical="center"/>
    </xf>
    <xf numFmtId="0" fontId="7" fillId="4" borderId="200" xfId="0" applyFont="1" applyFill="1" applyBorder="1" applyAlignment="1">
      <alignment horizontal="center" vertical="center" wrapText="1"/>
    </xf>
    <xf numFmtId="0" fontId="7" fillId="4" borderId="199" xfId="0" applyFont="1" applyFill="1" applyBorder="1" applyAlignment="1">
      <alignment horizontal="center" vertical="center" wrapText="1"/>
    </xf>
    <xf numFmtId="0" fontId="7" fillId="4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54" fillId="4" borderId="58" xfId="0" applyFont="1" applyFill="1" applyBorder="1" applyAlignment="1">
      <alignment horizontal="right" vertical="center"/>
    </xf>
    <xf numFmtId="0" fontId="54" fillId="4" borderId="0" xfId="0" applyFont="1" applyFill="1" applyAlignment="1">
      <alignment horizontal="right" vertical="center"/>
    </xf>
    <xf numFmtId="49" fontId="90" fillId="4" borderId="0" xfId="0" applyNumberFormat="1" applyFont="1" applyFill="1" applyAlignment="1">
      <alignment horizontal="left" vertical="center"/>
    </xf>
    <xf numFmtId="49" fontId="90" fillId="4" borderId="60" xfId="0" applyNumberFormat="1" applyFont="1" applyFill="1" applyBorder="1" applyAlignment="1">
      <alignment horizontal="left" vertical="center"/>
    </xf>
    <xf numFmtId="0" fontId="54" fillId="4" borderId="58" xfId="0" applyFont="1" applyFill="1" applyBorder="1" applyAlignment="1">
      <alignment horizontal="center" vertical="center"/>
    </xf>
    <xf numFmtId="0" fontId="54" fillId="4" borderId="0" xfId="0" applyFont="1" applyFill="1" applyAlignment="1">
      <alignment horizontal="center" vertical="center"/>
    </xf>
    <xf numFmtId="0" fontId="54" fillId="4" borderId="60" xfId="0" applyFont="1" applyFill="1" applyBorder="1" applyAlignment="1">
      <alignment horizontal="center" vertical="center"/>
    </xf>
    <xf numFmtId="0" fontId="63" fillId="4" borderId="191" xfId="0" applyFont="1" applyFill="1" applyBorder="1" applyAlignment="1">
      <alignment horizontal="center" vertical="center"/>
    </xf>
    <xf numFmtId="0" fontId="63" fillId="4" borderId="198" xfId="0" applyFont="1" applyFill="1" applyBorder="1" applyAlignment="1">
      <alignment horizontal="center" vertical="center"/>
    </xf>
    <xf numFmtId="0" fontId="63" fillId="4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66" fillId="21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data_panel!$C$4:$C$6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data_panel!$E$4:$E$6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data_panel!$C$13:$C$20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data_panel!$D$13:$D$20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data_panel!$E$13:$E$20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data_panel!$C$25:$C$40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data_panel!$D$25:$D$40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data_panel!$E$25:$E$40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data_panel!$C$8:$C$11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data_panel!$D$8:$D$11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data_panel!$E$8:$E$11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D9496E2-8B54-410D-B43B-EC89CAC64382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873FA30-3BC9-4E58-83A2-A8C4C691EFD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1947890-B2A4-4D78-952F-13A1FBB9DE42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9AD79E8-6A0F-4699-9A6B-48E691122336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7911A2-55C5-4A35-8592-8F37BED85D22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93A43F7-F642-46E7-A1D2-9D00F218B30D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115F790-5A34-4D1B-B505-31D790AE6C2D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B9E8F68-FEC4-4167-8035-5364047EFFA5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F6AECF0-07E8-4CEF-97DF-5CDDCD079C7B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88531D0-D152-494C-9878-EB3251A7E288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381E986-76A2-4BF1-BA3F-6F7B458E2D1C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83F0BDD-38F1-4929-8DA9-81441535400B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datos_graficos!$D$3:$D$14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fld id="{6FACC62E-2DD8-481F-9050-ED16B70F26A1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9019EA-68C2-47F9-88D9-7E1332B9E9B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379CD8A-3DA2-49F6-A5F1-86A3EB5FC8AD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datos_graficos!$C$3:$C$14</c:f>
              <c:numCache>
                <c:formatCode>General</c:formatCode>
                <c:ptCount val="12"/>
                <c:pt idx="0">
                  <c:v>2</c:v>
                </c:pt>
                <c:pt idx="1">
                  <c:v>-1</c:v>
                </c:pt>
                <c:pt idx="2">
                  <c:v>1.5</c:v>
                </c:pt>
                <c:pt idx="3">
                  <c:v>-1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681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682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683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684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685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686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687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688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69"/>
      <c r="D11" s="269"/>
      <c r="E11" s="274"/>
      <c r="F11" s="275" t="s">
        <v>190</v>
      </c>
      <c r="G11" s="466">
        <v>2025</v>
      </c>
      <c r="H11" s="466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76"/>
      <c r="F12" s="467" t="s">
        <v>221</v>
      </c>
      <c r="G12" s="468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73"/>
      <c r="F15" s="464" t="s">
        <v>191</v>
      </c>
      <c r="G15" s="464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73"/>
      <c r="F16" s="464" t="s">
        <v>192</v>
      </c>
      <c r="G16" s="464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0"/>
      <c r="F17" s="271"/>
      <c r="G17" s="271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72"/>
      <c r="F18" s="465" t="s">
        <v>193</v>
      </c>
      <c r="G18" s="465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6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16"/>
      <c r="C2" s="316"/>
      <c r="D2" s="316"/>
      <c r="E2" s="316"/>
      <c r="F2" s="316"/>
      <c r="G2" s="316"/>
      <c r="H2" s="316"/>
      <c r="I2" s="316"/>
      <c r="J2" s="480" t="s">
        <v>203</v>
      </c>
      <c r="K2" s="480"/>
      <c r="L2" s="480"/>
      <c r="M2" s="480"/>
      <c r="N2" s="480"/>
      <c r="O2" s="480"/>
      <c r="P2" s="316"/>
      <c r="Q2" s="316"/>
      <c r="R2" s="316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17" t="s">
        <v>200</v>
      </c>
      <c r="C4" s="317"/>
      <c r="D4" s="317"/>
      <c r="E4" s="317"/>
      <c r="F4" s="317"/>
      <c r="G4" s="317"/>
      <c r="H4" s="317"/>
      <c r="I4" s="317" t="s">
        <v>201</v>
      </c>
      <c r="J4" s="479" t="s">
        <v>202</v>
      </c>
      <c r="K4" s="479"/>
      <c r="L4" s="479"/>
      <c r="M4" s="479"/>
      <c r="N4" s="479"/>
      <c r="O4" s="479"/>
      <c r="P4" s="235"/>
      <c r="Q4" s="235"/>
      <c r="R4" s="236"/>
      <c r="S4" s="28"/>
    </row>
    <row r="5" spans="1:19" ht="29.25" customHeight="1">
      <c r="A5" s="29"/>
      <c r="B5" s="318"/>
      <c r="C5" s="318"/>
      <c r="D5" s="318"/>
      <c r="E5" s="318"/>
      <c r="F5" s="318"/>
      <c r="G5" s="318"/>
      <c r="H5" s="318"/>
      <c r="I5" s="320"/>
      <c r="J5" s="472" t="s">
        <v>174</v>
      </c>
      <c r="K5" s="472"/>
      <c r="L5" s="472"/>
      <c r="M5" s="472"/>
      <c r="N5" s="484" t="s">
        <v>221</v>
      </c>
      <c r="O5" s="484"/>
      <c r="P5" s="484"/>
      <c r="Q5" s="319"/>
      <c r="R5" s="319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75" t="str">
        <f>_xlfn.CONCAT("PERIODO ", N5)</f>
        <v>PERIODO ABRIL - 2025</v>
      </c>
      <c r="D8" s="476"/>
      <c r="E8" s="477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47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78" t="s">
        <v>5</v>
      </c>
      <c r="D10" s="478"/>
      <c r="E10" s="478"/>
      <c r="G10" s="92" t="s">
        <v>8</v>
      </c>
      <c r="H10" s="55"/>
      <c r="I10" s="55"/>
      <c r="J10" s="46"/>
      <c r="K10" s="56">
        <v>34</v>
      </c>
      <c r="L10" s="55"/>
      <c r="M10" s="46">
        <v>0</v>
      </c>
      <c r="N10" s="55"/>
      <c r="O10" s="46">
        <v>0</v>
      </c>
      <c r="P10" s="55"/>
      <c r="Q10" s="55"/>
      <c r="R10" s="57">
        <f>SUM($K10:$O10)</f>
        <v>34</v>
      </c>
      <c r="S10" s="28"/>
    </row>
    <row r="11" spans="1:19" ht="36" customHeight="1">
      <c r="A11" s="29"/>
      <c r="C11" s="85" t="s">
        <v>6</v>
      </c>
      <c r="D11" s="471">
        <f>R13</f>
        <v>6</v>
      </c>
      <c r="E11" s="471"/>
      <c r="G11" s="58" t="s">
        <v>9</v>
      </c>
      <c r="H11" s="55"/>
      <c r="I11" s="55"/>
      <c r="J11" s="46"/>
      <c r="K11" s="56">
        <v>78</v>
      </c>
      <c r="L11" s="55"/>
      <c r="M11" s="46">
        <v>0</v>
      </c>
      <c r="N11" s="55"/>
      <c r="O11" s="46">
        <v>0</v>
      </c>
      <c r="P11" s="55"/>
      <c r="Q11" s="55"/>
      <c r="R11" s="57">
        <f t="shared" ref="R11:R13" si="0">SUM($K11:$O11)</f>
        <v>78</v>
      </c>
      <c r="S11" s="28"/>
    </row>
    <row r="12" spans="1:19" ht="43.5" customHeight="1">
      <c r="A12" s="29"/>
      <c r="C12" s="74" t="s">
        <v>7</v>
      </c>
      <c r="D12" s="471">
        <f>R12</f>
        <v>4</v>
      </c>
      <c r="E12" s="471"/>
      <c r="G12" s="58" t="s">
        <v>7</v>
      </c>
      <c r="H12" s="55"/>
      <c r="I12" s="55"/>
      <c r="J12" s="46"/>
      <c r="K12" s="56">
        <v>4</v>
      </c>
      <c r="L12" s="55"/>
      <c r="M12" s="46">
        <v>0</v>
      </c>
      <c r="N12" s="55"/>
      <c r="O12" s="46">
        <v>0</v>
      </c>
      <c r="P12" s="55"/>
      <c r="Q12" s="55"/>
      <c r="R12" s="57">
        <f t="shared" si="0"/>
        <v>4</v>
      </c>
      <c r="S12" s="28"/>
    </row>
    <row r="13" spans="1:19" ht="36.75" customHeight="1">
      <c r="A13" s="29"/>
      <c r="C13" s="74" t="s">
        <v>8</v>
      </c>
      <c r="D13" s="471">
        <f>R10</f>
        <v>34</v>
      </c>
      <c r="E13" s="471"/>
      <c r="G13" s="93" t="s">
        <v>6</v>
      </c>
      <c r="H13" s="59"/>
      <c r="I13" s="55"/>
      <c r="J13" s="46"/>
      <c r="K13" s="56">
        <v>6</v>
      </c>
      <c r="L13" s="55"/>
      <c r="M13" s="46">
        <v>0</v>
      </c>
      <c r="N13" s="55"/>
      <c r="O13" s="46">
        <v>0</v>
      </c>
      <c r="P13" s="55"/>
      <c r="Q13" s="55"/>
      <c r="R13" s="57">
        <f t="shared" si="0"/>
        <v>6</v>
      </c>
      <c r="S13" s="28"/>
    </row>
    <row r="14" spans="1:19" ht="53.25" customHeight="1">
      <c r="A14" s="29"/>
      <c r="C14" s="74" t="s">
        <v>9</v>
      </c>
      <c r="D14" s="471">
        <f>R11</f>
        <v>78</v>
      </c>
      <c r="E14" s="471"/>
      <c r="G14" s="64" t="s">
        <v>10</v>
      </c>
      <c r="H14" s="60"/>
      <c r="I14" s="61"/>
      <c r="J14" s="62"/>
      <c r="K14" s="62">
        <f>SUM(K10:K13)</f>
        <v>122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122</v>
      </c>
      <c r="S14" s="28"/>
    </row>
    <row r="15" spans="1:19" ht="38.25" customHeight="1">
      <c r="A15" s="29"/>
      <c r="C15" s="47" t="s">
        <v>11</v>
      </c>
      <c r="D15" s="470">
        <f>R14</f>
        <v>122</v>
      </c>
      <c r="E15" s="470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81" t="s">
        <v>12</v>
      </c>
      <c r="D24" s="482"/>
      <c r="E24" s="483"/>
      <c r="S24" s="28"/>
    </row>
    <row r="25" spans="1:19" ht="32.25" customHeight="1">
      <c r="A25" s="29"/>
      <c r="C25" s="48" t="s">
        <v>6</v>
      </c>
      <c r="D25" s="473">
        <f>SUM(M13:O13)</f>
        <v>0</v>
      </c>
      <c r="E25" s="474"/>
      <c r="S25" s="28"/>
    </row>
    <row r="26" spans="1:19" ht="33.75" customHeight="1">
      <c r="A26" s="29"/>
      <c r="C26" s="49" t="s">
        <v>7</v>
      </c>
      <c r="D26" s="473">
        <f>SUM(M12:O12)</f>
        <v>0</v>
      </c>
      <c r="E26" s="474"/>
      <c r="S26" s="28"/>
    </row>
    <row r="27" spans="1:19" ht="38.25" customHeight="1">
      <c r="A27" s="29"/>
      <c r="C27" s="49" t="s">
        <v>8</v>
      </c>
      <c r="D27" s="471">
        <f>SUM(M10:O10)</f>
        <v>0</v>
      </c>
      <c r="E27" s="471"/>
      <c r="S27" s="28"/>
    </row>
    <row r="28" spans="1:19" ht="25.5" customHeight="1">
      <c r="A28" s="29"/>
      <c r="C28" s="49" t="s">
        <v>9</v>
      </c>
      <c r="D28" s="471">
        <f>SUM(M11:O11)</f>
        <v>0</v>
      </c>
      <c r="E28" s="471"/>
      <c r="S28" s="28"/>
    </row>
    <row r="29" spans="1:19" ht="33" customHeight="1">
      <c r="A29" s="29"/>
      <c r="C29" s="47" t="s">
        <v>11</v>
      </c>
      <c r="D29" s="469">
        <f>SUM(M14:O14)</f>
        <v>0</v>
      </c>
      <c r="E29" s="469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 t="s">
        <v>16</v>
      </c>
      <c r="C4" s="12">
        <v>2</v>
      </c>
      <c r="D4" s="12">
        <v>0</v>
      </c>
      <c r="E4" s="12">
        <v>0</v>
      </c>
    </row>
    <row r="5" spans="2:5">
      <c r="B5" s="12" t="s">
        <v>17</v>
      </c>
      <c r="C5" s="12">
        <v>2</v>
      </c>
      <c r="D5" s="12">
        <v>0</v>
      </c>
      <c r="E5" s="12">
        <v>0</v>
      </c>
    </row>
    <row r="6" spans="2:5">
      <c r="B6" s="12" t="s">
        <v>222</v>
      </c>
      <c r="C6" s="12">
        <v>2</v>
      </c>
      <c r="D6" s="12">
        <v>0</v>
      </c>
      <c r="E6" s="12">
        <v>0</v>
      </c>
    </row>
    <row r="7" spans="2:5">
      <c r="B7" s="14"/>
      <c r="C7" s="14"/>
      <c r="D7" s="14"/>
      <c r="E7" s="14"/>
    </row>
    <row r="8" spans="2:5">
      <c r="B8" s="12" t="s">
        <v>18</v>
      </c>
      <c r="C8" s="12">
        <v>1</v>
      </c>
      <c r="D8" s="12">
        <v>0</v>
      </c>
      <c r="E8" s="12">
        <v>0</v>
      </c>
    </row>
    <row r="9" spans="2:5">
      <c r="B9" s="12" t="s">
        <v>19</v>
      </c>
      <c r="C9" s="2">
        <v>1</v>
      </c>
      <c r="D9" s="12">
        <v>0</v>
      </c>
      <c r="E9" s="12">
        <v>0</v>
      </c>
    </row>
    <row r="10" spans="2:5">
      <c r="B10" s="12" t="s">
        <v>20</v>
      </c>
      <c r="C10" s="12">
        <v>2</v>
      </c>
      <c r="D10" s="12">
        <v>0</v>
      </c>
      <c r="E10" s="12">
        <v>0</v>
      </c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 t="s">
        <v>18</v>
      </c>
      <c r="C13" s="12">
        <v>3</v>
      </c>
      <c r="D13" s="12">
        <v>0</v>
      </c>
      <c r="E13" s="12">
        <v>0</v>
      </c>
    </row>
    <row r="14" spans="2:5">
      <c r="B14" s="12" t="s">
        <v>16</v>
      </c>
      <c r="C14" s="12">
        <v>4</v>
      </c>
      <c r="D14" s="12">
        <v>0</v>
      </c>
      <c r="E14" s="12">
        <v>0</v>
      </c>
    </row>
    <row r="15" spans="2:5">
      <c r="B15" s="12" t="s">
        <v>19</v>
      </c>
      <c r="C15" s="12">
        <v>3</v>
      </c>
      <c r="D15" s="12">
        <v>0</v>
      </c>
      <c r="E15" s="12">
        <v>0</v>
      </c>
    </row>
    <row r="16" spans="2:5">
      <c r="B16" s="12" t="s">
        <v>22</v>
      </c>
      <c r="C16" s="12">
        <v>7</v>
      </c>
      <c r="D16" s="12">
        <v>0</v>
      </c>
      <c r="E16" s="12">
        <v>0</v>
      </c>
    </row>
    <row r="17" spans="2:5">
      <c r="B17" s="12" t="s">
        <v>17</v>
      </c>
      <c r="C17" s="12">
        <v>6</v>
      </c>
      <c r="D17" s="12">
        <v>0</v>
      </c>
      <c r="E17" s="12">
        <v>0</v>
      </c>
    </row>
    <row r="18" spans="2:5">
      <c r="B18" s="12" t="s">
        <v>223</v>
      </c>
      <c r="C18" s="12">
        <v>3</v>
      </c>
      <c r="D18" s="12">
        <v>0</v>
      </c>
      <c r="E18" s="12">
        <v>0</v>
      </c>
    </row>
    <row r="19" spans="2:5">
      <c r="B19" s="12" t="s">
        <v>222</v>
      </c>
      <c r="C19" s="12">
        <v>3</v>
      </c>
      <c r="D19" s="12">
        <v>0</v>
      </c>
      <c r="E19" s="12">
        <v>0</v>
      </c>
    </row>
    <row r="20" spans="2:5">
      <c r="B20" s="12" t="s">
        <v>20</v>
      </c>
      <c r="C20" s="12">
        <v>5</v>
      </c>
      <c r="D20" s="12">
        <v>0</v>
      </c>
      <c r="E20" s="12">
        <v>0</v>
      </c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 t="s">
        <v>24</v>
      </c>
      <c r="C25" s="12">
        <v>5</v>
      </c>
      <c r="D25" s="12">
        <v>0</v>
      </c>
      <c r="E25" s="12">
        <v>0</v>
      </c>
    </row>
    <row r="26" spans="2:5">
      <c r="B26" s="86" t="s">
        <v>37</v>
      </c>
      <c r="C26" s="12">
        <v>5</v>
      </c>
      <c r="D26" s="12">
        <v>0</v>
      </c>
      <c r="E26" s="12">
        <v>0</v>
      </c>
    </row>
    <row r="27" spans="2:5">
      <c r="B27" s="86" t="s">
        <v>25</v>
      </c>
      <c r="C27" s="12">
        <v>5</v>
      </c>
      <c r="D27" s="12">
        <v>0</v>
      </c>
      <c r="E27" s="12">
        <v>0</v>
      </c>
    </row>
    <row r="28" spans="2:5">
      <c r="B28" s="86" t="s">
        <v>33</v>
      </c>
      <c r="C28" s="12">
        <v>5</v>
      </c>
      <c r="D28" s="12">
        <v>0</v>
      </c>
      <c r="E28" s="12">
        <v>0</v>
      </c>
    </row>
    <row r="29" spans="2:5">
      <c r="B29" s="86" t="s">
        <v>30</v>
      </c>
      <c r="C29" s="12">
        <v>5</v>
      </c>
      <c r="D29" s="12">
        <v>0</v>
      </c>
      <c r="E29" s="12">
        <v>0</v>
      </c>
    </row>
    <row r="30" spans="2:5">
      <c r="B30" s="86" t="s">
        <v>26</v>
      </c>
      <c r="C30" s="12">
        <v>5</v>
      </c>
      <c r="D30" s="12">
        <v>0</v>
      </c>
      <c r="E30" s="12">
        <v>0</v>
      </c>
    </row>
    <row r="31" spans="2:5">
      <c r="B31" s="86" t="s">
        <v>224</v>
      </c>
      <c r="C31" s="12">
        <v>5</v>
      </c>
      <c r="D31" s="12">
        <v>0</v>
      </c>
      <c r="E31" s="12">
        <v>0</v>
      </c>
    </row>
    <row r="32" spans="2:5">
      <c r="B32" s="86" t="s">
        <v>32</v>
      </c>
      <c r="C32" s="12">
        <v>5</v>
      </c>
      <c r="D32" s="12">
        <v>0</v>
      </c>
      <c r="E32" s="12">
        <v>0</v>
      </c>
    </row>
    <row r="33" spans="2:5">
      <c r="B33" s="86" t="s">
        <v>36</v>
      </c>
      <c r="C33" s="12">
        <v>5</v>
      </c>
      <c r="D33" s="12">
        <v>0</v>
      </c>
      <c r="E33" s="12">
        <v>0</v>
      </c>
    </row>
    <row r="34" spans="2:5">
      <c r="B34" s="86" t="s">
        <v>34</v>
      </c>
      <c r="C34" s="12">
        <v>5</v>
      </c>
      <c r="D34" s="12">
        <v>0</v>
      </c>
      <c r="E34" s="12">
        <v>0</v>
      </c>
    </row>
    <row r="35" spans="2:5">
      <c r="B35" s="86" t="s">
        <v>29</v>
      </c>
      <c r="C35" s="12">
        <v>5</v>
      </c>
      <c r="D35" s="12">
        <v>0</v>
      </c>
      <c r="E35" s="12">
        <v>0</v>
      </c>
    </row>
    <row r="36" spans="2:5">
      <c r="B36" s="86" t="s">
        <v>35</v>
      </c>
      <c r="C36" s="12">
        <v>4</v>
      </c>
      <c r="D36" s="12">
        <v>0</v>
      </c>
      <c r="E36" s="12">
        <v>0</v>
      </c>
    </row>
    <row r="37" spans="2:5">
      <c r="B37" s="86" t="s">
        <v>28</v>
      </c>
      <c r="C37" s="12">
        <v>5</v>
      </c>
      <c r="D37" s="12">
        <v>0</v>
      </c>
      <c r="E37" s="12">
        <v>0</v>
      </c>
    </row>
    <row r="38" spans="2:5">
      <c r="B38" s="86" t="s">
        <v>23</v>
      </c>
      <c r="C38" s="12">
        <v>5</v>
      </c>
      <c r="D38" s="12">
        <v>0</v>
      </c>
      <c r="E38" s="12">
        <v>0</v>
      </c>
    </row>
    <row r="39" spans="2:5">
      <c r="B39" s="86" t="s">
        <v>27</v>
      </c>
      <c r="C39" s="12">
        <v>5</v>
      </c>
      <c r="D39" s="12">
        <v>0</v>
      </c>
      <c r="E39" s="12">
        <v>0</v>
      </c>
    </row>
    <row r="40" spans="2:5">
      <c r="B40" s="86" t="s">
        <v>38</v>
      </c>
      <c r="C40" s="12">
        <v>4</v>
      </c>
      <c r="D40" s="12">
        <v>0</v>
      </c>
      <c r="E40" s="12">
        <v>0</v>
      </c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32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85" t="s">
        <v>173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486"/>
      <c r="T2" s="487" t="s">
        <v>221</v>
      </c>
      <c r="U2" s="487"/>
      <c r="V2" s="487"/>
      <c r="W2" s="487"/>
      <c r="X2" s="487"/>
      <c r="Y2" s="487"/>
      <c r="Z2" s="487"/>
      <c r="AA2" s="488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9" zoomScale="115" zoomScaleNormal="84" zoomScaleSheetLayoutView="115" workbookViewId="0">
      <selection activeCell="B4" sqref="B4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9" t="s">
        <v>88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</row>
    <row r="2" spans="1:21" ht="19.5" thickBot="1">
      <c r="A2" s="491" t="s">
        <v>221</v>
      </c>
      <c r="B2" s="492"/>
      <c r="C2" s="492"/>
      <c r="D2" s="492"/>
      <c r="E2" s="492"/>
      <c r="F2" s="492"/>
      <c r="G2" s="492"/>
      <c r="H2" s="492"/>
      <c r="I2" s="492"/>
      <c r="J2" s="492"/>
      <c r="K2" s="492"/>
      <c r="L2" s="492"/>
      <c r="M2" s="492"/>
      <c r="N2" s="492"/>
      <c r="O2" s="492"/>
      <c r="P2" s="492"/>
      <c r="Q2" s="492"/>
      <c r="R2" s="492"/>
    </row>
    <row r="3" spans="1:21">
      <c r="A3" s="41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19"/>
      <c r="B4" s="420"/>
      <c r="C4" s="420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19"/>
      <c r="B5" s="437" t="s">
        <v>89</v>
      </c>
      <c r="C5" s="493" t="s">
        <v>90</v>
      </c>
      <c r="D5" s="493"/>
      <c r="E5" s="493"/>
      <c r="F5" s="493" t="s">
        <v>91</v>
      </c>
      <c r="G5" s="493"/>
      <c r="H5" s="493"/>
      <c r="I5" s="493" t="s">
        <v>219</v>
      </c>
      <c r="J5" s="493"/>
      <c r="K5" s="493"/>
      <c r="L5" s="493" t="s">
        <v>92</v>
      </c>
      <c r="M5" s="493"/>
      <c r="N5" s="493"/>
      <c r="O5" s="493" t="s">
        <v>220</v>
      </c>
      <c r="P5" s="493"/>
      <c r="Q5" s="494"/>
      <c r="R5" s="417"/>
      <c r="S5" s="416"/>
      <c r="T5" s="3"/>
      <c r="U5" s="3"/>
    </row>
    <row r="6" spans="1:21" ht="21">
      <c r="A6" s="419"/>
      <c r="B6" s="438" t="s">
        <v>23</v>
      </c>
      <c r="C6" s="423"/>
      <c r="D6" s="424">
        <f>IF(data_status_reg!$E4="bajo",0,IF(data_status_reg!$E4="medio",0.5,IF(data_status_reg!$E4="alto",1,"falta riesgo")))</f>
        <v>0</v>
      </c>
      <c r="E6" s="425"/>
      <c r="F6" s="425"/>
      <c r="G6" s="424">
        <f>IF(data_status_reg!$E20="bajo",0,IF(data_status_reg!$E20="medio",0.5,IF(data_status_reg!$E20="alto",1,"falta riesgo")))</f>
        <v>0</v>
      </c>
      <c r="H6" s="425"/>
      <c r="I6" s="425"/>
      <c r="J6" s="424">
        <f>IF(data_status_reg!$E36="bajo",0,IF(data_status_reg!$E36="medio",0.5,IF(data_status_reg!$E36="alto",1,"falta riesgo")))</f>
        <v>0</v>
      </c>
      <c r="K6" s="425"/>
      <c r="L6" s="425"/>
      <c r="M6" s="424">
        <f>IF(data_status_reg!$E52="bajo",0,IF(data_status_reg!$E52="medio",0.5,IF(data_status_reg!$E52="alto",1,"falta riesgo")))</f>
        <v>0</v>
      </c>
      <c r="N6" s="426"/>
      <c r="O6" s="440"/>
      <c r="P6" s="424">
        <f>IF(data_status_reg!$E68="bajo",0,IF(data_status_reg!$E68="medio",0.5,IF(data_status_reg!$E68="alto",1,"falta riesgo")))</f>
        <v>0</v>
      </c>
      <c r="Q6" s="427"/>
      <c r="R6" s="418"/>
    </row>
    <row r="7" spans="1:21" ht="21">
      <c r="A7" s="419"/>
      <c r="B7" s="438" t="s">
        <v>24</v>
      </c>
      <c r="C7" s="428"/>
      <c r="D7" s="413">
        <f>IF(data_status_reg!$E5="bajo",0,IF(data_status_reg!$E5="medio",0.5,IF(data_status_reg!$E5="alto",1,"falta riesgo")))</f>
        <v>0</v>
      </c>
      <c r="E7" s="414"/>
      <c r="F7" s="414"/>
      <c r="G7" s="413">
        <f>IF(data_status_reg!$E21="bajo",0,IF(data_status_reg!$E21="medio",0.5,IF(data_status_reg!$E21="alto",1,"falta riesgo")))</f>
        <v>0</v>
      </c>
      <c r="H7" s="414"/>
      <c r="I7" s="414"/>
      <c r="J7" s="413">
        <f>IF(data_status_reg!$E37="bajo",0,IF(data_status_reg!$E37="medio",0.5,IF(data_status_reg!$E37="alto",1,"falta riesgo")))</f>
        <v>0</v>
      </c>
      <c r="K7" s="414"/>
      <c r="L7" s="414"/>
      <c r="M7" s="413">
        <f>IF(data_status_reg!$E53="bajo",0,IF(data_status_reg!$E53="medio",0.5,IF(data_status_reg!$E53="alto",1,"falta riesgo")))</f>
        <v>0</v>
      </c>
      <c r="N7" s="411"/>
      <c r="O7" s="441"/>
      <c r="P7" s="413">
        <f>IF(data_status_reg!$E69="bajo",0,IF(data_status_reg!$E69="medio",0.5,IF(data_status_reg!$E69="alto",1,"falta riesgo")))</f>
        <v>0</v>
      </c>
      <c r="Q7" s="429"/>
      <c r="R7" s="3"/>
    </row>
    <row r="8" spans="1:21" ht="21">
      <c r="A8" s="419"/>
      <c r="B8" s="438" t="s">
        <v>25</v>
      </c>
      <c r="C8" s="428"/>
      <c r="D8" s="413">
        <f>IF(data_status_reg!$E6="bajo",0,IF(data_status_reg!$E6="medio",0.5,IF(data_status_reg!$E6="alto",1,"falta riesgo")))</f>
        <v>0</v>
      </c>
      <c r="E8" s="414"/>
      <c r="F8" s="414"/>
      <c r="G8" s="413">
        <f>IF(data_status_reg!$E22="bajo",0,IF(data_status_reg!$E22="medio",0.5,IF(data_status_reg!$E22="alto",1,"falta riesgo")))</f>
        <v>0</v>
      </c>
      <c r="H8" s="414"/>
      <c r="I8" s="414"/>
      <c r="J8" s="413">
        <f>IF(data_status_reg!$E38="bajo",0,IF(data_status_reg!$E38="medio",0.5,IF(data_status_reg!$E38="alto",1,"falta riesgo")))</f>
        <v>0</v>
      </c>
      <c r="K8" s="414"/>
      <c r="L8" s="414"/>
      <c r="M8" s="413">
        <f>IF(data_status_reg!$E54="bajo",0,IF(data_status_reg!$E54="medio",0.5,IF(data_status_reg!$E54="alto",1,"falta riesgo")))</f>
        <v>0</v>
      </c>
      <c r="N8" s="411"/>
      <c r="O8" s="441"/>
      <c r="P8" s="413">
        <f>IF(data_status_reg!$E70="bajo",0,IF(data_status_reg!$E70="medio",0.5,IF(data_status_reg!$E70="alto",1,"falta riesgo")))</f>
        <v>0</v>
      </c>
      <c r="Q8" s="429"/>
      <c r="R8" s="3"/>
    </row>
    <row r="9" spans="1:21" ht="21">
      <c r="A9" s="419"/>
      <c r="B9" s="438" t="s">
        <v>26</v>
      </c>
      <c r="C9" s="428"/>
      <c r="D9" s="413">
        <f>IF(data_status_reg!$E7="bajo",0,IF(data_status_reg!$E7="medio",0.5,IF(data_status_reg!$E7="alto",1,"falta riesgo")))</f>
        <v>0</v>
      </c>
      <c r="E9" s="414"/>
      <c r="F9" s="414"/>
      <c r="G9" s="413">
        <f>IF(data_status_reg!$E23="bajo",0,IF(data_status_reg!$E23="medio",0.5,IF(data_status_reg!$E23="alto",1,"falta riesgo")))</f>
        <v>0</v>
      </c>
      <c r="H9" s="414"/>
      <c r="I9" s="414"/>
      <c r="J9" s="413">
        <f>IF(data_status_reg!$E39="bajo",0,IF(data_status_reg!$E39="medio",0.5,IF(data_status_reg!$E39="alto",1,"falta riesgo")))</f>
        <v>0</v>
      </c>
      <c r="K9" s="414"/>
      <c r="L9" s="414"/>
      <c r="M9" s="413">
        <f>IF(data_status_reg!$E55="bajo",0,IF(data_status_reg!$E55="medio",0.5,IF(data_status_reg!$E55="alto",1,"falta riesgo")))</f>
        <v>0</v>
      </c>
      <c r="N9" s="411"/>
      <c r="O9" s="441"/>
      <c r="P9" s="413">
        <f>IF(data_status_reg!$E71="bajo",0,IF(data_status_reg!$E71="medio",0.5,IF(data_status_reg!$E71="alto",1,"falta riesgo")))</f>
        <v>0</v>
      </c>
      <c r="Q9" s="429"/>
      <c r="R9" s="3"/>
    </row>
    <row r="10" spans="1:21" ht="21">
      <c r="A10" s="419"/>
      <c r="B10" s="438" t="s">
        <v>27</v>
      </c>
      <c r="C10" s="428"/>
      <c r="D10" s="413">
        <f>IF(data_status_reg!$E8="bajo",0,IF(data_status_reg!$E8="medio",0.5,IF(data_status_reg!$E8="alto",1,"falta riesgo")))</f>
        <v>0</v>
      </c>
      <c r="E10" s="414"/>
      <c r="F10" s="414"/>
      <c r="G10" s="413">
        <f>IF(data_status_reg!$E24="bajo",0,IF(data_status_reg!$E24="medio",0.5,IF(data_status_reg!$E24="alto",1,"falta riesgo")))</f>
        <v>0</v>
      </c>
      <c r="H10" s="414"/>
      <c r="I10" s="414"/>
      <c r="J10" s="413">
        <f>IF(data_status_reg!$E40="bajo",0,IF(data_status_reg!$E40="medio",0.5,IF(data_status_reg!$E40="alto",1,"falta riesgo")))</f>
        <v>0</v>
      </c>
      <c r="K10" s="414"/>
      <c r="L10" s="414"/>
      <c r="M10" s="413">
        <f>IF(data_status_reg!$E56="bajo",0,IF(data_status_reg!$E56="medio",0.5,IF(data_status_reg!$E56="alto",1,"falta riesgo")))</f>
        <v>0</v>
      </c>
      <c r="N10" s="411"/>
      <c r="O10" s="441"/>
      <c r="P10" s="413">
        <f>IF(data_status_reg!$E72="bajo",0,IF(data_status_reg!$E72="medio",0.5,IF(data_status_reg!$E72="alto",1,"falta riesgo")))</f>
        <v>0</v>
      </c>
      <c r="Q10" s="429"/>
      <c r="R10" s="3"/>
    </row>
    <row r="11" spans="1:21" ht="21">
      <c r="A11" s="419"/>
      <c r="B11" s="438" t="s">
        <v>28</v>
      </c>
      <c r="C11" s="428"/>
      <c r="D11" s="413">
        <f>IF(data_status_reg!$E9="bajo",0,IF(data_status_reg!$E9="medio",0.5,IF(data_status_reg!$E9="alto",1,"falta riesgo")))</f>
        <v>0</v>
      </c>
      <c r="E11" s="414"/>
      <c r="F11" s="414"/>
      <c r="G11" s="413">
        <f>IF(data_status_reg!$E25="bajo",0,IF(data_status_reg!$E25="medio",0.5,IF(data_status_reg!$E25="alto",1,"falta riesgo")))</f>
        <v>0</v>
      </c>
      <c r="H11" s="414"/>
      <c r="I11" s="414"/>
      <c r="J11" s="413">
        <f>IF(data_status_reg!$E41="bajo",0,IF(data_status_reg!$E41="medio",0.5,IF(data_status_reg!$E41="alto",1,"falta riesgo")))</f>
        <v>0</v>
      </c>
      <c r="K11" s="414"/>
      <c r="L11" s="414"/>
      <c r="M11" s="413">
        <f>IF(data_status_reg!$E57="bajo",0,IF(data_status_reg!$E57="medio",0.5,IF(data_status_reg!$E57="alto",1,"falta riesgo")))</f>
        <v>0</v>
      </c>
      <c r="N11" s="411"/>
      <c r="O11" s="441"/>
      <c r="P11" s="413">
        <f>IF(data_status_reg!$E73="bajo",0,IF(data_status_reg!$E73="medio",0.5,IF(data_status_reg!$E73="alto",1,"falta riesgo")))</f>
        <v>0</v>
      </c>
      <c r="Q11" s="429"/>
      <c r="R11" s="3"/>
    </row>
    <row r="12" spans="1:21" ht="21">
      <c r="A12" s="419"/>
      <c r="B12" s="438" t="s">
        <v>29</v>
      </c>
      <c r="C12" s="428"/>
      <c r="D12" s="413">
        <f>IF(data_status_reg!$E10="bajo",0,IF(data_status_reg!$E10="medio",0.5,IF(data_status_reg!$E10="alto",1,"falta riesgo")))</f>
        <v>0</v>
      </c>
      <c r="E12" s="414"/>
      <c r="F12" s="414"/>
      <c r="G12" s="413">
        <f>IF(data_status_reg!$E26="bajo",0,IF(data_status_reg!$E26="medio",0.5,IF(data_status_reg!$E26="alto",1,"falta riesgo")))</f>
        <v>0</v>
      </c>
      <c r="H12" s="414"/>
      <c r="I12" s="415"/>
      <c r="J12" s="413">
        <f>IF(data_status_reg!$E42="bajo",0,IF(data_status_reg!$E42="medio",0.5,IF(data_status_reg!$E42="alto",1,"falta riesgo")))</f>
        <v>0</v>
      </c>
      <c r="K12" s="415"/>
      <c r="L12" s="415"/>
      <c r="M12" s="413">
        <f>IF(data_status_reg!$E58="bajo",0,IF(data_status_reg!$E58="medio",0.5,IF(data_status_reg!$E58="alto",1,"falta riesgo")))</f>
        <v>0</v>
      </c>
      <c r="N12" s="412"/>
      <c r="O12" s="442"/>
      <c r="P12" s="413">
        <f>IF(data_status_reg!$E74="bajo",0,IF(data_status_reg!$E74="medio",0.5,IF(data_status_reg!$E74="alto",1,"falta riesgo")))</f>
        <v>0</v>
      </c>
      <c r="Q12" s="429"/>
      <c r="R12" s="3"/>
    </row>
    <row r="13" spans="1:21" ht="21">
      <c r="A13" s="419"/>
      <c r="B13" s="438" t="s">
        <v>30</v>
      </c>
      <c r="C13" s="428"/>
      <c r="D13" s="413">
        <f>IF(data_status_reg!$E11="bajo",0,IF(data_status_reg!$E11="medio",0.5,IF(data_status_reg!$E11="alto",1,"falta riesgo")))</f>
        <v>0</v>
      </c>
      <c r="E13" s="414"/>
      <c r="F13" s="414"/>
      <c r="G13" s="413">
        <f>IF(data_status_reg!$E27="bajo",0,IF(data_status_reg!$E27="medio",0.5,IF(data_status_reg!$E27="alto",1,"falta riesgo")))</f>
        <v>0</v>
      </c>
      <c r="H13" s="414"/>
      <c r="I13" s="414"/>
      <c r="J13" s="413">
        <f>IF(data_status_reg!$E43="bajo",0,IF(data_status_reg!$E43="medio",0.5,IF(data_status_reg!$E43="alto",1,"falta riesgo")))</f>
        <v>0</v>
      </c>
      <c r="K13" s="414"/>
      <c r="L13" s="414"/>
      <c r="M13" s="413">
        <f>IF(data_status_reg!$E59="bajo",0,IF(data_status_reg!$E59="medio",0.5,IF(data_status_reg!$E59="alto",1,"falta riesgo")))</f>
        <v>0</v>
      </c>
      <c r="N13" s="411"/>
      <c r="O13" s="441"/>
      <c r="P13" s="413">
        <f>IF(data_status_reg!$E75="bajo",0,IF(data_status_reg!$E75="medio",0.5,IF(data_status_reg!$E75="alto",1,"falta riesgo")))</f>
        <v>0</v>
      </c>
      <c r="Q13" s="429"/>
      <c r="R13" s="3"/>
      <c r="U13" s="16"/>
    </row>
    <row r="14" spans="1:21" ht="21">
      <c r="A14" s="419"/>
      <c r="B14" s="438" t="s">
        <v>31</v>
      </c>
      <c r="C14" s="428"/>
      <c r="D14" s="413">
        <f>IF(data_status_reg!$E12="bajo",0,IF(data_status_reg!$E12="medio",0.5,IF(data_status_reg!$E12="alto",1,"falta riesgo")))</f>
        <v>0</v>
      </c>
      <c r="E14" s="414"/>
      <c r="F14" s="414"/>
      <c r="G14" s="413">
        <f>IF(data_status_reg!$E28="bajo",0,IF(data_status_reg!$E28="medio",0.5,IF(data_status_reg!$E28="alto",1,"falta riesgo")))</f>
        <v>0</v>
      </c>
      <c r="H14" s="414"/>
      <c r="I14" s="414"/>
      <c r="J14" s="413">
        <f>IF(data_status_reg!$E44="bajo",0,IF(data_status_reg!$E44="medio",0.5,IF(data_status_reg!$E44="alto",1,"falta riesgo")))</f>
        <v>0</v>
      </c>
      <c r="K14" s="414"/>
      <c r="L14" s="414"/>
      <c r="M14" s="413">
        <f>IF(data_status_reg!$E60="bajo",0,IF(data_status_reg!$E60="medio",0.5,IF(data_status_reg!$E60="alto",1,"falta riesgo")))</f>
        <v>0</v>
      </c>
      <c r="N14" s="411"/>
      <c r="O14" s="441"/>
      <c r="P14" s="413">
        <f>IF(data_status_reg!$E76="bajo",0,IF(data_status_reg!$E76="medio",0.5,IF(data_status_reg!$E76="alto",1,"falta riesgo")))</f>
        <v>0</v>
      </c>
      <c r="Q14" s="429"/>
      <c r="R14" s="3"/>
    </row>
    <row r="15" spans="1:21" ht="21">
      <c r="A15" s="419"/>
      <c r="B15" s="438" t="s">
        <v>32</v>
      </c>
      <c r="C15" s="428"/>
      <c r="D15" s="413">
        <f>IF(data_status_reg!$E13="bajo",0,IF(data_status_reg!$E13="medio",0.5,IF(data_status_reg!$E13="alto",1,"falta riesgo")))</f>
        <v>0</v>
      </c>
      <c r="E15" s="414"/>
      <c r="F15" s="414"/>
      <c r="G15" s="413">
        <f>IF(data_status_reg!$E29="bajo",0,IF(data_status_reg!$E29="medio",0.5,IF(data_status_reg!$E29="alto",1,"falta riesgo")))</f>
        <v>0</v>
      </c>
      <c r="H15" s="414"/>
      <c r="I15" s="415"/>
      <c r="J15" s="413">
        <f>IF(data_status_reg!$E45="bajo",0,IF(data_status_reg!$E45="medio",0.5,IF(data_status_reg!$E45="alto",1,"falta riesgo")))</f>
        <v>0</v>
      </c>
      <c r="K15" s="415"/>
      <c r="L15" s="415"/>
      <c r="M15" s="413">
        <f>IF(data_status_reg!$E61="bajo",0,IF(data_status_reg!$E61="medio",0.5,IF(data_status_reg!$E61="alto",1,"falta riesgo")))</f>
        <v>0</v>
      </c>
      <c r="N15" s="412"/>
      <c r="O15" s="442"/>
      <c r="P15" s="413">
        <f>IF(data_status_reg!$E77="bajo",0,IF(data_status_reg!$E77="medio",0.5,IF(data_status_reg!$E77="alto",1,"falta riesgo")))</f>
        <v>0</v>
      </c>
      <c r="Q15" s="429"/>
      <c r="R15" s="3"/>
    </row>
    <row r="16" spans="1:21" ht="21">
      <c r="A16" s="419"/>
      <c r="B16" s="438" t="s">
        <v>33</v>
      </c>
      <c r="C16" s="428"/>
      <c r="D16" s="413">
        <f>IF(data_status_reg!$E14="bajo",0,IF(data_status_reg!$E14="medio",0.5,IF(data_status_reg!$E14="alto",1,"falta riesgo")))</f>
        <v>0</v>
      </c>
      <c r="E16" s="414"/>
      <c r="F16" s="414"/>
      <c r="G16" s="413">
        <f>IF(data_status_reg!$E30="bajo",0,IF(data_status_reg!$E30="medio",0.5,IF(data_status_reg!$E30="alto",1,"falta riesgo")))</f>
        <v>0</v>
      </c>
      <c r="H16" s="414"/>
      <c r="I16" s="414"/>
      <c r="J16" s="413">
        <f>IF(data_status_reg!$E46="bajo",0,IF(data_status_reg!$E46="medio",0.5,IF(data_status_reg!$E46="alto",1,"falta riesgo")))</f>
        <v>0</v>
      </c>
      <c r="K16" s="414"/>
      <c r="L16" s="414"/>
      <c r="M16" s="413">
        <f>IF(data_status_reg!$E62="bajo",0,IF(data_status_reg!$E62="medio",0.5,IF(data_status_reg!$E62="alto",1,"falta riesgo")))</f>
        <v>0</v>
      </c>
      <c r="N16" s="411"/>
      <c r="O16" s="441"/>
      <c r="P16" s="413">
        <f>IF(data_status_reg!$E78="bajo",0,IF(data_status_reg!$E78="medio",0.5,IF(data_status_reg!$E78="alto",1,"falta riesgo")))</f>
        <v>0</v>
      </c>
      <c r="Q16" s="429"/>
      <c r="R16" s="3"/>
    </row>
    <row r="17" spans="1:18" ht="21">
      <c r="A17" s="419"/>
      <c r="B17" s="438" t="s">
        <v>34</v>
      </c>
      <c r="C17" s="428"/>
      <c r="D17" s="413">
        <f>IF(data_status_reg!$E15="bajo",0,IF(data_status_reg!$E15="medio",0.5,IF(data_status_reg!$E15="alto",1,"falta riesgo")))</f>
        <v>0</v>
      </c>
      <c r="E17" s="414"/>
      <c r="F17" s="414"/>
      <c r="G17" s="413">
        <f>IF(data_status_reg!$E31="bajo",0,IF(data_status_reg!$E31="medio",0.5,IF(data_status_reg!$E31="alto",1,"falta riesgo")))</f>
        <v>0</v>
      </c>
      <c r="H17" s="414"/>
      <c r="I17" s="414"/>
      <c r="J17" s="413">
        <f>IF(data_status_reg!$E47="bajo",0,IF(data_status_reg!$E47="medio",0.5,IF(data_status_reg!$E47="alto",1,"falta riesgo")))</f>
        <v>0</v>
      </c>
      <c r="K17" s="414"/>
      <c r="L17" s="414"/>
      <c r="M17" s="413">
        <f>IF(data_status_reg!$E63="bajo",0,IF(data_status_reg!$E63="medio",0.5,IF(data_status_reg!$E63="alto",1,"falta riesgo")))</f>
        <v>0</v>
      </c>
      <c r="N17" s="411"/>
      <c r="O17" s="441"/>
      <c r="P17" s="413">
        <f>IF(data_status_reg!$E79="bajo",0,IF(data_status_reg!$E79="medio",0.5,IF(data_status_reg!$E79="alto",1,"falta riesgo")))</f>
        <v>0</v>
      </c>
      <c r="Q17" s="429"/>
      <c r="R17" s="3"/>
    </row>
    <row r="18" spans="1:18" ht="21">
      <c r="A18" s="419"/>
      <c r="B18" s="438" t="s">
        <v>35</v>
      </c>
      <c r="C18" s="428"/>
      <c r="D18" s="413">
        <f>IF(data_status_reg!$E16="bajo",0,IF(data_status_reg!$E16="medio",0.5,IF(data_status_reg!$E16="alto",1,"falta riesgo")))</f>
        <v>0</v>
      </c>
      <c r="E18" s="414"/>
      <c r="F18" s="414"/>
      <c r="G18" s="444" t="s">
        <v>93</v>
      </c>
      <c r="H18" s="414"/>
      <c r="I18" s="414"/>
      <c r="J18" s="413">
        <f>IF(data_status_reg!$E48="bajo",0,IF(data_status_reg!$E48="medio",0.5,IF(data_status_reg!$E48="alto",1,"falta riesgo")))</f>
        <v>0</v>
      </c>
      <c r="K18" s="414"/>
      <c r="M18" s="413">
        <f>IF(data_status_reg!$E64="bajo",0,IF(data_status_reg!$E64="medio",0.5,IF(data_status_reg!$E64="alto",1,"falta riesgo")))</f>
        <v>0</v>
      </c>
      <c r="N18" s="412"/>
      <c r="O18" s="442"/>
      <c r="P18" s="413">
        <f>IF(data_status_reg!$E80="bajo",0,IF(data_status_reg!$E80="medio",0.5,IF(data_status_reg!$E80="alto",1,"falta riesgo")))</f>
        <v>0</v>
      </c>
      <c r="Q18" s="429"/>
      <c r="R18" s="3"/>
    </row>
    <row r="19" spans="1:18" ht="21">
      <c r="A19" s="419"/>
      <c r="B19" s="438" t="s">
        <v>36</v>
      </c>
      <c r="C19" s="428"/>
      <c r="D19" s="413">
        <f>IF(data_status_reg!$E17="bajo",0,IF(data_status_reg!$E17="medio",0.5,IF(data_status_reg!$E17="alto",1,"falta riesgo")))</f>
        <v>0</v>
      </c>
      <c r="E19" s="414"/>
      <c r="F19" s="414"/>
      <c r="G19" s="413">
        <f>IF(data_status_reg!$E33="bajo",0,IF(data_status_reg!$E33="medio",0.5,IF(data_status_reg!$E33="alto",1,"falta riesgo")))</f>
        <v>0</v>
      </c>
      <c r="H19" s="414"/>
      <c r="I19" s="414"/>
      <c r="J19" s="413">
        <f>IF(data_status_reg!$E49="bajo",0,IF(data_status_reg!$E49="medio",0.5,IF(data_status_reg!$E49="alto",1,"falta riesgo")))</f>
        <v>0</v>
      </c>
      <c r="K19" s="414"/>
      <c r="L19" s="414"/>
      <c r="M19" s="413">
        <f>IF(data_status_reg!$E65="bajo",0,IF(data_status_reg!$E65="medio",0.5,IF(data_status_reg!$E65="alto",1,"falta riesgo")))</f>
        <v>0</v>
      </c>
      <c r="N19" s="411"/>
      <c r="O19" s="441"/>
      <c r="P19" s="413">
        <f>IF(data_status_reg!$E81="bajo",0,IF(data_status_reg!$E81="medio",0.5,IF(data_status_reg!$E81="alto",1,"falta riesgo")))</f>
        <v>0</v>
      </c>
      <c r="Q19" s="429"/>
      <c r="R19" s="3"/>
    </row>
    <row r="20" spans="1:18" ht="21">
      <c r="A20" s="419"/>
      <c r="B20" s="438" t="s">
        <v>37</v>
      </c>
      <c r="C20" s="428"/>
      <c r="D20" s="413">
        <f>IF(data_status_reg!$E18="bajo",0,IF(data_status_reg!$E18="medio",0.5,IF(data_status_reg!$E18="alto",1,"falta riesgo")))</f>
        <v>0</v>
      </c>
      <c r="E20" s="414"/>
      <c r="F20" s="414"/>
      <c r="G20" s="413">
        <f>IF(data_status_reg!$E34="bajo",0,IF(data_status_reg!$E34="medio",0.5,IF(data_status_reg!$E34="alto",1,"falta riesgo")))</f>
        <v>0</v>
      </c>
      <c r="H20" s="414"/>
      <c r="I20" s="414"/>
      <c r="J20" s="413">
        <f>IF(data_status_reg!$E50="bajo",0,IF(data_status_reg!$E50="medio",0.5,IF(data_status_reg!$E50="alto",1,"falta riesgo")))</f>
        <v>0</v>
      </c>
      <c r="K20" s="414"/>
      <c r="L20" s="414"/>
      <c r="M20" s="413">
        <f>IF(data_status_reg!$E66="bajo",0,IF(data_status_reg!$E66="medio",0.5,IF(data_status_reg!$E66="alto",1,"falta riesgo")))</f>
        <v>0</v>
      </c>
      <c r="N20" s="411"/>
      <c r="O20" s="441"/>
      <c r="P20" s="413">
        <f>IF(data_status_reg!$E82="bajo",0,IF(data_status_reg!$E82="medio",0.5,IF(data_status_reg!$E82="alto",1,"falta riesgo")))</f>
        <v>0</v>
      </c>
      <c r="Q20" s="429"/>
      <c r="R20" s="3"/>
    </row>
    <row r="21" spans="1:18" ht="21.75" thickBot="1">
      <c r="A21" s="419"/>
      <c r="B21" s="439" t="s">
        <v>38</v>
      </c>
      <c r="C21" s="430"/>
      <c r="D21" s="431">
        <f>IF(data_status_reg!$E19="bajo",0,IF(data_status_reg!$E19="medio",0.5,IF(data_status_reg!$E19="alto",1,"falta riesgo")))</f>
        <v>0</v>
      </c>
      <c r="E21" s="432"/>
      <c r="F21" s="432"/>
      <c r="G21" s="445" t="s">
        <v>93</v>
      </c>
      <c r="H21" s="432"/>
      <c r="I21" s="432"/>
      <c r="J21" s="431">
        <f>IF(data_status_reg!$E51="bajo",0,IF(data_status_reg!$E51="medio",0.5,IF(data_status_reg!$E51="alto",1,"falta riesgo")))</f>
        <v>0</v>
      </c>
      <c r="K21" s="432"/>
      <c r="L21" s="433"/>
      <c r="M21" s="434">
        <f>IF(data_status_reg!$E67="bajo",0,IF(data_status_reg!$E67="medio",0.5,IF(data_status_reg!$E67="alto",1,"falta riesgo")))</f>
        <v>0</v>
      </c>
      <c r="N21" s="435"/>
      <c r="O21" s="443"/>
      <c r="P21" s="431">
        <f>IF(data_status_reg!$E83="bajo",0,IF(data_status_reg!$E83="medio",0.5,IF(data_status_reg!$E83="alto",1,"falta riesgo")))</f>
        <v>0</v>
      </c>
      <c r="Q21" s="436"/>
      <c r="R21" s="3"/>
    </row>
    <row r="22" spans="1:18">
      <c r="A22" s="41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21"/>
      <c r="B23" s="422"/>
      <c r="C23" s="422"/>
      <c r="D23" s="422"/>
      <c r="E23" s="422"/>
      <c r="F23" s="422"/>
      <c r="G23" s="422"/>
      <c r="H23" s="422"/>
      <c r="I23" s="422"/>
      <c r="J23" s="422"/>
      <c r="K23" s="422"/>
      <c r="L23" s="422"/>
      <c r="M23" s="422"/>
      <c r="N23" s="422"/>
      <c r="O23" s="422"/>
      <c r="P23" s="422"/>
      <c r="Q23" s="422"/>
      <c r="R23" s="422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>
        <f>IF(J5="bajo",0,IF(J5="medio",0.5,IF(J5="alto",1,"falta riesgo")))</f>
        <v>0</v>
      </c>
      <c r="E3" s="4"/>
      <c r="I3" t="s">
        <v>225</v>
      </c>
      <c r="J3" s="6" t="s">
        <v>13</v>
      </c>
    </row>
    <row r="4" spans="1:10" ht="18" customHeight="1">
      <c r="A4" s="15"/>
      <c r="B4" s="15"/>
      <c r="C4" s="44" t="s">
        <v>44</v>
      </c>
      <c r="D4" s="5">
        <f t="shared" ref="D4" si="0">IF(J4="bajo",0,IF(J4="medio",0.5,IF(J4="alto",1,"falta riesgo")))</f>
        <v>0</v>
      </c>
      <c r="E4" s="4"/>
      <c r="I4" t="s">
        <v>226</v>
      </c>
      <c r="J4" s="6" t="s">
        <v>13</v>
      </c>
    </row>
    <row r="5" spans="1:10" ht="18" customHeight="1">
      <c r="A5" s="15"/>
      <c r="B5" s="15"/>
      <c r="C5" s="44" t="s">
        <v>42</v>
      </c>
      <c r="D5" s="5">
        <f>IF(J3="bajo",0,IF(J3="medio",0.5,IF(J3="alto",1,"falta riesgo")))</f>
        <v>0</v>
      </c>
      <c r="E5" s="4"/>
      <c r="I5" t="s">
        <v>227</v>
      </c>
      <c r="J5" s="6" t="s">
        <v>13</v>
      </c>
    </row>
    <row r="6" spans="1:10" ht="18" customHeight="1">
      <c r="A6" s="15"/>
      <c r="B6" s="15"/>
      <c r="C6" s="44"/>
      <c r="D6" s="5"/>
      <c r="E6" s="4"/>
      <c r="I6" t="s">
        <v>225</v>
      </c>
      <c r="J6" s="6" t="s">
        <v>13</v>
      </c>
    </row>
    <row r="7" spans="1:10" ht="18" customHeight="1">
      <c r="A7" s="15" t="s">
        <v>46</v>
      </c>
      <c r="B7" s="15"/>
      <c r="C7" s="44" t="s">
        <v>47</v>
      </c>
      <c r="D7" s="5">
        <f>IF(J9="bajo",0,IF(J9="medio",0.5,IF(J9="alto",1,"falta riesgo")))</f>
        <v>0</v>
      </c>
      <c r="E7" s="4"/>
      <c r="I7" t="s">
        <v>226</v>
      </c>
      <c r="J7" s="6" t="s">
        <v>13</v>
      </c>
    </row>
    <row r="8" spans="1:10" ht="18" customHeight="1">
      <c r="A8" s="15"/>
      <c r="B8" s="15"/>
      <c r="C8" s="44" t="s">
        <v>48</v>
      </c>
      <c r="D8" s="5">
        <f>IF(J14="bajo",0,IF(J14="medio",0.5,IF(J14="alto",1,"falta riesgo")))</f>
        <v>0</v>
      </c>
      <c r="E8" s="4"/>
      <c r="I8" t="s">
        <v>227</v>
      </c>
      <c r="J8" s="6" t="s">
        <v>13</v>
      </c>
    </row>
    <row r="9" spans="1:10" ht="18" customHeight="1">
      <c r="A9" s="15"/>
      <c r="B9" s="15"/>
      <c r="C9" s="44" t="s">
        <v>49</v>
      </c>
      <c r="D9" s="5">
        <f>IF(J15="bajo",0,IF(J15="medio",0.5,IF(J15="alto",1,"falta riesgo")))</f>
        <v>0</v>
      </c>
      <c r="E9" s="4"/>
      <c r="I9" t="s">
        <v>228</v>
      </c>
      <c r="J9" s="6" t="s">
        <v>13</v>
      </c>
    </row>
    <row r="10" spans="1:10" ht="18" customHeight="1">
      <c r="A10" s="15"/>
      <c r="B10" s="15"/>
      <c r="C10" s="44" t="s">
        <v>50</v>
      </c>
      <c r="D10" s="5">
        <f>IF(J10="bajo",0,IF(J10="medio",0.5,IF(J10="alto",1,"falta riesgo")))</f>
        <v>0</v>
      </c>
      <c r="E10" s="4"/>
      <c r="I10" t="s">
        <v>229</v>
      </c>
      <c r="J10" s="6" t="s">
        <v>13</v>
      </c>
    </row>
    <row r="11" spans="1:10" ht="18" customHeight="1">
      <c r="A11" s="15"/>
      <c r="B11" s="15"/>
      <c r="C11" s="44" t="s">
        <v>51</v>
      </c>
      <c r="D11" s="5">
        <f>IF(J12="bajo",0,IF(J12="medio",0.5,IF(J12="alto",1,"falta riesgo")))</f>
        <v>0</v>
      </c>
      <c r="E11" s="4"/>
      <c r="I11" t="s">
        <v>230</v>
      </c>
      <c r="J11" s="6" t="s">
        <v>13</v>
      </c>
    </row>
    <row r="12" spans="1:10" ht="18" customHeight="1">
      <c r="A12" s="15"/>
      <c r="B12" s="15"/>
      <c r="C12" s="44" t="s">
        <v>52</v>
      </c>
      <c r="D12" s="5">
        <f>IF(J13="bajo",0,IF(J13="medio",0.5,IF(J13="alto",1,"falta riesgo")))</f>
        <v>0</v>
      </c>
      <c r="E12" s="4"/>
      <c r="I12" t="s">
        <v>231</v>
      </c>
      <c r="J12" s="6" t="s">
        <v>13</v>
      </c>
    </row>
    <row r="13" spans="1:10" ht="18" customHeight="1">
      <c r="A13" s="15"/>
      <c r="B13" s="15"/>
      <c r="C13" s="44" t="s">
        <v>45</v>
      </c>
      <c r="D13" s="5">
        <f>IF(J11="bajo",0,IF(J11="medio",0.5,IF(J11="alto",1,"falta riesgo")))</f>
        <v>0</v>
      </c>
      <c r="E13" s="4"/>
      <c r="I13" t="s">
        <v>232</v>
      </c>
      <c r="J13" s="6" t="s">
        <v>13</v>
      </c>
    </row>
    <row r="14" spans="1:10" ht="18" customHeight="1">
      <c r="A14" s="15"/>
      <c r="B14" s="15"/>
      <c r="C14" s="44"/>
      <c r="D14" s="5"/>
      <c r="E14" s="4"/>
      <c r="I14" t="s">
        <v>233</v>
      </c>
      <c r="J14" s="6" t="s">
        <v>13</v>
      </c>
    </row>
    <row r="15" spans="1:10" ht="18" customHeight="1">
      <c r="A15" s="15" t="s">
        <v>18</v>
      </c>
      <c r="B15" s="15"/>
      <c r="C15" s="44" t="s">
        <v>54</v>
      </c>
      <c r="D15" s="5">
        <f>IF(J18="bajo",0,IF(J18="medio",0.5,IF(J18="alto",1,"falta riesgo")))</f>
        <v>0</v>
      </c>
      <c r="E15" s="4"/>
      <c r="I15" t="s">
        <v>234</v>
      </c>
      <c r="J15" s="6" t="s">
        <v>13</v>
      </c>
    </row>
    <row r="16" spans="1:10" ht="18" customHeight="1">
      <c r="A16" s="15"/>
      <c r="B16" s="15"/>
      <c r="C16" s="44" t="s">
        <v>55</v>
      </c>
      <c r="D16" s="5">
        <f>IF(J17="bajo",0,IF(J17="medio",0.5,IF(J17="alto",1,"falta riesgo")))</f>
        <v>0</v>
      </c>
      <c r="E16" s="4"/>
      <c r="I16" t="s">
        <v>235</v>
      </c>
      <c r="J16" s="6" t="s">
        <v>13</v>
      </c>
    </row>
    <row r="17" spans="1:10" ht="18" customHeight="1">
      <c r="A17" s="15"/>
      <c r="B17" s="15"/>
      <c r="C17" s="44" t="s">
        <v>56</v>
      </c>
      <c r="D17" s="5">
        <f>IF(J19="bajo",0,IF(J19="medio",0.5,IF(J19="alto",1,"falta riesgo")))</f>
        <v>0</v>
      </c>
      <c r="E17" s="4"/>
      <c r="I17" t="s">
        <v>236</v>
      </c>
      <c r="J17" s="6" t="s">
        <v>13</v>
      </c>
    </row>
    <row r="18" spans="1:10" ht="21">
      <c r="A18" s="15"/>
      <c r="B18" s="15"/>
      <c r="C18" s="44" t="s">
        <v>57</v>
      </c>
      <c r="D18" s="5">
        <f>IF(J16="bajo",0,IF(J16="medio",0.5,IF(J16="alto",1,"falta riesgo")))</f>
        <v>0</v>
      </c>
      <c r="E18" s="4"/>
      <c r="I18" t="s">
        <v>237</v>
      </c>
      <c r="J18" s="6" t="s">
        <v>13</v>
      </c>
    </row>
    <row r="19" spans="1:10" ht="18" customHeight="1">
      <c r="A19" s="15"/>
      <c r="B19" s="15"/>
      <c r="C19" s="44"/>
      <c r="D19" s="5"/>
      <c r="E19" s="4"/>
      <c r="I19" t="s">
        <v>238</v>
      </c>
      <c r="J19" s="6" t="s">
        <v>13</v>
      </c>
    </row>
    <row r="20" spans="1:10" ht="18" customHeight="1">
      <c r="A20" s="15" t="s">
        <v>19</v>
      </c>
      <c r="B20" s="15"/>
      <c r="C20" s="44" t="s">
        <v>58</v>
      </c>
      <c r="D20" s="5">
        <f>IF(J22="bajo",0,IF(J22="medio",0.5,IF(J22="alto",1,"falta riesgo")))</f>
        <v>0</v>
      </c>
      <c r="E20" s="4"/>
      <c r="I20" t="s">
        <v>239</v>
      </c>
      <c r="J20" s="6" t="s">
        <v>13</v>
      </c>
    </row>
    <row r="21" spans="1:10" ht="18" customHeight="1">
      <c r="A21" s="15"/>
      <c r="B21" s="15"/>
      <c r="C21" s="44" t="s">
        <v>59</v>
      </c>
      <c r="D21" s="5">
        <f>IF(J24="bajo",0,IF(J24="medio",0.5,IF(J24="alto",1,"falta riesgo")))</f>
        <v>0</v>
      </c>
      <c r="E21" s="4"/>
      <c r="I21" t="s">
        <v>240</v>
      </c>
      <c r="J21" s="6" t="s">
        <v>13</v>
      </c>
    </row>
    <row r="22" spans="1:10" ht="18" customHeight="1">
      <c r="A22" s="15"/>
      <c r="B22" s="15"/>
      <c r="C22" s="44" t="s">
        <v>60</v>
      </c>
      <c r="D22" s="5">
        <f>IF(J23="bajo",0,IF(J23="medio",0.5,IF(J23="alto",1,"falta riesgo")))</f>
        <v>0</v>
      </c>
      <c r="E22" s="4"/>
      <c r="I22" t="s">
        <v>241</v>
      </c>
      <c r="J22" s="6" t="s">
        <v>13</v>
      </c>
    </row>
    <row r="23" spans="1:10" ht="18" customHeight="1">
      <c r="A23" s="15"/>
      <c r="B23" s="15"/>
      <c r="C23" s="44" t="s">
        <v>61</v>
      </c>
      <c r="D23" s="5">
        <f>IF(J21="bajo",0,IF(J21="medio",0.5,IF(J21="alto",1,"falta riesgo")))</f>
        <v>0</v>
      </c>
      <c r="E23" s="4"/>
      <c r="I23" t="s">
        <v>242</v>
      </c>
      <c r="J23" s="6" t="s">
        <v>13</v>
      </c>
    </row>
    <row r="24" spans="1:10" ht="18" customHeight="1">
      <c r="A24" s="15"/>
      <c r="B24" s="15"/>
      <c r="C24" s="44" t="s">
        <v>53</v>
      </c>
      <c r="D24" s="5">
        <f>IF(J20="bajo",0,IF(J20="medio",0.5,IF(J20="alto",1,"falta riesgo")))</f>
        <v>0</v>
      </c>
      <c r="E24" s="4"/>
      <c r="I24" t="s">
        <v>243</v>
      </c>
      <c r="J24" s="6" t="s">
        <v>13</v>
      </c>
    </row>
    <row r="25" spans="1:10" ht="18" customHeight="1">
      <c r="A25" s="15"/>
      <c r="B25" s="15"/>
      <c r="C25" s="44"/>
      <c r="D25" s="5"/>
      <c r="E25" s="4"/>
      <c r="I25" t="s">
        <v>244</v>
      </c>
      <c r="J25" s="6" t="s">
        <v>13</v>
      </c>
    </row>
    <row r="26" spans="1:10" ht="18" customHeight="1">
      <c r="A26" s="15" t="s">
        <v>17</v>
      </c>
      <c r="B26" s="15"/>
      <c r="C26" s="44" t="s">
        <v>62</v>
      </c>
      <c r="D26" s="5">
        <f>IF(J27="bajo",0,IF(J27="medio",0.5,IF(J27="alto",1,"falta riesgo")))</f>
        <v>0</v>
      </c>
      <c r="E26" s="4"/>
      <c r="I26" t="s">
        <v>245</v>
      </c>
      <c r="J26" s="6" t="s">
        <v>13</v>
      </c>
    </row>
    <row r="27" spans="1:10" ht="22.5" customHeight="1">
      <c r="A27" s="15"/>
      <c r="B27" s="15"/>
      <c r="C27" s="44" t="s">
        <v>63</v>
      </c>
      <c r="D27" s="5">
        <f>IF(J26="bajo",0,IF(J26="medio",0.5,IF(J26="alto",1,"falta riesgo")))</f>
        <v>0</v>
      </c>
      <c r="E27" s="4"/>
      <c r="I27" t="s">
        <v>246</v>
      </c>
      <c r="J27" s="6" t="s">
        <v>13</v>
      </c>
    </row>
    <row r="28" spans="1:10" ht="18" customHeight="1">
      <c r="A28" s="15"/>
      <c r="B28" s="15"/>
      <c r="C28" s="44" t="s">
        <v>64</v>
      </c>
      <c r="D28" s="5">
        <f>IF(J25="bajo",0,IF(J25="medio",0.5,IF(J25="alto",1,"falta riesgo")))</f>
        <v>0</v>
      </c>
      <c r="E28" s="4"/>
      <c r="I28" t="s">
        <v>247</v>
      </c>
      <c r="J28" s="6" t="s">
        <v>13</v>
      </c>
    </row>
    <row r="29" spans="1:10" ht="18" customHeight="1">
      <c r="A29" s="15"/>
      <c r="B29" s="15"/>
      <c r="C29" s="44" t="s">
        <v>65</v>
      </c>
      <c r="D29" s="5">
        <f>IF(J30="bajo",0,IF(J30="medio",0.5,IF(J30="alto",1,"falta riesgo")))</f>
        <v>0</v>
      </c>
      <c r="E29" s="4"/>
      <c r="I29" t="s">
        <v>248</v>
      </c>
      <c r="J29" s="6" t="s">
        <v>13</v>
      </c>
    </row>
    <row r="30" spans="1:10" ht="18" customHeight="1">
      <c r="A30" s="15"/>
      <c r="B30" s="15"/>
      <c r="C30" s="44" t="s">
        <v>66</v>
      </c>
      <c r="D30" s="5">
        <f>IF(J31="bajo",0,IF(J31="medio",0.5,IF(J31="alto",1,"falta riesgo")))</f>
        <v>0</v>
      </c>
      <c r="E30" s="4"/>
      <c r="I30" t="s">
        <v>249</v>
      </c>
      <c r="J30" s="6" t="s">
        <v>13</v>
      </c>
    </row>
    <row r="31" spans="1:10" ht="18" customHeight="1">
      <c r="A31" s="15"/>
      <c r="B31" s="15"/>
      <c r="C31" s="44" t="s">
        <v>67</v>
      </c>
      <c r="D31" s="5">
        <f>IF(J32="bajo",0,IF(J32="medio",0.5,IF(J32="alto",1,"falta riesgo")))</f>
        <v>0</v>
      </c>
      <c r="E31" s="4"/>
      <c r="I31" t="s">
        <v>250</v>
      </c>
      <c r="J31" s="6" t="s">
        <v>13</v>
      </c>
    </row>
    <row r="32" spans="1:10" ht="18" customHeight="1">
      <c r="A32" s="15"/>
      <c r="B32" s="15"/>
      <c r="C32" s="44" t="s">
        <v>68</v>
      </c>
      <c r="D32" s="5">
        <f>IF(J28="bajo",0,IF(J28="medio",0.5,IF(J28="alto",1,"falta riesgo")))</f>
        <v>0</v>
      </c>
      <c r="E32" s="4"/>
      <c r="I32" t="s">
        <v>251</v>
      </c>
      <c r="J32" s="6" t="s">
        <v>13</v>
      </c>
    </row>
    <row r="33" spans="1:10" ht="18" customHeight="1">
      <c r="A33" s="15"/>
      <c r="B33" s="15"/>
      <c r="C33" s="44" t="s">
        <v>69</v>
      </c>
      <c r="D33" s="5">
        <f>IF(J29="bajo",0,IF(J29="medio",0.5,IF(J29="alto",1,"falta riesgo")))</f>
        <v>0</v>
      </c>
      <c r="E33" s="4"/>
      <c r="I33" t="s">
        <v>252</v>
      </c>
      <c r="J33" s="6" t="s">
        <v>13</v>
      </c>
    </row>
    <row r="34" spans="1:10" ht="18" customHeight="1">
      <c r="A34" s="15"/>
      <c r="B34" s="15"/>
      <c r="C34" s="44"/>
      <c r="D34" s="5"/>
      <c r="E34" s="4"/>
      <c r="I34" t="s">
        <v>253</v>
      </c>
      <c r="J34" s="6" t="s">
        <v>13</v>
      </c>
    </row>
    <row r="35" spans="1:10" ht="18" customHeight="1">
      <c r="A35" s="15" t="s">
        <v>16</v>
      </c>
      <c r="B35" s="15"/>
      <c r="C35" s="44" t="s">
        <v>70</v>
      </c>
      <c r="D35" s="5">
        <f>IF(J33="bajo",0,IF(J33="medio",0.5,IF(J33="alto",1,"falta riesgo")))</f>
        <v>0</v>
      </c>
      <c r="E35" s="4"/>
      <c r="I35" t="s">
        <v>254</v>
      </c>
      <c r="J35" s="6" t="s">
        <v>13</v>
      </c>
    </row>
    <row r="36" spans="1:10" ht="18" customHeight="1">
      <c r="A36" s="15"/>
      <c r="B36" s="15"/>
      <c r="C36" s="44" t="s">
        <v>71</v>
      </c>
      <c r="D36" s="5">
        <f>IF(J34="bajo",0,IF(J34="medio",0.5,IF(J34="alto",1,"falta riesgo")))</f>
        <v>0</v>
      </c>
      <c r="E36" s="4"/>
      <c r="I36" t="s">
        <v>255</v>
      </c>
      <c r="J36" s="6" t="s">
        <v>13</v>
      </c>
    </row>
    <row r="37" spans="1:10" ht="18" customHeight="1">
      <c r="A37" s="15"/>
      <c r="B37" s="15"/>
      <c r="C37" s="44" t="s">
        <v>72</v>
      </c>
      <c r="D37" s="5">
        <f>IF(J36="bajo",0,IF(J36="medio",0.5,IF(J36="alto",1,"falta riesgo")))</f>
        <v>0</v>
      </c>
      <c r="E37" s="4"/>
      <c r="I37" t="s">
        <v>256</v>
      </c>
      <c r="J37" s="6" t="s">
        <v>13</v>
      </c>
    </row>
    <row r="38" spans="1:10" ht="18" customHeight="1">
      <c r="A38" s="15"/>
      <c r="B38" s="15"/>
      <c r="C38" s="44" t="s">
        <v>73</v>
      </c>
      <c r="D38" s="5">
        <f>IF(J37="bajo",0,IF(J37="medio",0.5,IF(J37="alto",1,"falta riesgo")))</f>
        <v>0</v>
      </c>
      <c r="E38" s="4"/>
      <c r="I38" t="s">
        <v>257</v>
      </c>
      <c r="J38" s="6" t="s">
        <v>13</v>
      </c>
    </row>
    <row r="39" spans="1:10" ht="18" customHeight="1">
      <c r="A39" s="15"/>
      <c r="B39" s="15"/>
      <c r="C39" s="44" t="s">
        <v>74</v>
      </c>
      <c r="D39" s="5">
        <f>IF(J35="bajo",0,IF(J35="medio",0.5,IF(J35="alto",1,"falta riesgo")))</f>
        <v>0</v>
      </c>
      <c r="E39" s="4"/>
      <c r="I39" t="s">
        <v>258</v>
      </c>
      <c r="J39" s="6" t="s">
        <v>13</v>
      </c>
    </row>
    <row r="40" spans="1:10" ht="18" customHeight="1">
      <c r="A40" s="15"/>
      <c r="B40" s="15"/>
      <c r="C40" s="44"/>
      <c r="D40" s="5"/>
      <c r="E40" s="4"/>
      <c r="I40" t="s">
        <v>259</v>
      </c>
      <c r="J40" s="6" t="s">
        <v>13</v>
      </c>
    </row>
    <row r="41" spans="1:10" ht="18" customHeight="1">
      <c r="A41" s="15" t="s">
        <v>20</v>
      </c>
      <c r="B41" s="15"/>
      <c r="C41" s="44" t="s">
        <v>75</v>
      </c>
      <c r="D41" s="5">
        <f>IF(J38="bajo",0,IF(J38="medio",0.5,IF(J38="alto",1,"falta riesgo")))</f>
        <v>0</v>
      </c>
      <c r="E41" s="4"/>
      <c r="I41" t="s">
        <v>260</v>
      </c>
      <c r="J41" s="6" t="s">
        <v>13</v>
      </c>
    </row>
    <row r="42" spans="1:10" ht="18" customHeight="1">
      <c r="A42" s="15"/>
      <c r="B42" s="15"/>
      <c r="C42" s="44" t="s">
        <v>76</v>
      </c>
      <c r="D42" s="5">
        <f>IF(J39="bajo",0,IF(J39="medio",0.5,IF(J39="alto",1,"falta riesgo")))</f>
        <v>0</v>
      </c>
      <c r="E42" s="4"/>
      <c r="I42" t="s">
        <v>261</v>
      </c>
      <c r="J42" s="6" t="s">
        <v>13</v>
      </c>
    </row>
    <row r="43" spans="1:10" ht="18" customHeight="1">
      <c r="A43" s="15"/>
      <c r="B43" s="15"/>
      <c r="C43" s="44" t="s">
        <v>77</v>
      </c>
      <c r="D43" s="5">
        <f>IF(J40="bajo",0,IF(J40="medio",0.5,IF(J40="alto",1,"falta riesgo")))</f>
        <v>0</v>
      </c>
      <c r="E43" s="4"/>
      <c r="I43" t="s">
        <v>262</v>
      </c>
      <c r="J43" s="6" t="s">
        <v>13</v>
      </c>
    </row>
    <row r="44" spans="1:10" ht="18" customHeight="1">
      <c r="A44" s="15"/>
      <c r="B44" s="15"/>
      <c r="C44" s="44" t="s">
        <v>78</v>
      </c>
      <c r="D44" s="5">
        <f>IF(J41="bajo",0,IF(J41="medio",0.5,IF(J41="alto",1,"falta riesgo")))</f>
        <v>0</v>
      </c>
      <c r="E44" s="4"/>
      <c r="I44" t="s">
        <v>263</v>
      </c>
      <c r="J44" s="6" t="s">
        <v>13</v>
      </c>
    </row>
    <row r="45" spans="1:10" ht="18" customHeight="1">
      <c r="A45" s="15"/>
      <c r="B45" s="15"/>
      <c r="C45" s="44" t="s">
        <v>79</v>
      </c>
      <c r="D45" s="5">
        <f>IF(J43="bajo",0,IF(J43="medio",0.5,IF(J43="alto",1,"falta riesgo")))</f>
        <v>0</v>
      </c>
      <c r="E45" s="4"/>
      <c r="I45" t="s">
        <v>264</v>
      </c>
      <c r="J45" s="6" t="s">
        <v>13</v>
      </c>
    </row>
    <row r="46" spans="1:10" ht="20.25" customHeight="1">
      <c r="A46" s="15"/>
      <c r="B46" s="15"/>
      <c r="C46" s="44" t="s">
        <v>80</v>
      </c>
      <c r="D46" s="5">
        <f>IF(J42="bajo",0,IF(J42="medio",0.5,IF(J42="alto",1,"falta riesgo")))</f>
        <v>0</v>
      </c>
      <c r="E46" s="4"/>
      <c r="I46" t="s">
        <v>265</v>
      </c>
      <c r="J46" s="6" t="s">
        <v>13</v>
      </c>
    </row>
    <row r="47" spans="1:10" ht="18" customHeight="1">
      <c r="A47" s="15"/>
      <c r="B47" s="15"/>
      <c r="C47" s="44"/>
      <c r="D47" s="5"/>
      <c r="E47" s="4"/>
      <c r="I47" t="s">
        <v>266</v>
      </c>
      <c r="J47" s="6" t="s">
        <v>13</v>
      </c>
    </row>
    <row r="48" spans="1:10" ht="18" customHeight="1">
      <c r="A48" s="15" t="s">
        <v>22</v>
      </c>
      <c r="B48" s="15"/>
      <c r="C48" s="44" t="s">
        <v>81</v>
      </c>
      <c r="D48" s="5">
        <f>IF(J49="bajo",0,IF(J49="medio",0.5,IF(J49="alto",1,"falta riesgo")))</f>
        <v>0</v>
      </c>
      <c r="E48" s="4"/>
      <c r="I48" t="s">
        <v>267</v>
      </c>
      <c r="J48" s="6" t="s">
        <v>13</v>
      </c>
    </row>
    <row r="49" spans="1:10" ht="18" customHeight="1">
      <c r="A49" s="15"/>
      <c r="B49" s="15"/>
      <c r="C49" s="44" t="s">
        <v>82</v>
      </c>
      <c r="D49" s="5">
        <f>IF(J44="bajo",0,IF(J44="medio",0.5,IF(J44="alto",1,"falta riesgo")))</f>
        <v>0</v>
      </c>
      <c r="E49" s="4"/>
      <c r="I49" t="s">
        <v>268</v>
      </c>
      <c r="J49" s="6" t="s">
        <v>13</v>
      </c>
    </row>
    <row r="50" spans="1:10" ht="18" customHeight="1">
      <c r="A50" s="15"/>
      <c r="B50" s="15"/>
      <c r="C50" s="44" t="s">
        <v>83</v>
      </c>
      <c r="D50" s="5">
        <f>IF(J46="bajo",0,IF(J46="medio",0.5,IF(J46="alto",1,"falta riesgo")))</f>
        <v>0</v>
      </c>
      <c r="E50" s="4"/>
    </row>
    <row r="51" spans="1:10" ht="18" customHeight="1">
      <c r="A51" s="15"/>
      <c r="B51" s="15"/>
      <c r="C51" s="44" t="s">
        <v>84</v>
      </c>
      <c r="D51" s="5">
        <f>IF(J47="bajo",0,IF(J47="medio",0.5,IF(J47="alto",1,"falta riesgo")))</f>
        <v>0</v>
      </c>
      <c r="E51" s="4"/>
    </row>
    <row r="52" spans="1:10" ht="18" customHeight="1">
      <c r="A52" s="15"/>
      <c r="B52" s="15"/>
      <c r="C52" s="44" t="s">
        <v>85</v>
      </c>
      <c r="D52" s="5">
        <f>IF(J48="bajo",0,IF(J48="medio",0.5,IF(J48="alto",1,"falta riesgo")))</f>
        <v>0</v>
      </c>
      <c r="E52" s="4"/>
    </row>
    <row r="53" spans="1:10" ht="18" customHeight="1">
      <c r="A53" s="15"/>
      <c r="B53" s="15"/>
      <c r="C53" s="44" t="s">
        <v>86</v>
      </c>
      <c r="D53" s="5">
        <f>IF(J45="bajo",0,IF(J45="medio",0.5,IF(J45="alto",1,"falta riesgo")))</f>
        <v>0</v>
      </c>
      <c r="E53" s="4"/>
    </row>
    <row r="54" spans="1:10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10">
      <c r="D55" s="11"/>
    </row>
    <row r="56" spans="1:10">
      <c r="D56" s="11"/>
    </row>
    <row r="57" spans="1:10">
      <c r="D57" s="11"/>
    </row>
    <row r="58" spans="1:10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94</v>
      </c>
      <c r="C3" s="88" t="s">
        <v>39</v>
      </c>
      <c r="D3" s="88" t="s">
        <v>126</v>
      </c>
      <c r="E3" s="88" t="s">
        <v>127</v>
      </c>
    </row>
    <row r="4" spans="2:5">
      <c r="B4" s="2" t="s">
        <v>269</v>
      </c>
      <c r="C4" s="2" t="s">
        <v>274</v>
      </c>
      <c r="D4" s="2" t="s">
        <v>23</v>
      </c>
      <c r="E4" s="89" t="s">
        <v>13</v>
      </c>
    </row>
    <row r="5" spans="2:5">
      <c r="B5" s="2" t="s">
        <v>269</v>
      </c>
      <c r="C5" s="2" t="s">
        <v>275</v>
      </c>
      <c r="D5" s="2" t="s">
        <v>24</v>
      </c>
      <c r="E5" s="89" t="s">
        <v>13</v>
      </c>
    </row>
    <row r="6" spans="2:5">
      <c r="B6" s="2" t="s">
        <v>269</v>
      </c>
      <c r="C6" s="2" t="s">
        <v>276</v>
      </c>
      <c r="D6" s="2" t="s">
        <v>25</v>
      </c>
      <c r="E6" s="89" t="s">
        <v>13</v>
      </c>
    </row>
    <row r="7" spans="2:5">
      <c r="B7" s="2" t="s">
        <v>269</v>
      </c>
      <c r="C7" s="2" t="s">
        <v>277</v>
      </c>
      <c r="D7" s="2" t="s">
        <v>26</v>
      </c>
      <c r="E7" s="89" t="s">
        <v>13</v>
      </c>
    </row>
    <row r="8" spans="2:5">
      <c r="B8" s="2" t="s">
        <v>269</v>
      </c>
      <c r="C8" s="2" t="s">
        <v>278</v>
      </c>
      <c r="D8" s="2" t="s">
        <v>27</v>
      </c>
      <c r="E8" s="89" t="s">
        <v>13</v>
      </c>
    </row>
    <row r="9" spans="2:5">
      <c r="B9" s="2" t="s">
        <v>269</v>
      </c>
      <c r="C9" s="2" t="s">
        <v>279</v>
      </c>
      <c r="D9" s="2" t="s">
        <v>28</v>
      </c>
      <c r="E9" s="89" t="s">
        <v>13</v>
      </c>
    </row>
    <row r="10" spans="2:5">
      <c r="B10" s="2" t="s">
        <v>269</v>
      </c>
      <c r="C10" s="2" t="s">
        <v>280</v>
      </c>
      <c r="D10" s="2" t="s">
        <v>29</v>
      </c>
      <c r="E10" s="89" t="s">
        <v>13</v>
      </c>
    </row>
    <row r="11" spans="2:5">
      <c r="B11" s="2" t="s">
        <v>269</v>
      </c>
      <c r="C11" s="2" t="s">
        <v>281</v>
      </c>
      <c r="D11" s="2" t="s">
        <v>30</v>
      </c>
      <c r="E11" s="89" t="s">
        <v>13</v>
      </c>
    </row>
    <row r="12" spans="2:5">
      <c r="B12" s="2" t="s">
        <v>269</v>
      </c>
      <c r="C12" s="2" t="s">
        <v>282</v>
      </c>
      <c r="D12" s="2" t="s">
        <v>224</v>
      </c>
      <c r="E12" s="89" t="s">
        <v>13</v>
      </c>
    </row>
    <row r="13" spans="2:5">
      <c r="B13" s="2" t="s">
        <v>269</v>
      </c>
      <c r="C13" s="2" t="s">
        <v>283</v>
      </c>
      <c r="D13" s="2" t="s">
        <v>32</v>
      </c>
      <c r="E13" s="89" t="s">
        <v>13</v>
      </c>
    </row>
    <row r="14" spans="2:5">
      <c r="B14" s="2" t="s">
        <v>269</v>
      </c>
      <c r="C14" s="2" t="s">
        <v>284</v>
      </c>
      <c r="D14" s="2" t="s">
        <v>33</v>
      </c>
      <c r="E14" s="89" t="s">
        <v>13</v>
      </c>
    </row>
    <row r="15" spans="2:5">
      <c r="B15" s="2" t="s">
        <v>269</v>
      </c>
      <c r="C15" s="2" t="s">
        <v>285</v>
      </c>
      <c r="D15" s="2" t="s">
        <v>34</v>
      </c>
      <c r="E15" s="89" t="s">
        <v>13</v>
      </c>
    </row>
    <row r="16" spans="2:5">
      <c r="B16" s="2" t="s">
        <v>269</v>
      </c>
      <c r="C16" s="2" t="s">
        <v>286</v>
      </c>
      <c r="D16" s="2" t="s">
        <v>35</v>
      </c>
      <c r="E16" s="89" t="s">
        <v>13</v>
      </c>
    </row>
    <row r="17" spans="2:5">
      <c r="B17" s="2" t="s">
        <v>269</v>
      </c>
      <c r="C17" s="2" t="s">
        <v>287</v>
      </c>
      <c r="D17" s="2" t="s">
        <v>36</v>
      </c>
      <c r="E17" s="89" t="s">
        <v>13</v>
      </c>
    </row>
    <row r="18" spans="2:5">
      <c r="B18" s="2" t="s">
        <v>269</v>
      </c>
      <c r="C18" s="2" t="s">
        <v>288</v>
      </c>
      <c r="D18" s="2" t="s">
        <v>37</v>
      </c>
      <c r="E18" s="89" t="s">
        <v>13</v>
      </c>
    </row>
    <row r="19" spans="2:5">
      <c r="B19" s="2" t="s">
        <v>269</v>
      </c>
      <c r="C19" s="2" t="s">
        <v>289</v>
      </c>
      <c r="D19" s="2" t="s">
        <v>38</v>
      </c>
      <c r="E19" s="89" t="s">
        <v>13</v>
      </c>
    </row>
    <row r="20" spans="2:5">
      <c r="B20" s="90" t="s">
        <v>270</v>
      </c>
      <c r="C20" s="90" t="s">
        <v>290</v>
      </c>
      <c r="D20" s="90" t="s">
        <v>23</v>
      </c>
      <c r="E20" s="89" t="s">
        <v>13</v>
      </c>
    </row>
    <row r="21" spans="2:5">
      <c r="B21" s="90" t="s">
        <v>270</v>
      </c>
      <c r="C21" s="90" t="s">
        <v>291</v>
      </c>
      <c r="D21" s="90" t="s">
        <v>24</v>
      </c>
      <c r="E21" s="89" t="s">
        <v>13</v>
      </c>
    </row>
    <row r="22" spans="2:5">
      <c r="B22" s="90" t="s">
        <v>270</v>
      </c>
      <c r="C22" s="90" t="s">
        <v>292</v>
      </c>
      <c r="D22" s="90" t="s">
        <v>25</v>
      </c>
      <c r="E22" s="89" t="s">
        <v>13</v>
      </c>
    </row>
    <row r="23" spans="2:5">
      <c r="B23" s="90" t="s">
        <v>270</v>
      </c>
      <c r="C23" s="90" t="s">
        <v>293</v>
      </c>
      <c r="D23" s="90" t="s">
        <v>26</v>
      </c>
      <c r="E23" s="89" t="s">
        <v>13</v>
      </c>
    </row>
    <row r="24" spans="2:5">
      <c r="B24" s="90" t="s">
        <v>270</v>
      </c>
      <c r="C24" s="90" t="s">
        <v>294</v>
      </c>
      <c r="D24" s="90" t="s">
        <v>27</v>
      </c>
      <c r="E24" s="89" t="s">
        <v>13</v>
      </c>
    </row>
    <row r="25" spans="2:5">
      <c r="B25" s="90" t="s">
        <v>270</v>
      </c>
      <c r="C25" s="90" t="s">
        <v>295</v>
      </c>
      <c r="D25" s="90" t="s">
        <v>28</v>
      </c>
      <c r="E25" s="89" t="s">
        <v>13</v>
      </c>
    </row>
    <row r="26" spans="2:5">
      <c r="B26" s="90" t="s">
        <v>270</v>
      </c>
      <c r="C26" s="90" t="s">
        <v>296</v>
      </c>
      <c r="D26" s="90" t="s">
        <v>29</v>
      </c>
      <c r="E26" s="89" t="s">
        <v>13</v>
      </c>
    </row>
    <row r="27" spans="2:5">
      <c r="B27" s="90" t="s">
        <v>270</v>
      </c>
      <c r="C27" s="90" t="s">
        <v>297</v>
      </c>
      <c r="D27" s="90" t="s">
        <v>30</v>
      </c>
      <c r="E27" s="89" t="s">
        <v>13</v>
      </c>
    </row>
    <row r="28" spans="2:5">
      <c r="B28" s="90" t="s">
        <v>270</v>
      </c>
      <c r="C28" s="90" t="s">
        <v>298</v>
      </c>
      <c r="D28" s="90" t="s">
        <v>224</v>
      </c>
      <c r="E28" s="89" t="s">
        <v>13</v>
      </c>
    </row>
    <row r="29" spans="2:5">
      <c r="B29" s="90" t="s">
        <v>270</v>
      </c>
      <c r="C29" s="90" t="s">
        <v>299</v>
      </c>
      <c r="D29" s="90" t="s">
        <v>32</v>
      </c>
      <c r="E29" s="89" t="s">
        <v>13</v>
      </c>
    </row>
    <row r="30" spans="2:5">
      <c r="B30" s="90" t="s">
        <v>270</v>
      </c>
      <c r="C30" s="90" t="s">
        <v>300</v>
      </c>
      <c r="D30" s="90" t="s">
        <v>33</v>
      </c>
      <c r="E30" s="89" t="s">
        <v>13</v>
      </c>
    </row>
    <row r="31" spans="2:5">
      <c r="B31" s="90" t="s">
        <v>270</v>
      </c>
      <c r="C31" s="90" t="s">
        <v>301</v>
      </c>
      <c r="D31" s="90" t="s">
        <v>34</v>
      </c>
      <c r="E31" s="89" t="s">
        <v>13</v>
      </c>
    </row>
    <row r="32" spans="2:5">
      <c r="B32" s="90" t="s">
        <v>270</v>
      </c>
      <c r="C32" s="90" t="s">
        <v>302</v>
      </c>
      <c r="D32" s="90" t="s">
        <v>35</v>
      </c>
      <c r="E32" s="89" t="s">
        <v>93</v>
      </c>
    </row>
    <row r="33" spans="2:5">
      <c r="B33" s="90" t="s">
        <v>270</v>
      </c>
      <c r="C33" s="90" t="s">
        <v>303</v>
      </c>
      <c r="D33" s="90" t="s">
        <v>36</v>
      </c>
      <c r="E33" s="89" t="s">
        <v>13</v>
      </c>
    </row>
    <row r="34" spans="2:5">
      <c r="B34" s="90" t="s">
        <v>270</v>
      </c>
      <c r="C34" s="90" t="s">
        <v>304</v>
      </c>
      <c r="D34" s="90" t="s">
        <v>37</v>
      </c>
      <c r="E34" s="89" t="s">
        <v>13</v>
      </c>
    </row>
    <row r="35" spans="2:5">
      <c r="B35" s="90" t="s">
        <v>270</v>
      </c>
      <c r="C35" s="90" t="s">
        <v>305</v>
      </c>
      <c r="D35" s="90" t="s">
        <v>38</v>
      </c>
      <c r="E35" s="89" t="s">
        <v>93</v>
      </c>
    </row>
    <row r="36" spans="2:5">
      <c r="B36" s="87" t="s">
        <v>271</v>
      </c>
      <c r="C36" s="2" t="s">
        <v>306</v>
      </c>
      <c r="D36" s="2" t="s">
        <v>23</v>
      </c>
      <c r="E36" s="89" t="s">
        <v>13</v>
      </c>
    </row>
    <row r="37" spans="2:5">
      <c r="B37" s="87" t="s">
        <v>271</v>
      </c>
      <c r="C37" s="2" t="s">
        <v>307</v>
      </c>
      <c r="D37" s="2" t="s">
        <v>24</v>
      </c>
      <c r="E37" s="89" t="s">
        <v>13</v>
      </c>
    </row>
    <row r="38" spans="2:5">
      <c r="B38" s="87" t="s">
        <v>271</v>
      </c>
      <c r="C38" s="2" t="s">
        <v>308</v>
      </c>
      <c r="D38" s="2" t="s">
        <v>25</v>
      </c>
      <c r="E38" s="89" t="s">
        <v>13</v>
      </c>
    </row>
    <row r="39" spans="2:5">
      <c r="B39" s="87" t="s">
        <v>271</v>
      </c>
      <c r="C39" s="2" t="s">
        <v>309</v>
      </c>
      <c r="D39" s="2" t="s">
        <v>26</v>
      </c>
      <c r="E39" s="89" t="s">
        <v>13</v>
      </c>
    </row>
    <row r="40" spans="2:5">
      <c r="B40" s="87" t="s">
        <v>271</v>
      </c>
      <c r="C40" s="2" t="s">
        <v>310</v>
      </c>
      <c r="D40" s="2" t="s">
        <v>27</v>
      </c>
      <c r="E40" s="89" t="s">
        <v>13</v>
      </c>
    </row>
    <row r="41" spans="2:5">
      <c r="B41" s="87" t="s">
        <v>271</v>
      </c>
      <c r="C41" s="2" t="s">
        <v>311</v>
      </c>
      <c r="D41" s="2" t="s">
        <v>28</v>
      </c>
      <c r="E41" s="89" t="s">
        <v>13</v>
      </c>
    </row>
    <row r="42" spans="2:5">
      <c r="B42" s="87" t="s">
        <v>271</v>
      </c>
      <c r="C42" s="2" t="s">
        <v>312</v>
      </c>
      <c r="D42" s="2" t="s">
        <v>29</v>
      </c>
      <c r="E42" s="89" t="s">
        <v>13</v>
      </c>
    </row>
    <row r="43" spans="2:5">
      <c r="B43" s="87" t="s">
        <v>271</v>
      </c>
      <c r="C43" s="2" t="s">
        <v>313</v>
      </c>
      <c r="D43" s="2" t="s">
        <v>30</v>
      </c>
      <c r="E43" s="89" t="s">
        <v>13</v>
      </c>
    </row>
    <row r="44" spans="2:5">
      <c r="B44" s="87" t="s">
        <v>271</v>
      </c>
      <c r="C44" s="2" t="s">
        <v>314</v>
      </c>
      <c r="D44" s="2" t="s">
        <v>224</v>
      </c>
      <c r="E44" s="89" t="s">
        <v>13</v>
      </c>
    </row>
    <row r="45" spans="2:5">
      <c r="B45" s="87" t="s">
        <v>271</v>
      </c>
      <c r="C45" s="2" t="s">
        <v>315</v>
      </c>
      <c r="D45" s="2" t="s">
        <v>32</v>
      </c>
      <c r="E45" s="89" t="s">
        <v>13</v>
      </c>
    </row>
    <row r="46" spans="2:5">
      <c r="B46" s="87" t="s">
        <v>271</v>
      </c>
      <c r="C46" s="2" t="s">
        <v>316</v>
      </c>
      <c r="D46" s="2" t="s">
        <v>33</v>
      </c>
      <c r="E46" s="89" t="s">
        <v>13</v>
      </c>
    </row>
    <row r="47" spans="2:5">
      <c r="B47" s="87" t="s">
        <v>271</v>
      </c>
      <c r="C47" s="2" t="s">
        <v>317</v>
      </c>
      <c r="D47" s="2" t="s">
        <v>34</v>
      </c>
      <c r="E47" s="89" t="s">
        <v>13</v>
      </c>
    </row>
    <row r="48" spans="2:5">
      <c r="B48" s="87" t="s">
        <v>271</v>
      </c>
      <c r="C48" s="2" t="s">
        <v>318</v>
      </c>
      <c r="D48" s="2" t="s">
        <v>35</v>
      </c>
      <c r="E48" s="89" t="s">
        <v>13</v>
      </c>
    </row>
    <row r="49" spans="2:5">
      <c r="B49" s="87" t="s">
        <v>271</v>
      </c>
      <c r="C49" s="2" t="s">
        <v>319</v>
      </c>
      <c r="D49" s="2" t="s">
        <v>36</v>
      </c>
      <c r="E49" s="89" t="s">
        <v>13</v>
      </c>
    </row>
    <row r="50" spans="2:5">
      <c r="B50" s="87" t="s">
        <v>271</v>
      </c>
      <c r="C50" s="2" t="s">
        <v>320</v>
      </c>
      <c r="D50" s="2" t="s">
        <v>37</v>
      </c>
      <c r="E50" s="89" t="s">
        <v>13</v>
      </c>
    </row>
    <row r="51" spans="2:5">
      <c r="B51" s="87" t="s">
        <v>271</v>
      </c>
      <c r="C51" s="2" t="s">
        <v>321</v>
      </c>
      <c r="D51" s="2" t="s">
        <v>38</v>
      </c>
      <c r="E51" s="89" t="s">
        <v>13</v>
      </c>
    </row>
    <row r="52" spans="2:5">
      <c r="B52" s="87" t="s">
        <v>272</v>
      </c>
      <c r="C52" s="2" t="s">
        <v>322</v>
      </c>
      <c r="D52" s="91" t="s">
        <v>23</v>
      </c>
      <c r="E52" s="89" t="s">
        <v>13</v>
      </c>
    </row>
    <row r="53" spans="2:5">
      <c r="B53" s="87" t="s">
        <v>272</v>
      </c>
      <c r="C53" s="2" t="s">
        <v>323</v>
      </c>
      <c r="D53" s="91" t="s">
        <v>24</v>
      </c>
      <c r="E53" s="89" t="s">
        <v>13</v>
      </c>
    </row>
    <row r="54" spans="2:5">
      <c r="B54" s="87" t="s">
        <v>272</v>
      </c>
      <c r="C54" s="2" t="s">
        <v>324</v>
      </c>
      <c r="D54" s="91" t="s">
        <v>25</v>
      </c>
      <c r="E54" s="89" t="s">
        <v>13</v>
      </c>
    </row>
    <row r="55" spans="2:5">
      <c r="B55" s="87" t="s">
        <v>272</v>
      </c>
      <c r="C55" s="2" t="s">
        <v>325</v>
      </c>
      <c r="D55" s="91" t="s">
        <v>26</v>
      </c>
      <c r="E55" s="89" t="s">
        <v>13</v>
      </c>
    </row>
    <row r="56" spans="2:5">
      <c r="B56" s="87" t="s">
        <v>272</v>
      </c>
      <c r="C56" s="2" t="s">
        <v>326</v>
      </c>
      <c r="D56" s="91" t="s">
        <v>27</v>
      </c>
      <c r="E56" s="89" t="s">
        <v>13</v>
      </c>
    </row>
    <row r="57" spans="2:5">
      <c r="B57" s="87" t="s">
        <v>272</v>
      </c>
      <c r="C57" s="2" t="s">
        <v>327</v>
      </c>
      <c r="D57" s="91" t="s">
        <v>28</v>
      </c>
      <c r="E57" s="89" t="s">
        <v>13</v>
      </c>
    </row>
    <row r="58" spans="2:5">
      <c r="B58" s="87" t="s">
        <v>272</v>
      </c>
      <c r="C58" s="2" t="s">
        <v>328</v>
      </c>
      <c r="D58" s="91" t="s">
        <v>29</v>
      </c>
      <c r="E58" s="89" t="s">
        <v>13</v>
      </c>
    </row>
    <row r="59" spans="2:5">
      <c r="B59" s="87" t="s">
        <v>272</v>
      </c>
      <c r="C59" s="2" t="s">
        <v>329</v>
      </c>
      <c r="D59" s="91" t="s">
        <v>30</v>
      </c>
      <c r="E59" s="89" t="s">
        <v>13</v>
      </c>
    </row>
    <row r="60" spans="2:5">
      <c r="B60" s="87" t="s">
        <v>272</v>
      </c>
      <c r="C60" s="2" t="s">
        <v>330</v>
      </c>
      <c r="D60" s="91" t="s">
        <v>224</v>
      </c>
      <c r="E60" s="89" t="s">
        <v>13</v>
      </c>
    </row>
    <row r="61" spans="2:5">
      <c r="B61" s="87" t="s">
        <v>272</v>
      </c>
      <c r="C61" s="2" t="s">
        <v>331</v>
      </c>
      <c r="D61" s="91" t="s">
        <v>32</v>
      </c>
      <c r="E61" s="89" t="s">
        <v>13</v>
      </c>
    </row>
    <row r="62" spans="2:5">
      <c r="B62" s="87" t="s">
        <v>272</v>
      </c>
      <c r="C62" s="2" t="s">
        <v>332</v>
      </c>
      <c r="D62" s="91" t="s">
        <v>33</v>
      </c>
      <c r="E62" s="89" t="s">
        <v>13</v>
      </c>
    </row>
    <row r="63" spans="2:5">
      <c r="B63" s="87" t="s">
        <v>272</v>
      </c>
      <c r="C63" s="2" t="s">
        <v>333</v>
      </c>
      <c r="D63" s="91" t="s">
        <v>34</v>
      </c>
      <c r="E63" s="89" t="s">
        <v>13</v>
      </c>
    </row>
    <row r="64" spans="2:5">
      <c r="B64" s="87" t="s">
        <v>272</v>
      </c>
      <c r="C64" s="2" t="s">
        <v>334</v>
      </c>
      <c r="D64" s="91" t="s">
        <v>35</v>
      </c>
      <c r="E64" s="89" t="s">
        <v>13</v>
      </c>
    </row>
    <row r="65" spans="2:5">
      <c r="B65" s="87" t="s">
        <v>272</v>
      </c>
      <c r="C65" s="2" t="s">
        <v>335</v>
      </c>
      <c r="D65" s="91" t="s">
        <v>36</v>
      </c>
      <c r="E65" s="89" t="s">
        <v>13</v>
      </c>
    </row>
    <row r="66" spans="2:5">
      <c r="B66" s="87" t="s">
        <v>272</v>
      </c>
      <c r="C66" s="2" t="s">
        <v>336</v>
      </c>
      <c r="D66" s="91" t="s">
        <v>37</v>
      </c>
      <c r="E66" s="89" t="s">
        <v>13</v>
      </c>
    </row>
    <row r="67" spans="2:5">
      <c r="B67" s="87" t="s">
        <v>272</v>
      </c>
      <c r="C67" s="2" t="s">
        <v>337</v>
      </c>
      <c r="D67" s="91" t="s">
        <v>38</v>
      </c>
      <c r="E67" s="89" t="s">
        <v>13</v>
      </c>
    </row>
    <row r="68" spans="2:5">
      <c r="B68" s="87" t="s">
        <v>273</v>
      </c>
      <c r="C68" s="2" t="s">
        <v>338</v>
      </c>
      <c r="D68" s="91" t="s">
        <v>23</v>
      </c>
      <c r="E68" s="89" t="s">
        <v>13</v>
      </c>
    </row>
    <row r="69" spans="2:5">
      <c r="B69" s="87" t="s">
        <v>273</v>
      </c>
      <c r="C69" s="2" t="s">
        <v>339</v>
      </c>
      <c r="D69" s="91" t="s">
        <v>24</v>
      </c>
      <c r="E69" s="89" t="s">
        <v>13</v>
      </c>
    </row>
    <row r="70" spans="2:5">
      <c r="B70" s="87" t="s">
        <v>273</v>
      </c>
      <c r="C70" s="2" t="s">
        <v>340</v>
      </c>
      <c r="D70" s="91" t="s">
        <v>25</v>
      </c>
      <c r="E70" s="89" t="s">
        <v>13</v>
      </c>
    </row>
    <row r="71" spans="2:5">
      <c r="B71" s="87" t="s">
        <v>273</v>
      </c>
      <c r="C71" s="2" t="s">
        <v>341</v>
      </c>
      <c r="D71" s="91" t="s">
        <v>26</v>
      </c>
      <c r="E71" s="89" t="s">
        <v>13</v>
      </c>
    </row>
    <row r="72" spans="2:5">
      <c r="B72" s="87" t="s">
        <v>273</v>
      </c>
      <c r="C72" s="2" t="s">
        <v>342</v>
      </c>
      <c r="D72" s="91" t="s">
        <v>27</v>
      </c>
      <c r="E72" s="89" t="s">
        <v>13</v>
      </c>
    </row>
    <row r="73" spans="2:5">
      <c r="B73" s="87" t="s">
        <v>273</v>
      </c>
      <c r="C73" s="2" t="s">
        <v>343</v>
      </c>
      <c r="D73" s="91" t="s">
        <v>28</v>
      </c>
      <c r="E73" s="89" t="s">
        <v>13</v>
      </c>
    </row>
    <row r="74" spans="2:5">
      <c r="B74" s="87" t="s">
        <v>273</v>
      </c>
      <c r="C74" s="2" t="s">
        <v>344</v>
      </c>
      <c r="D74" s="91" t="s">
        <v>29</v>
      </c>
      <c r="E74" s="89" t="s">
        <v>13</v>
      </c>
    </row>
    <row r="75" spans="2:5">
      <c r="B75" s="87" t="s">
        <v>273</v>
      </c>
      <c r="C75" s="2" t="s">
        <v>345</v>
      </c>
      <c r="D75" s="91" t="s">
        <v>30</v>
      </c>
      <c r="E75" s="89" t="s">
        <v>13</v>
      </c>
    </row>
    <row r="76" spans="2:5">
      <c r="B76" s="87" t="s">
        <v>273</v>
      </c>
      <c r="C76" s="2" t="s">
        <v>346</v>
      </c>
      <c r="D76" s="91" t="s">
        <v>224</v>
      </c>
      <c r="E76" s="89" t="s">
        <v>13</v>
      </c>
    </row>
    <row r="77" spans="2:5">
      <c r="B77" s="87" t="s">
        <v>273</v>
      </c>
      <c r="C77" s="2" t="s">
        <v>347</v>
      </c>
      <c r="D77" s="91" t="s">
        <v>32</v>
      </c>
      <c r="E77" s="89" t="s">
        <v>13</v>
      </c>
    </row>
    <row r="78" spans="2:5">
      <c r="B78" s="87" t="s">
        <v>273</v>
      </c>
      <c r="C78" s="2" t="s">
        <v>348</v>
      </c>
      <c r="D78" s="91" t="s">
        <v>33</v>
      </c>
      <c r="E78" s="89" t="s">
        <v>13</v>
      </c>
    </row>
    <row r="79" spans="2:5">
      <c r="B79" s="87" t="s">
        <v>273</v>
      </c>
      <c r="C79" s="2" t="s">
        <v>349</v>
      </c>
      <c r="D79" s="91" t="s">
        <v>34</v>
      </c>
      <c r="E79" s="89" t="s">
        <v>13</v>
      </c>
    </row>
    <row r="80" spans="2:5">
      <c r="B80" s="87" t="s">
        <v>273</v>
      </c>
      <c r="C80" s="2" t="s">
        <v>350</v>
      </c>
      <c r="D80" s="91" t="s">
        <v>35</v>
      </c>
      <c r="E80" s="89" t="s">
        <v>13</v>
      </c>
    </row>
    <row r="81" spans="2:5">
      <c r="B81" s="87" t="s">
        <v>273</v>
      </c>
      <c r="C81" s="2" t="s">
        <v>351</v>
      </c>
      <c r="D81" s="91" t="s">
        <v>36</v>
      </c>
      <c r="E81" s="89" t="s">
        <v>13</v>
      </c>
    </row>
    <row r="82" spans="2:5">
      <c r="B82" s="87" t="s">
        <v>273</v>
      </c>
      <c r="C82" s="2" t="s">
        <v>352</v>
      </c>
      <c r="D82" s="91" t="s">
        <v>37</v>
      </c>
      <c r="E82" s="89" t="s">
        <v>13</v>
      </c>
    </row>
    <row r="83" spans="2:5">
      <c r="B83" s="87" t="s">
        <v>273</v>
      </c>
      <c r="C83" s="2" t="s">
        <v>353</v>
      </c>
      <c r="D83" s="91" t="s">
        <v>38</v>
      </c>
      <c r="E83" s="89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3" zoomScale="55" zoomScaleNormal="85" zoomScaleSheetLayoutView="55" workbookViewId="0">
      <selection activeCell="K50" sqref="K50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25"/>
      <c r="B1" s="345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</row>
    <row r="2" spans="1:16" ht="13.5" customHeight="1">
      <c r="A2" s="343"/>
      <c r="B2" s="344"/>
      <c r="N2" s="341"/>
      <c r="O2" s="346"/>
      <c r="P2" s="344"/>
    </row>
    <row r="3" spans="1:16" ht="37.35" customHeight="1">
      <c r="A3" s="37"/>
      <c r="B3" s="495" t="s">
        <v>95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7"/>
    </row>
    <row r="4" spans="1:16" ht="7.35" customHeight="1">
      <c r="A4" s="38"/>
      <c r="B4" s="502" t="s">
        <v>96</v>
      </c>
      <c r="C4" s="503"/>
      <c r="D4" s="503"/>
      <c r="E4" s="503"/>
      <c r="F4" s="503"/>
      <c r="G4" s="503"/>
      <c r="H4" s="503"/>
      <c r="I4" s="503"/>
      <c r="J4" s="503"/>
      <c r="K4" s="503"/>
      <c r="L4" s="503"/>
      <c r="M4" s="503"/>
      <c r="N4" s="503"/>
      <c r="O4" s="340"/>
    </row>
    <row r="5" spans="1:16" ht="43.5" customHeight="1">
      <c r="A5" s="38"/>
      <c r="B5" s="502"/>
      <c r="C5" s="503"/>
      <c r="D5" s="503"/>
      <c r="E5" s="503"/>
      <c r="F5" s="503"/>
      <c r="G5" s="503"/>
      <c r="H5" s="503"/>
      <c r="I5" s="503"/>
      <c r="J5" s="503"/>
      <c r="K5" s="503"/>
      <c r="L5" s="503"/>
      <c r="M5" s="503"/>
      <c r="N5" s="503"/>
      <c r="O5" s="340"/>
    </row>
    <row r="6" spans="1:16" ht="43.5" customHeight="1">
      <c r="A6" s="38"/>
      <c r="B6" s="502"/>
      <c r="C6" s="503"/>
      <c r="D6" s="503"/>
      <c r="E6" s="503"/>
      <c r="F6" s="503"/>
      <c r="G6" s="503"/>
      <c r="H6" s="503"/>
      <c r="I6" s="503"/>
      <c r="J6" s="503"/>
      <c r="K6" s="503"/>
      <c r="L6" s="503"/>
      <c r="M6" s="503"/>
      <c r="N6" s="503"/>
      <c r="O6" s="340"/>
    </row>
    <row r="7" spans="1:16" ht="8.1" customHeight="1">
      <c r="A7" s="38"/>
      <c r="B7" s="330"/>
      <c r="C7" s="321"/>
      <c r="D7" s="321"/>
      <c r="E7" s="321"/>
      <c r="F7" s="321"/>
      <c r="G7" s="321"/>
      <c r="H7" s="321"/>
      <c r="I7" s="321"/>
      <c r="J7" s="321"/>
      <c r="K7" s="321"/>
      <c r="L7" s="321"/>
      <c r="M7" s="321"/>
      <c r="N7" s="321"/>
      <c r="O7" s="340"/>
    </row>
    <row r="8" spans="1:16" ht="32.25" customHeight="1" thickBot="1">
      <c r="A8" s="329"/>
      <c r="B8" s="331"/>
      <c r="O8" s="340"/>
    </row>
    <row r="9" spans="1:16" ht="17.25" customHeight="1" thickBot="1">
      <c r="A9" s="324"/>
      <c r="B9" s="331"/>
      <c r="C9" s="322"/>
      <c r="D9" s="506" t="s">
        <v>97</v>
      </c>
      <c r="E9" s="504"/>
      <c r="F9" s="504"/>
      <c r="G9" s="505"/>
      <c r="I9" s="322"/>
      <c r="J9" s="511" t="s">
        <v>97</v>
      </c>
      <c r="K9" s="508"/>
      <c r="L9" s="509"/>
      <c r="M9" s="510"/>
      <c r="O9" s="340"/>
    </row>
    <row r="10" spans="1:16" ht="37.5" customHeight="1" thickBot="1">
      <c r="A10" s="324"/>
      <c r="B10" s="333"/>
      <c r="C10" s="75" t="s">
        <v>98</v>
      </c>
      <c r="D10" s="507"/>
      <c r="E10" s="76" t="s">
        <v>99</v>
      </c>
      <c r="F10" s="76" t="s">
        <v>100</v>
      </c>
      <c r="G10" s="77" t="s">
        <v>101</v>
      </c>
      <c r="I10" s="81" t="s">
        <v>98</v>
      </c>
      <c r="J10" s="512"/>
      <c r="K10" s="82" t="s">
        <v>99</v>
      </c>
      <c r="L10" s="82" t="s">
        <v>100</v>
      </c>
      <c r="M10" s="83" t="s">
        <v>101</v>
      </c>
      <c r="O10" s="340"/>
    </row>
    <row r="11" spans="1:16" ht="18.75">
      <c r="A11" s="326"/>
      <c r="B11" s="331"/>
      <c r="C11" s="78" t="s">
        <v>18</v>
      </c>
      <c r="D11" s="79" t="s">
        <v>367</v>
      </c>
      <c r="E11" s="79" t="s">
        <v>367</v>
      </c>
      <c r="F11" s="79" t="s">
        <v>367</v>
      </c>
      <c r="G11" s="80" t="s">
        <v>367</v>
      </c>
      <c r="I11" s="84" t="s">
        <v>23</v>
      </c>
      <c r="J11" s="405" t="s">
        <v>367</v>
      </c>
      <c r="K11" s="405" t="s">
        <v>367</v>
      </c>
      <c r="L11" s="405" t="s">
        <v>367</v>
      </c>
      <c r="M11" s="407" t="s">
        <v>367</v>
      </c>
      <c r="O11" s="340"/>
    </row>
    <row r="12" spans="1:16" ht="18.75">
      <c r="A12" s="38"/>
      <c r="B12" s="331"/>
      <c r="C12" s="40" t="s">
        <v>16</v>
      </c>
      <c r="D12" s="71" t="s">
        <v>367</v>
      </c>
      <c r="E12" s="71" t="s">
        <v>367</v>
      </c>
      <c r="F12" s="71" t="s">
        <v>367</v>
      </c>
      <c r="G12" s="72" t="s">
        <v>367</v>
      </c>
      <c r="I12" s="41" t="s">
        <v>24</v>
      </c>
      <c r="J12" s="406" t="s">
        <v>376</v>
      </c>
      <c r="K12" s="406" t="s">
        <v>367</v>
      </c>
      <c r="L12" s="406" t="s">
        <v>367</v>
      </c>
      <c r="M12" s="408" t="s">
        <v>379</v>
      </c>
      <c r="N12" s="341"/>
      <c r="O12" s="332"/>
    </row>
    <row r="13" spans="1:16" ht="18.75">
      <c r="A13" s="38"/>
      <c r="B13" s="331"/>
      <c r="C13" s="40" t="s">
        <v>19</v>
      </c>
      <c r="D13" s="71" t="s">
        <v>367</v>
      </c>
      <c r="E13" s="71" t="s">
        <v>367</v>
      </c>
      <c r="F13" s="71" t="s">
        <v>367</v>
      </c>
      <c r="G13" s="72" t="s">
        <v>367</v>
      </c>
      <c r="I13" s="41" t="s">
        <v>25</v>
      </c>
      <c r="J13" s="406" t="s">
        <v>376</v>
      </c>
      <c r="K13" s="406" t="s">
        <v>367</v>
      </c>
      <c r="L13" s="406" t="s">
        <v>367</v>
      </c>
      <c r="M13" s="408" t="s">
        <v>379</v>
      </c>
      <c r="N13" s="341"/>
      <c r="O13" s="332"/>
    </row>
    <row r="14" spans="1:16" ht="18.75">
      <c r="A14" s="327"/>
      <c r="B14" s="331"/>
      <c r="C14" s="40" t="s">
        <v>17</v>
      </c>
      <c r="D14" s="71" t="s">
        <v>368</v>
      </c>
      <c r="E14" s="71" t="s">
        <v>368</v>
      </c>
      <c r="F14" s="71" t="s">
        <v>368</v>
      </c>
      <c r="G14" s="72" t="s">
        <v>368</v>
      </c>
      <c r="I14" s="41" t="s">
        <v>26</v>
      </c>
      <c r="J14" s="406" t="s">
        <v>367</v>
      </c>
      <c r="K14" s="406" t="s">
        <v>367</v>
      </c>
      <c r="L14" s="406" t="s">
        <v>367</v>
      </c>
      <c r="M14" s="408" t="s">
        <v>367</v>
      </c>
      <c r="N14" s="341"/>
      <c r="O14" s="332"/>
    </row>
    <row r="15" spans="1:16" ht="18.75">
      <c r="A15" s="38"/>
      <c r="B15" s="331"/>
      <c r="C15" s="67" t="s">
        <v>354</v>
      </c>
      <c r="D15" s="71" t="s">
        <v>367</v>
      </c>
      <c r="E15" s="71" t="s">
        <v>367</v>
      </c>
      <c r="F15" s="71" t="s">
        <v>367</v>
      </c>
      <c r="G15" s="72" t="s">
        <v>367</v>
      </c>
      <c r="I15" s="41" t="s">
        <v>27</v>
      </c>
      <c r="J15" s="406" t="s">
        <v>376</v>
      </c>
      <c r="K15" s="406" t="s">
        <v>367</v>
      </c>
      <c r="L15" s="406" t="s">
        <v>379</v>
      </c>
      <c r="M15" s="408" t="s">
        <v>367</v>
      </c>
      <c r="N15" s="341"/>
      <c r="O15" s="332"/>
    </row>
    <row r="16" spans="1:16" ht="18.75">
      <c r="A16" s="38"/>
      <c r="B16" s="331"/>
      <c r="C16" s="67" t="s">
        <v>355</v>
      </c>
      <c r="D16" s="71" t="s">
        <v>367</v>
      </c>
      <c r="E16" s="71" t="s">
        <v>367</v>
      </c>
      <c r="F16" s="71" t="s">
        <v>367</v>
      </c>
      <c r="G16" s="72" t="s">
        <v>367</v>
      </c>
      <c r="I16" s="41" t="s">
        <v>28</v>
      </c>
      <c r="J16" s="406" t="s">
        <v>377</v>
      </c>
      <c r="K16" s="406" t="s">
        <v>367</v>
      </c>
      <c r="L16" s="406" t="s">
        <v>375</v>
      </c>
      <c r="M16" s="408" t="s">
        <v>375</v>
      </c>
      <c r="N16" s="341"/>
      <c r="O16" s="332"/>
    </row>
    <row r="17" spans="1:15" ht="18.75">
      <c r="A17" s="38"/>
      <c r="B17" s="331"/>
      <c r="C17" s="67" t="s">
        <v>356</v>
      </c>
      <c r="D17" s="71" t="s">
        <v>367</v>
      </c>
      <c r="E17" s="71" t="s">
        <v>367</v>
      </c>
      <c r="F17" s="71" t="s">
        <v>367</v>
      </c>
      <c r="G17" s="72" t="s">
        <v>367</v>
      </c>
      <c r="I17" s="41" t="s">
        <v>29</v>
      </c>
      <c r="J17" s="406" t="s">
        <v>377</v>
      </c>
      <c r="K17" s="406" t="s">
        <v>367</v>
      </c>
      <c r="L17" s="406" t="s">
        <v>375</v>
      </c>
      <c r="M17" s="408" t="s">
        <v>375</v>
      </c>
      <c r="N17" s="341"/>
      <c r="O17" s="332"/>
    </row>
    <row r="18" spans="1:15" ht="18.75">
      <c r="A18" s="38"/>
      <c r="B18" s="331"/>
      <c r="C18" s="67" t="s">
        <v>357</v>
      </c>
      <c r="D18" s="71" t="s">
        <v>369</v>
      </c>
      <c r="E18" s="71" t="s">
        <v>369</v>
      </c>
      <c r="F18" s="71" t="s">
        <v>369</v>
      </c>
      <c r="G18" s="72" t="s">
        <v>369</v>
      </c>
      <c r="I18" s="41" t="s">
        <v>30</v>
      </c>
      <c r="J18" s="406" t="s">
        <v>367</v>
      </c>
      <c r="K18" s="406" t="s">
        <v>367</v>
      </c>
      <c r="L18" s="406" t="s">
        <v>367</v>
      </c>
      <c r="M18" s="408" t="s">
        <v>367</v>
      </c>
      <c r="N18" s="341"/>
      <c r="O18" s="332"/>
    </row>
    <row r="19" spans="1:15" ht="18.75">
      <c r="A19" s="38"/>
      <c r="B19" s="331"/>
      <c r="C19" s="40" t="s">
        <v>358</v>
      </c>
      <c r="D19" s="71" t="s">
        <v>370</v>
      </c>
      <c r="E19" s="71" t="s">
        <v>367</v>
      </c>
      <c r="F19" s="71" t="s">
        <v>367</v>
      </c>
      <c r="G19" s="72" t="s">
        <v>374</v>
      </c>
      <c r="I19" s="41" t="s">
        <v>224</v>
      </c>
      <c r="J19" s="406" t="s">
        <v>367</v>
      </c>
      <c r="K19" s="406" t="s">
        <v>367</v>
      </c>
      <c r="L19" s="406" t="s">
        <v>367</v>
      </c>
      <c r="M19" s="408" t="s">
        <v>367</v>
      </c>
      <c r="N19" s="341"/>
      <c r="O19" s="332"/>
    </row>
    <row r="20" spans="1:15" ht="18.75">
      <c r="A20" s="38"/>
      <c r="B20" s="331"/>
      <c r="C20" s="40" t="s">
        <v>359</v>
      </c>
      <c r="D20" s="71" t="s">
        <v>367</v>
      </c>
      <c r="E20" s="71" t="s">
        <v>367</v>
      </c>
      <c r="F20" s="71" t="s">
        <v>367</v>
      </c>
      <c r="G20" s="72" t="s">
        <v>367</v>
      </c>
      <c r="I20" s="41" t="s">
        <v>32</v>
      </c>
      <c r="J20" s="406" t="s">
        <v>372</v>
      </c>
      <c r="K20" s="406" t="s">
        <v>367</v>
      </c>
      <c r="L20" s="406" t="s">
        <v>379</v>
      </c>
      <c r="M20" s="408" t="s">
        <v>379</v>
      </c>
      <c r="N20" s="341"/>
      <c r="O20" s="332"/>
    </row>
    <row r="21" spans="1:15" ht="18.75">
      <c r="A21" s="38"/>
      <c r="B21" s="331"/>
      <c r="C21" s="39" t="s">
        <v>360</v>
      </c>
      <c r="D21" s="71" t="s">
        <v>367</v>
      </c>
      <c r="E21" s="71" t="s">
        <v>367</v>
      </c>
      <c r="F21" s="71" t="s">
        <v>367</v>
      </c>
      <c r="G21" s="72" t="s">
        <v>367</v>
      </c>
      <c r="I21" s="41" t="s">
        <v>33</v>
      </c>
      <c r="J21" s="406" t="s">
        <v>367</v>
      </c>
      <c r="K21" s="406" t="s">
        <v>367</v>
      </c>
      <c r="L21" s="406" t="s">
        <v>367</v>
      </c>
      <c r="M21" s="408" t="s">
        <v>367</v>
      </c>
      <c r="N21" s="341"/>
      <c r="O21" s="332"/>
    </row>
    <row r="22" spans="1:15" ht="18.75">
      <c r="A22" s="38"/>
      <c r="B22" s="331"/>
      <c r="C22" s="39" t="s">
        <v>361</v>
      </c>
      <c r="D22" s="71" t="s">
        <v>367</v>
      </c>
      <c r="E22" s="71" t="s">
        <v>367</v>
      </c>
      <c r="F22" s="71" t="s">
        <v>367</v>
      </c>
      <c r="G22" s="72" t="s">
        <v>367</v>
      </c>
      <c r="I22" s="41" t="s">
        <v>34</v>
      </c>
      <c r="J22" s="406" t="s">
        <v>367</v>
      </c>
      <c r="K22" s="406" t="s">
        <v>367</v>
      </c>
      <c r="L22" s="406" t="s">
        <v>367</v>
      </c>
      <c r="M22" s="408" t="s">
        <v>367</v>
      </c>
      <c r="N22" s="341"/>
      <c r="O22" s="332"/>
    </row>
    <row r="23" spans="1:15" ht="18.75">
      <c r="A23" s="38"/>
      <c r="B23" s="331"/>
      <c r="C23" s="40" t="s">
        <v>362</v>
      </c>
      <c r="D23" s="71" t="s">
        <v>370</v>
      </c>
      <c r="E23" s="71" t="s">
        <v>373</v>
      </c>
      <c r="F23" s="71" t="s">
        <v>367</v>
      </c>
      <c r="G23" s="72" t="s">
        <v>373</v>
      </c>
      <c r="I23" s="41" t="s">
        <v>35</v>
      </c>
      <c r="J23" s="406" t="s">
        <v>367</v>
      </c>
      <c r="K23" s="406" t="s">
        <v>367</v>
      </c>
      <c r="L23" s="406" t="s">
        <v>367</v>
      </c>
      <c r="M23" s="408" t="s">
        <v>367</v>
      </c>
      <c r="N23" s="341"/>
      <c r="O23" s="332"/>
    </row>
    <row r="24" spans="1:15" ht="18.75">
      <c r="A24" s="38"/>
      <c r="B24" s="331"/>
      <c r="C24" s="39" t="s">
        <v>363</v>
      </c>
      <c r="D24" s="71" t="s">
        <v>367</v>
      </c>
      <c r="E24" s="71" t="s">
        <v>367</v>
      </c>
      <c r="F24" s="71" t="s">
        <v>367</v>
      </c>
      <c r="G24" s="72" t="s">
        <v>367</v>
      </c>
      <c r="I24" s="41" t="s">
        <v>36</v>
      </c>
      <c r="J24" s="406" t="s">
        <v>367</v>
      </c>
      <c r="K24" s="406" t="s">
        <v>367</v>
      </c>
      <c r="L24" s="406" t="s">
        <v>367</v>
      </c>
      <c r="M24" s="408" t="s">
        <v>367</v>
      </c>
      <c r="N24" s="341"/>
      <c r="O24" s="332"/>
    </row>
    <row r="25" spans="1:15" ht="18.75">
      <c r="A25" s="38"/>
      <c r="B25" s="331"/>
      <c r="C25" s="39" t="s">
        <v>364</v>
      </c>
      <c r="D25" s="71" t="s">
        <v>367</v>
      </c>
      <c r="E25" s="71" t="s">
        <v>367</v>
      </c>
      <c r="F25" s="71" t="s">
        <v>367</v>
      </c>
      <c r="G25" s="72" t="s">
        <v>367</v>
      </c>
      <c r="I25" s="41" t="s">
        <v>37</v>
      </c>
      <c r="J25" s="406" t="s">
        <v>372</v>
      </c>
      <c r="K25" s="406" t="s">
        <v>367</v>
      </c>
      <c r="L25" s="406" t="s">
        <v>375</v>
      </c>
      <c r="M25" s="408" t="s">
        <v>367</v>
      </c>
      <c r="N25" s="341"/>
      <c r="O25" s="332"/>
    </row>
    <row r="26" spans="1:15" ht="19.5" thickBot="1">
      <c r="A26" s="38"/>
      <c r="B26" s="331"/>
      <c r="C26" s="39" t="s">
        <v>365</v>
      </c>
      <c r="D26" s="71" t="s">
        <v>367</v>
      </c>
      <c r="E26" s="71" t="s">
        <v>367</v>
      </c>
      <c r="F26" s="71" t="s">
        <v>367</v>
      </c>
      <c r="G26" s="72" t="s">
        <v>367</v>
      </c>
      <c r="I26" s="42" t="s">
        <v>38</v>
      </c>
      <c r="J26" s="409" t="s">
        <v>378</v>
      </c>
      <c r="K26" s="409" t="s">
        <v>367</v>
      </c>
      <c r="L26" s="409" t="s">
        <v>380</v>
      </c>
      <c r="M26" s="410" t="s">
        <v>367</v>
      </c>
      <c r="N26" s="341"/>
      <c r="O26" s="332"/>
    </row>
    <row r="27" spans="1:15" ht="23.25" customHeight="1">
      <c r="A27" s="38"/>
      <c r="B27" s="331"/>
      <c r="C27" s="39" t="s">
        <v>366</v>
      </c>
      <c r="D27" s="71" t="s">
        <v>371</v>
      </c>
      <c r="E27" s="71" t="s">
        <v>369</v>
      </c>
      <c r="F27" s="71" t="s">
        <v>367</v>
      </c>
      <c r="G27" s="72" t="s">
        <v>369</v>
      </c>
      <c r="N27" s="341"/>
      <c r="O27" s="332"/>
    </row>
    <row r="28" spans="1:15" ht="23.25" customHeight="1" thickBot="1">
      <c r="A28" s="38"/>
      <c r="B28" s="331"/>
      <c r="C28" s="403" t="s">
        <v>20</v>
      </c>
      <c r="D28" s="73" t="s">
        <v>372</v>
      </c>
      <c r="E28" s="73" t="s">
        <v>367</v>
      </c>
      <c r="F28" s="73" t="s">
        <v>367</v>
      </c>
      <c r="G28" s="404" t="s">
        <v>375</v>
      </c>
      <c r="N28" s="341"/>
      <c r="O28" s="332"/>
    </row>
    <row r="29" spans="1:15" ht="28.5" customHeight="1" thickBot="1">
      <c r="B29" s="331"/>
      <c r="N29" s="341"/>
      <c r="O29" s="332"/>
    </row>
    <row r="30" spans="1:15" ht="42" customHeight="1" thickBot="1">
      <c r="A30" s="38"/>
      <c r="B30" s="333"/>
      <c r="C30" s="521" t="s">
        <v>102</v>
      </c>
      <c r="D30" s="522"/>
      <c r="E30" s="522"/>
      <c r="F30" s="522"/>
      <c r="G30" s="523"/>
      <c r="N30" s="341"/>
      <c r="O30" s="332"/>
    </row>
    <row r="31" spans="1:15" ht="49.5" customHeight="1">
      <c r="A31" s="38"/>
      <c r="B31" s="331"/>
      <c r="C31" s="513" t="s">
        <v>99</v>
      </c>
      <c r="D31" s="514"/>
      <c r="E31" s="515" t="s">
        <v>103</v>
      </c>
      <c r="F31" s="515"/>
      <c r="G31" s="516"/>
      <c r="N31" s="341"/>
      <c r="O31" s="332"/>
    </row>
    <row r="32" spans="1:15" ht="60" customHeight="1">
      <c r="A32" s="38"/>
      <c r="B32" s="331"/>
      <c r="C32" s="517" t="s">
        <v>100</v>
      </c>
      <c r="D32" s="518"/>
      <c r="E32" s="519" t="s">
        <v>104</v>
      </c>
      <c r="F32" s="519"/>
      <c r="G32" s="520"/>
      <c r="N32" s="341"/>
      <c r="O32" s="332"/>
    </row>
    <row r="33" spans="1:15" ht="66.75" customHeight="1" thickBot="1">
      <c r="A33" s="38"/>
      <c r="B33" s="333"/>
      <c r="C33" s="498" t="s">
        <v>101</v>
      </c>
      <c r="D33" s="499"/>
      <c r="E33" s="500" t="s">
        <v>105</v>
      </c>
      <c r="F33" s="500"/>
      <c r="G33" s="501"/>
      <c r="H33" s="337"/>
      <c r="J33" s="339"/>
      <c r="K33" s="339"/>
      <c r="L33" s="339"/>
      <c r="M33" s="339"/>
      <c r="N33" s="339"/>
      <c r="O33" s="340"/>
    </row>
    <row r="34" spans="1:15" ht="22.5" customHeight="1" thickBot="1">
      <c r="A34" s="336"/>
      <c r="B34" s="342"/>
      <c r="C34" s="334"/>
      <c r="D34" s="334"/>
      <c r="E34" s="334"/>
      <c r="F34" s="334"/>
      <c r="G34" s="334"/>
      <c r="H34" s="334"/>
      <c r="I34" s="338"/>
      <c r="J34" s="334"/>
      <c r="K34" s="334"/>
      <c r="L34" s="334"/>
      <c r="M34" s="334"/>
      <c r="N34" s="334"/>
      <c r="O34" s="335"/>
    </row>
    <row r="35" spans="1:15" ht="12" customHeight="1">
      <c r="A35" s="323"/>
    </row>
    <row r="36" spans="1:15" ht="8.25" customHeight="1"/>
    <row r="38" spans="1:15" ht="3" customHeight="1">
      <c r="C38" s="328"/>
      <c r="D38" s="328"/>
      <c r="E38" s="328"/>
      <c r="F38" s="328"/>
      <c r="G38" s="328"/>
      <c r="H38" s="328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9" zoomScale="55" zoomScaleNormal="55" workbookViewId="0">
      <selection activeCell="J10" sqref="J10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531"/>
      <c r="C1" s="532"/>
      <c r="D1" s="533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120</v>
      </c>
      <c r="C2" s="139"/>
      <c r="D2" s="98"/>
      <c r="E2" s="104"/>
      <c r="G2" s="106"/>
      <c r="H2" s="98"/>
      <c r="I2" s="527" t="s">
        <v>387</v>
      </c>
      <c r="J2" s="528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388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121</v>
      </c>
      <c r="C4" s="393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106</v>
      </c>
      <c r="C5" s="534" t="s">
        <v>107</v>
      </c>
      <c r="D5" s="535"/>
      <c r="E5" s="239" t="s">
        <v>109</v>
      </c>
      <c r="F5" s="239" t="s">
        <v>108</v>
      </c>
      <c r="G5" s="239" t="s">
        <v>110</v>
      </c>
      <c r="H5" s="240" t="s">
        <v>175</v>
      </c>
      <c r="I5" s="240" t="s">
        <v>111</v>
      </c>
      <c r="J5" s="241" t="s">
        <v>112</v>
      </c>
      <c r="K5" s="242"/>
      <c r="L5" s="98"/>
      <c r="M5" s="98"/>
      <c r="N5" s="98"/>
      <c r="O5" s="97"/>
      <c r="P5" s="123"/>
    </row>
    <row r="6" spans="1:17" ht="51" customHeight="1">
      <c r="B6" s="266" t="s">
        <v>113</v>
      </c>
      <c r="C6" s="536">
        <v>44725</v>
      </c>
      <c r="D6" s="537"/>
      <c r="E6" s="458">
        <v>44908</v>
      </c>
      <c r="F6" s="458">
        <v>45090</v>
      </c>
      <c r="G6" s="458">
        <v>45273</v>
      </c>
      <c r="H6" s="458">
        <v>45456</v>
      </c>
      <c r="I6" s="458">
        <v>45639</v>
      </c>
      <c r="J6" s="461">
        <v>45821</v>
      </c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7" t="s">
        <v>114</v>
      </c>
      <c r="C7" s="538">
        <v>44789</v>
      </c>
      <c r="D7" s="539"/>
      <c r="E7" s="459">
        <v>44608</v>
      </c>
      <c r="F7" s="459">
        <v>45154</v>
      </c>
      <c r="G7" s="459">
        <v>45338</v>
      </c>
      <c r="H7" s="459">
        <v>45520</v>
      </c>
      <c r="I7" s="459">
        <v>45704</v>
      </c>
      <c r="J7" s="462">
        <v>45885</v>
      </c>
      <c r="L7" s="98"/>
      <c r="M7" s="98"/>
      <c r="N7" s="98"/>
      <c r="O7" s="97"/>
      <c r="P7" s="106"/>
    </row>
    <row r="8" spans="1:17" ht="44.25" customHeight="1">
      <c r="A8" s="116"/>
      <c r="B8" s="267" t="s">
        <v>115</v>
      </c>
      <c r="C8" s="538">
        <v>44868</v>
      </c>
      <c r="D8" s="539"/>
      <c r="E8" s="459">
        <v>45049</v>
      </c>
      <c r="F8" s="459">
        <v>45233</v>
      </c>
      <c r="G8" s="459">
        <v>45415</v>
      </c>
      <c r="H8" s="459">
        <v>45599</v>
      </c>
      <c r="I8" s="459">
        <v>45780</v>
      </c>
      <c r="J8" s="462">
        <v>45964</v>
      </c>
      <c r="K8" s="243"/>
      <c r="L8" s="98"/>
      <c r="M8" s="98"/>
      <c r="N8" s="98"/>
      <c r="P8" s="98"/>
      <c r="Q8" s="98"/>
    </row>
    <row r="9" spans="1:17" ht="39.75" customHeight="1">
      <c r="A9" s="116"/>
      <c r="B9" s="267" t="s">
        <v>116</v>
      </c>
      <c r="C9" s="538">
        <v>45439</v>
      </c>
      <c r="D9" s="539"/>
      <c r="E9" s="459">
        <v>45623</v>
      </c>
      <c r="F9" s="459">
        <v>45804</v>
      </c>
      <c r="G9" s="459">
        <v>45988</v>
      </c>
      <c r="H9" s="459">
        <v>46169</v>
      </c>
      <c r="I9" s="459">
        <v>46353</v>
      </c>
      <c r="J9" s="462">
        <v>46534</v>
      </c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7" t="s">
        <v>117</v>
      </c>
      <c r="C10" s="538">
        <v>44900</v>
      </c>
      <c r="D10" s="539"/>
      <c r="E10" s="459">
        <v>45082</v>
      </c>
      <c r="F10" s="459">
        <v>45265</v>
      </c>
      <c r="G10" s="459">
        <v>45448</v>
      </c>
      <c r="H10" s="459">
        <v>45631</v>
      </c>
      <c r="I10" s="459">
        <v>45813</v>
      </c>
      <c r="J10" s="462">
        <v>45813</v>
      </c>
      <c r="K10" s="135"/>
      <c r="L10" s="98"/>
      <c r="M10" s="98"/>
      <c r="N10" s="106"/>
      <c r="O10" s="97"/>
      <c r="P10" s="98"/>
    </row>
    <row r="11" spans="1:17" ht="44.25" customHeight="1">
      <c r="A11" s="117"/>
      <c r="B11" s="267" t="s">
        <v>118</v>
      </c>
      <c r="C11" s="538">
        <v>44930</v>
      </c>
      <c r="D11" s="539"/>
      <c r="E11" s="459">
        <v>45111</v>
      </c>
      <c r="F11" s="459">
        <v>45295</v>
      </c>
      <c r="G11" s="459">
        <v>45477</v>
      </c>
      <c r="H11" s="459">
        <v>45661</v>
      </c>
      <c r="I11" s="459">
        <v>45842</v>
      </c>
      <c r="J11" s="462">
        <v>46026</v>
      </c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68" t="s">
        <v>119</v>
      </c>
      <c r="C12" s="529">
        <v>44958</v>
      </c>
      <c r="D12" s="530"/>
      <c r="E12" s="460">
        <v>45139</v>
      </c>
      <c r="F12" s="460">
        <v>45323</v>
      </c>
      <c r="G12" s="460">
        <v>45505</v>
      </c>
      <c r="H12" s="460">
        <v>45689</v>
      </c>
      <c r="I12" s="460">
        <v>45870</v>
      </c>
      <c r="J12" s="463">
        <v>46054</v>
      </c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74" t="s">
        <v>124</v>
      </c>
      <c r="C14" s="394"/>
      <c r="D14" s="373" t="s">
        <v>125</v>
      </c>
      <c r="E14" s="148"/>
      <c r="F14" s="149"/>
      <c r="G14" s="150"/>
      <c r="H14" s="151"/>
      <c r="I14" s="152"/>
      <c r="J14" s="153"/>
      <c r="K14" s="398"/>
      <c r="L14" s="98"/>
      <c r="M14" s="98"/>
      <c r="N14" s="125"/>
      <c r="O14" s="98"/>
      <c r="P14" s="95"/>
    </row>
    <row r="15" spans="1:17" ht="8.25" customHeight="1" thickBot="1">
      <c r="A15" s="103"/>
      <c r="B15" s="375"/>
      <c r="C15" s="395"/>
      <c r="D15" s="378"/>
      <c r="E15" s="379"/>
      <c r="F15" s="379"/>
      <c r="G15" s="380"/>
      <c r="H15" s="379"/>
      <c r="I15" s="380"/>
      <c r="J15" s="381"/>
      <c r="L15" s="98"/>
      <c r="M15" s="123"/>
      <c r="N15" s="98"/>
      <c r="O15" s="95"/>
      <c r="P15" s="95"/>
    </row>
    <row r="16" spans="1:17" ht="74.25" customHeight="1" thickBot="1">
      <c r="A16" s="120"/>
      <c r="B16" s="376" t="s">
        <v>218</v>
      </c>
      <c r="C16" s="396"/>
      <c r="D16" s="382" t="s">
        <v>113</v>
      </c>
      <c r="E16" s="524" t="s">
        <v>381</v>
      </c>
      <c r="F16" s="525"/>
      <c r="G16" s="525"/>
      <c r="H16" s="525"/>
      <c r="I16" s="525"/>
      <c r="J16" s="526"/>
      <c r="K16" s="399"/>
      <c r="L16" s="134"/>
      <c r="M16" s="132"/>
      <c r="N16" s="131"/>
      <c r="P16" s="95"/>
    </row>
    <row r="17" spans="1:16" ht="108.75" customHeight="1" thickBot="1">
      <c r="A17" s="103"/>
      <c r="B17" s="377" t="s">
        <v>122</v>
      </c>
      <c r="C17" s="397"/>
      <c r="D17" s="382" t="s">
        <v>114</v>
      </c>
      <c r="E17" s="524" t="s">
        <v>382</v>
      </c>
      <c r="F17" s="525"/>
      <c r="G17" s="525"/>
      <c r="H17" s="525"/>
      <c r="I17" s="525"/>
      <c r="J17" s="526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77" t="s">
        <v>123</v>
      </c>
      <c r="C18" s="397"/>
      <c r="D18" s="383" t="s">
        <v>115</v>
      </c>
      <c r="E18" s="524" t="s">
        <v>383</v>
      </c>
      <c r="F18" s="525"/>
      <c r="G18" s="525"/>
      <c r="H18" s="525"/>
      <c r="I18" s="525"/>
      <c r="J18" s="526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84" t="s">
        <v>116</v>
      </c>
      <c r="E19" s="524" t="s">
        <v>384</v>
      </c>
      <c r="F19" s="525"/>
      <c r="G19" s="525"/>
      <c r="H19" s="525"/>
      <c r="I19" s="525"/>
      <c r="J19" s="526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83" t="s">
        <v>117</v>
      </c>
      <c r="E20" s="524" t="s">
        <v>385</v>
      </c>
      <c r="F20" s="525"/>
      <c r="G20" s="525"/>
      <c r="H20" s="525"/>
      <c r="I20" s="525"/>
      <c r="J20" s="526"/>
      <c r="K20" s="400"/>
      <c r="L20" s="385"/>
      <c r="M20" s="133"/>
      <c r="N20" s="131"/>
      <c r="O20" s="129"/>
    </row>
    <row r="21" spans="1:16" s="277" customFormat="1" ht="81.75" customHeight="1" thickBot="1">
      <c r="B21" s="278"/>
      <c r="C21" s="279"/>
      <c r="D21" s="386" t="s">
        <v>118</v>
      </c>
      <c r="E21" s="524" t="s">
        <v>385</v>
      </c>
      <c r="F21" s="525"/>
      <c r="G21" s="525"/>
      <c r="H21" s="525"/>
      <c r="I21" s="525"/>
      <c r="J21" s="526"/>
      <c r="K21" s="401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02" t="s">
        <v>119</v>
      </c>
      <c r="E22" s="524" t="s">
        <v>386</v>
      </c>
      <c r="F22" s="525"/>
      <c r="G22" s="525"/>
      <c r="H22" s="525"/>
      <c r="I22" s="525"/>
      <c r="J22" s="526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1" sqref="B1:Y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631" t="s">
        <v>0</v>
      </c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2"/>
      <c r="P1" s="632"/>
      <c r="Q1" s="632"/>
      <c r="R1" s="632"/>
      <c r="S1" s="632"/>
      <c r="T1" s="632"/>
      <c r="U1" s="632"/>
      <c r="V1" s="632"/>
      <c r="W1" s="632"/>
      <c r="X1" s="632"/>
      <c r="Y1" s="633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171</v>
      </c>
      <c r="B3" s="634" t="s">
        <v>211</v>
      </c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  <c r="O3" s="635"/>
      <c r="P3" s="635"/>
      <c r="Q3" s="635"/>
      <c r="R3" s="635"/>
      <c r="S3" s="635"/>
      <c r="T3" s="635"/>
      <c r="U3" s="635"/>
      <c r="V3" s="635"/>
      <c r="W3" s="635"/>
      <c r="X3" s="635"/>
      <c r="Y3" s="636"/>
      <c r="Z3" s="202"/>
      <c r="AA3" s="119"/>
    </row>
    <row r="4" spans="1:28" ht="23.25" customHeight="1" thickBot="1">
      <c r="A4" s="208" t="s">
        <v>172</v>
      </c>
      <c r="B4" s="637" t="s">
        <v>221</v>
      </c>
      <c r="C4" s="638"/>
      <c r="D4" s="638"/>
      <c r="E4" s="638"/>
      <c r="F4" s="638"/>
      <c r="G4" s="638"/>
      <c r="H4" s="638"/>
      <c r="I4" s="638"/>
      <c r="J4" s="638"/>
      <c r="K4" s="638"/>
      <c r="L4" s="638"/>
      <c r="M4" s="638"/>
      <c r="N4" s="638"/>
      <c r="O4" s="638"/>
      <c r="P4" s="638"/>
      <c r="Q4" s="638"/>
      <c r="R4" s="638"/>
      <c r="S4" s="638"/>
      <c r="T4" s="638"/>
      <c r="U4" s="638"/>
      <c r="V4" s="638"/>
      <c r="W4" s="638"/>
      <c r="X4" s="638"/>
      <c r="Y4" s="639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643" t="s">
        <v>128</v>
      </c>
      <c r="C6" s="644"/>
      <c r="D6" s="644"/>
      <c r="E6" s="645"/>
      <c r="F6" s="105"/>
      <c r="G6" s="168"/>
      <c r="H6" s="609" t="s">
        <v>133</v>
      </c>
      <c r="I6" s="610"/>
      <c r="J6" s="610"/>
      <c r="K6" s="611"/>
      <c r="L6" s="105"/>
      <c r="M6" s="168"/>
      <c r="N6" s="621" t="s">
        <v>152</v>
      </c>
      <c r="O6" s="622"/>
      <c r="P6" s="623"/>
      <c r="Q6" s="175"/>
      <c r="R6" s="177"/>
      <c r="S6" s="616" t="s">
        <v>134</v>
      </c>
      <c r="T6" s="617"/>
      <c r="U6" s="178"/>
      <c r="V6" s="182"/>
      <c r="W6" s="169"/>
      <c r="X6" s="616" t="s">
        <v>135</v>
      </c>
      <c r="Y6" s="617"/>
      <c r="Z6" s="96"/>
      <c r="AA6" s="119"/>
    </row>
    <row r="7" spans="1:28" ht="30.75" customHeight="1" thickBot="1">
      <c r="A7" s="209"/>
      <c r="B7" s="219" t="s">
        <v>129</v>
      </c>
      <c r="C7" s="211" t="s">
        <v>130</v>
      </c>
      <c r="D7" s="212" t="s">
        <v>131</v>
      </c>
      <c r="E7" s="213" t="s">
        <v>132</v>
      </c>
      <c r="F7" s="105"/>
      <c r="G7" s="135"/>
      <c r="H7" s="618">
        <f>I23</f>
        <v>68</v>
      </c>
      <c r="I7" s="620"/>
      <c r="J7" s="620"/>
      <c r="K7" s="619"/>
      <c r="L7" s="105"/>
      <c r="M7" s="135"/>
      <c r="N7" s="624">
        <f>L23</f>
        <v>187</v>
      </c>
      <c r="O7" s="625"/>
      <c r="P7" s="626"/>
      <c r="Q7" s="176"/>
      <c r="R7" s="178"/>
      <c r="S7" s="618">
        <f>O23</f>
        <v>473</v>
      </c>
      <c r="T7" s="619"/>
      <c r="U7" s="105"/>
      <c r="V7" s="181"/>
      <c r="W7" s="98"/>
      <c r="X7" s="618">
        <f>R23</f>
        <v>526</v>
      </c>
      <c r="Y7" s="619"/>
      <c r="Z7" s="167"/>
      <c r="AA7" s="119"/>
    </row>
    <row r="8" spans="1:28" ht="21.75" customHeight="1" thickBot="1">
      <c r="A8" s="209"/>
      <c r="B8" s="221" t="s">
        <v>389</v>
      </c>
      <c r="C8" s="215" t="s">
        <v>397</v>
      </c>
      <c r="D8" s="210">
        <v>2019</v>
      </c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 t="s">
        <v>390</v>
      </c>
      <c r="C9" s="216" t="s">
        <v>398</v>
      </c>
      <c r="D9" s="160">
        <v>2024</v>
      </c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 t="s">
        <v>391</v>
      </c>
      <c r="C10" s="216" t="s">
        <v>398</v>
      </c>
      <c r="D10" s="160">
        <v>2024</v>
      </c>
      <c r="E10" s="231"/>
      <c r="F10" s="105"/>
      <c r="G10" s="650" t="s">
        <v>136</v>
      </c>
      <c r="H10" s="651"/>
      <c r="I10" s="651"/>
      <c r="J10" s="651"/>
      <c r="K10" s="651"/>
      <c r="L10" s="651"/>
      <c r="M10" s="651"/>
      <c r="N10" s="651"/>
      <c r="O10" s="651"/>
      <c r="P10" s="651"/>
      <c r="Q10" s="651"/>
      <c r="R10" s="651"/>
      <c r="S10" s="651"/>
      <c r="T10" s="651"/>
      <c r="U10" s="651"/>
      <c r="V10" s="651"/>
      <c r="W10" s="651"/>
      <c r="X10" s="651"/>
      <c r="Y10" s="652"/>
      <c r="Z10" s="96"/>
      <c r="AA10" s="119"/>
    </row>
    <row r="11" spans="1:28" ht="19.5" customHeight="1">
      <c r="A11" s="95"/>
      <c r="B11" s="221" t="s">
        <v>392</v>
      </c>
      <c r="C11" s="220" t="s">
        <v>398</v>
      </c>
      <c r="D11" s="160">
        <v>2024</v>
      </c>
      <c r="E11" s="231"/>
      <c r="F11" s="105"/>
      <c r="G11" s="653" t="s">
        <v>137</v>
      </c>
      <c r="H11" s="648"/>
      <c r="I11" s="648" t="s">
        <v>138</v>
      </c>
      <c r="J11" s="648"/>
      <c r="K11" s="648"/>
      <c r="L11" s="648" t="s">
        <v>139</v>
      </c>
      <c r="M11" s="648"/>
      <c r="N11" s="648"/>
      <c r="O11" s="648" t="s">
        <v>140</v>
      </c>
      <c r="P11" s="648"/>
      <c r="Q11" s="648"/>
      <c r="R11" s="648" t="s">
        <v>135</v>
      </c>
      <c r="S11" s="648"/>
      <c r="T11" s="648"/>
      <c r="U11" s="648"/>
      <c r="V11" s="648"/>
      <c r="W11" s="648"/>
      <c r="X11" s="648"/>
      <c r="Y11" s="649"/>
      <c r="Z11" s="96"/>
      <c r="AA11" s="119"/>
    </row>
    <row r="12" spans="1:28" ht="17.25" customHeight="1">
      <c r="A12" s="95"/>
      <c r="B12" s="222" t="s">
        <v>393</v>
      </c>
      <c r="C12" s="224" t="s">
        <v>398</v>
      </c>
      <c r="D12" s="216">
        <v>2024</v>
      </c>
      <c r="E12" s="231"/>
      <c r="F12" s="105"/>
      <c r="G12" s="653"/>
      <c r="H12" s="648"/>
      <c r="I12" s="648"/>
      <c r="J12" s="648"/>
      <c r="K12" s="648"/>
      <c r="L12" s="648"/>
      <c r="M12" s="648"/>
      <c r="N12" s="648"/>
      <c r="O12" s="648"/>
      <c r="P12" s="648"/>
      <c r="Q12" s="648"/>
      <c r="R12" s="575" t="s">
        <v>141</v>
      </c>
      <c r="S12" s="575"/>
      <c r="T12" s="575" t="s">
        <v>142</v>
      </c>
      <c r="U12" s="575"/>
      <c r="V12" s="575" t="s">
        <v>143</v>
      </c>
      <c r="W12" s="575"/>
      <c r="X12" s="575" t="s">
        <v>144</v>
      </c>
      <c r="Y12" s="606"/>
      <c r="Z12" s="96"/>
      <c r="AA12" s="95"/>
    </row>
    <row r="13" spans="1:28" ht="18.75" customHeight="1">
      <c r="A13" s="95"/>
      <c r="B13" s="221" t="s">
        <v>394</v>
      </c>
      <c r="C13" s="215" t="s">
        <v>398</v>
      </c>
      <c r="D13" s="160">
        <v>2024</v>
      </c>
      <c r="E13" s="231"/>
      <c r="F13" s="105"/>
      <c r="G13" s="653"/>
      <c r="H13" s="648"/>
      <c r="I13" s="648"/>
      <c r="J13" s="648"/>
      <c r="K13" s="648"/>
      <c r="L13" s="648"/>
      <c r="M13" s="648"/>
      <c r="N13" s="648"/>
      <c r="O13" s="648"/>
      <c r="P13" s="648"/>
      <c r="Q13" s="648"/>
      <c r="R13" s="575"/>
      <c r="S13" s="575"/>
      <c r="T13" s="575"/>
      <c r="U13" s="575"/>
      <c r="V13" s="575"/>
      <c r="W13" s="575"/>
      <c r="X13" s="646"/>
      <c r="Y13" s="647"/>
      <c r="Z13" s="96"/>
      <c r="AA13" s="97"/>
    </row>
    <row r="14" spans="1:28" ht="18.75" customHeight="1">
      <c r="A14" s="95"/>
      <c r="B14" s="221" t="s">
        <v>395</v>
      </c>
      <c r="C14" s="216" t="s">
        <v>398</v>
      </c>
      <c r="D14" s="160">
        <v>2024</v>
      </c>
      <c r="E14" s="231"/>
      <c r="F14" s="105"/>
      <c r="G14" s="627" t="s">
        <v>18</v>
      </c>
      <c r="H14" s="628"/>
      <c r="I14" s="605">
        <v>4</v>
      </c>
      <c r="J14" s="629"/>
      <c r="K14" s="630"/>
      <c r="L14" s="603">
        <v>8</v>
      </c>
      <c r="M14" s="603"/>
      <c r="N14" s="603"/>
      <c r="O14" s="603">
        <v>30</v>
      </c>
      <c r="P14" s="603"/>
      <c r="Q14" s="603"/>
      <c r="R14" s="603">
        <v>53</v>
      </c>
      <c r="S14" s="603"/>
      <c r="T14" s="603">
        <v>0</v>
      </c>
      <c r="U14" s="603"/>
      <c r="V14" s="603">
        <v>8</v>
      </c>
      <c r="W14" s="605"/>
      <c r="X14" s="603">
        <v>2</v>
      </c>
      <c r="Y14" s="604"/>
      <c r="Z14" s="96"/>
    </row>
    <row r="15" spans="1:28" ht="19.5" customHeight="1" thickBot="1">
      <c r="A15" s="95"/>
      <c r="B15" s="223" t="s">
        <v>396</v>
      </c>
      <c r="C15" s="218" t="s">
        <v>398</v>
      </c>
      <c r="D15" s="217">
        <v>2024</v>
      </c>
      <c r="E15" s="232"/>
      <c r="F15" s="105"/>
      <c r="G15" s="627" t="s">
        <v>16</v>
      </c>
      <c r="H15" s="628"/>
      <c r="I15" s="605">
        <v>11</v>
      </c>
      <c r="J15" s="629"/>
      <c r="K15" s="630"/>
      <c r="L15" s="603">
        <v>30</v>
      </c>
      <c r="M15" s="603"/>
      <c r="N15" s="603"/>
      <c r="O15" s="603">
        <v>105</v>
      </c>
      <c r="P15" s="603"/>
      <c r="Q15" s="603"/>
      <c r="R15" s="603">
        <v>105</v>
      </c>
      <c r="S15" s="603"/>
      <c r="T15" s="603">
        <v>8</v>
      </c>
      <c r="U15" s="603"/>
      <c r="V15" s="603">
        <v>0</v>
      </c>
      <c r="W15" s="605"/>
      <c r="X15" s="603">
        <v>4</v>
      </c>
      <c r="Y15" s="604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627" t="s">
        <v>19</v>
      </c>
      <c r="H16" s="628"/>
      <c r="I16" s="605">
        <v>19</v>
      </c>
      <c r="J16" s="629"/>
      <c r="K16" s="630"/>
      <c r="L16" s="603">
        <v>58</v>
      </c>
      <c r="M16" s="603"/>
      <c r="N16" s="603"/>
      <c r="O16" s="603">
        <v>99</v>
      </c>
      <c r="P16" s="603"/>
      <c r="Q16" s="603"/>
      <c r="R16" s="603">
        <v>107</v>
      </c>
      <c r="S16" s="603"/>
      <c r="T16" s="603">
        <v>8</v>
      </c>
      <c r="U16" s="603"/>
      <c r="V16" s="603">
        <v>6</v>
      </c>
      <c r="W16" s="605"/>
      <c r="X16" s="603">
        <v>7</v>
      </c>
      <c r="Y16" s="604"/>
      <c r="Z16" s="96"/>
      <c r="AA16" s="119"/>
      <c r="AB16" s="226"/>
    </row>
    <row r="17" spans="1:27" ht="21" customHeight="1">
      <c r="A17" s="95"/>
      <c r="B17" s="640" t="s">
        <v>146</v>
      </c>
      <c r="C17" s="641"/>
      <c r="D17" s="641"/>
      <c r="E17" s="642"/>
      <c r="F17" s="105"/>
      <c r="G17" s="627" t="s">
        <v>17</v>
      </c>
      <c r="H17" s="628"/>
      <c r="I17" s="605">
        <v>15</v>
      </c>
      <c r="J17" s="629"/>
      <c r="K17" s="630"/>
      <c r="L17" s="603">
        <v>49</v>
      </c>
      <c r="M17" s="603"/>
      <c r="N17" s="603"/>
      <c r="O17" s="603">
        <v>127</v>
      </c>
      <c r="P17" s="603"/>
      <c r="Q17" s="603"/>
      <c r="R17" s="603">
        <v>134</v>
      </c>
      <c r="S17" s="603"/>
      <c r="T17" s="603">
        <v>12</v>
      </c>
      <c r="U17" s="603"/>
      <c r="V17" s="603">
        <v>5</v>
      </c>
      <c r="W17" s="605"/>
      <c r="X17" s="603">
        <v>7</v>
      </c>
      <c r="Y17" s="604"/>
      <c r="Z17" s="96"/>
      <c r="AA17" s="119"/>
    </row>
    <row r="18" spans="1:27" ht="34.5" customHeight="1">
      <c r="A18" s="95"/>
      <c r="B18" s="183" t="s">
        <v>147</v>
      </c>
      <c r="C18" s="159" t="s">
        <v>141</v>
      </c>
      <c r="D18" s="158" t="s">
        <v>127</v>
      </c>
      <c r="E18" s="184" t="s">
        <v>148</v>
      </c>
      <c r="F18" s="105"/>
      <c r="G18" s="627" t="s">
        <v>402</v>
      </c>
      <c r="H18" s="628"/>
      <c r="I18" s="605">
        <v>1</v>
      </c>
      <c r="J18" s="629"/>
      <c r="K18" s="630"/>
      <c r="L18" s="603">
        <v>2</v>
      </c>
      <c r="M18" s="603"/>
      <c r="N18" s="603"/>
      <c r="O18" s="603">
        <v>4</v>
      </c>
      <c r="P18" s="603"/>
      <c r="Q18" s="603"/>
      <c r="R18" s="603">
        <v>4</v>
      </c>
      <c r="S18" s="603"/>
      <c r="T18" s="603">
        <v>0</v>
      </c>
      <c r="U18" s="603"/>
      <c r="V18" s="603">
        <v>2</v>
      </c>
      <c r="W18" s="605"/>
      <c r="X18" s="603">
        <v>2</v>
      </c>
      <c r="Y18" s="604"/>
      <c r="Z18" s="96"/>
      <c r="AA18" s="119"/>
    </row>
    <row r="19" spans="1:27" ht="30.75" customHeight="1">
      <c r="A19" s="95"/>
      <c r="B19" s="185" t="s">
        <v>149</v>
      </c>
      <c r="C19" s="160">
        <v>16</v>
      </c>
      <c r="D19" s="165" t="s">
        <v>401</v>
      </c>
      <c r="E19" s="233"/>
      <c r="F19" s="105"/>
      <c r="G19" s="627" t="s">
        <v>403</v>
      </c>
      <c r="H19" s="628"/>
      <c r="I19" s="605">
        <v>5</v>
      </c>
      <c r="J19" s="629"/>
      <c r="K19" s="630"/>
      <c r="L19" s="603">
        <v>8</v>
      </c>
      <c r="M19" s="603"/>
      <c r="N19" s="603"/>
      <c r="O19" s="603">
        <v>22</v>
      </c>
      <c r="P19" s="603"/>
      <c r="Q19" s="603"/>
      <c r="R19" s="603">
        <v>22</v>
      </c>
      <c r="S19" s="603"/>
      <c r="T19" s="603">
        <v>0</v>
      </c>
      <c r="U19" s="603"/>
      <c r="V19" s="603">
        <v>2</v>
      </c>
      <c r="W19" s="605"/>
      <c r="X19" s="603">
        <v>0</v>
      </c>
      <c r="Y19" s="604"/>
      <c r="Z19" s="96"/>
      <c r="AA19" s="119"/>
    </row>
    <row r="20" spans="1:27" ht="30" customHeight="1">
      <c r="A20" s="95"/>
      <c r="B20" s="185" t="s">
        <v>150</v>
      </c>
      <c r="C20" s="165">
        <v>13</v>
      </c>
      <c r="D20" s="165" t="s">
        <v>401</v>
      </c>
      <c r="E20" s="233"/>
      <c r="F20" s="105"/>
      <c r="G20" s="627" t="s">
        <v>22</v>
      </c>
      <c r="H20" s="628"/>
      <c r="I20" s="605">
        <v>9</v>
      </c>
      <c r="J20" s="629"/>
      <c r="K20" s="630"/>
      <c r="L20" s="603">
        <v>22</v>
      </c>
      <c r="M20" s="603"/>
      <c r="N20" s="603"/>
      <c r="O20" s="603">
        <v>32</v>
      </c>
      <c r="P20" s="603"/>
      <c r="Q20" s="603"/>
      <c r="R20" s="603">
        <v>33</v>
      </c>
      <c r="S20" s="603"/>
      <c r="T20" s="603">
        <v>0</v>
      </c>
      <c r="U20" s="603"/>
      <c r="V20" s="603">
        <v>0</v>
      </c>
      <c r="W20" s="605"/>
      <c r="X20" s="603">
        <v>0</v>
      </c>
      <c r="Y20" s="604"/>
      <c r="Z20" s="96"/>
      <c r="AA20" s="119"/>
    </row>
    <row r="21" spans="1:27" ht="30" customHeight="1">
      <c r="A21" s="95"/>
      <c r="B21" s="185" t="s">
        <v>399</v>
      </c>
      <c r="C21" s="165">
        <v>35</v>
      </c>
      <c r="D21" s="165" t="s">
        <v>401</v>
      </c>
      <c r="E21" s="233"/>
      <c r="F21" s="105"/>
      <c r="G21" s="627" t="s">
        <v>20</v>
      </c>
      <c r="H21" s="628"/>
      <c r="I21" s="605">
        <v>3</v>
      </c>
      <c r="J21" s="629"/>
      <c r="K21" s="630"/>
      <c r="L21" s="603">
        <v>8</v>
      </c>
      <c r="M21" s="603"/>
      <c r="N21" s="603"/>
      <c r="O21" s="603">
        <v>50</v>
      </c>
      <c r="P21" s="603"/>
      <c r="Q21" s="603"/>
      <c r="R21" s="603">
        <v>62</v>
      </c>
      <c r="S21" s="603"/>
      <c r="T21" s="603">
        <v>0</v>
      </c>
      <c r="U21" s="603"/>
      <c r="V21" s="603">
        <v>10</v>
      </c>
      <c r="W21" s="605"/>
      <c r="X21" s="603">
        <v>11</v>
      </c>
      <c r="Y21" s="604"/>
      <c r="Z21" s="96"/>
      <c r="AA21" s="119"/>
    </row>
    <row r="22" spans="1:27" ht="32.25" customHeight="1">
      <c r="A22" s="95"/>
      <c r="B22" s="185" t="s">
        <v>151</v>
      </c>
      <c r="C22" s="165">
        <v>21</v>
      </c>
      <c r="D22" s="165" t="s">
        <v>401</v>
      </c>
      <c r="E22" s="233"/>
      <c r="F22" s="105"/>
      <c r="G22" s="627" t="s">
        <v>404</v>
      </c>
      <c r="H22" s="628"/>
      <c r="I22" s="605">
        <v>1</v>
      </c>
      <c r="J22" s="629"/>
      <c r="K22" s="630"/>
      <c r="L22" s="603">
        <v>2</v>
      </c>
      <c r="M22" s="603"/>
      <c r="N22" s="603"/>
      <c r="O22" s="603">
        <v>4</v>
      </c>
      <c r="P22" s="603"/>
      <c r="Q22" s="603"/>
      <c r="R22" s="603">
        <v>6</v>
      </c>
      <c r="S22" s="603"/>
      <c r="T22" s="603">
        <v>0</v>
      </c>
      <c r="U22" s="603"/>
      <c r="V22" s="603">
        <v>0</v>
      </c>
      <c r="W22" s="605"/>
      <c r="X22" s="603">
        <v>3</v>
      </c>
      <c r="Y22" s="604"/>
      <c r="Z22" s="96"/>
      <c r="AA22" s="119"/>
    </row>
    <row r="23" spans="1:27" ht="30.75" customHeight="1" thickBot="1">
      <c r="A23" s="95"/>
      <c r="B23" s="186" t="s">
        <v>400</v>
      </c>
      <c r="C23" s="187">
        <v>2</v>
      </c>
      <c r="D23" s="187" t="s">
        <v>401</v>
      </c>
      <c r="E23" s="234"/>
      <c r="F23" s="105"/>
      <c r="G23" s="615" t="s">
        <v>145</v>
      </c>
      <c r="H23" s="607"/>
      <c r="I23" s="607">
        <f>SUM(I14:K22)</f>
        <v>68</v>
      </c>
      <c r="J23" s="607"/>
      <c r="K23" s="607"/>
      <c r="L23" s="607">
        <f>SUM(L14:N22)</f>
        <v>187</v>
      </c>
      <c r="M23" s="607"/>
      <c r="N23" s="607"/>
      <c r="O23" s="612">
        <f>SUM(O14:Q22)</f>
        <v>473</v>
      </c>
      <c r="P23" s="613"/>
      <c r="Q23" s="614"/>
      <c r="R23" s="612">
        <f>SUM(R14:S22)</f>
        <v>526</v>
      </c>
      <c r="S23" s="614"/>
      <c r="T23" s="612">
        <f>SUM(T14:U22)</f>
        <v>28</v>
      </c>
      <c r="U23" s="614"/>
      <c r="V23" s="612">
        <f>SUM(V14:W22)</f>
        <v>33</v>
      </c>
      <c r="W23" s="613"/>
      <c r="X23" s="607">
        <f>SUM(X14:Y22)</f>
        <v>36</v>
      </c>
      <c r="Y23" s="608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570" t="s">
        <v>160</v>
      </c>
      <c r="I26" s="571"/>
      <c r="J26" s="572"/>
      <c r="K26" s="105"/>
      <c r="L26" s="579" t="s">
        <v>153</v>
      </c>
      <c r="M26" s="580"/>
      <c r="N26" s="580"/>
      <c r="O26" s="580"/>
      <c r="P26" s="580"/>
      <c r="Q26" s="580"/>
      <c r="R26" s="580"/>
      <c r="S26" s="580"/>
      <c r="T26" s="580"/>
      <c r="U26" s="580"/>
      <c r="V26" s="580"/>
      <c r="W26" s="580"/>
      <c r="X26" s="580"/>
      <c r="Y26" s="581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552">
        <f>Y38</f>
        <v>64</v>
      </c>
      <c r="I27" s="553"/>
      <c r="J27" s="554"/>
      <c r="K27" s="105"/>
      <c r="L27" s="601" t="s">
        <v>137</v>
      </c>
      <c r="M27" s="575"/>
      <c r="N27" s="575"/>
      <c r="O27" s="575" t="s">
        <v>154</v>
      </c>
      <c r="P27" s="575"/>
      <c r="Q27" s="575" t="s">
        <v>155</v>
      </c>
      <c r="R27" s="575"/>
      <c r="S27" s="575" t="s">
        <v>156</v>
      </c>
      <c r="T27" s="575" t="s">
        <v>157</v>
      </c>
      <c r="U27" s="575"/>
      <c r="V27" s="575" t="s">
        <v>158</v>
      </c>
      <c r="W27" s="575" t="s">
        <v>159</v>
      </c>
      <c r="X27" s="575"/>
      <c r="Y27" s="606" t="s">
        <v>145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601"/>
      <c r="M28" s="575"/>
      <c r="N28" s="575"/>
      <c r="O28" s="575"/>
      <c r="P28" s="575"/>
      <c r="Q28" s="575"/>
      <c r="R28" s="575"/>
      <c r="S28" s="575"/>
      <c r="T28" s="575"/>
      <c r="U28" s="575"/>
      <c r="V28" s="575"/>
      <c r="W28" s="575"/>
      <c r="X28" s="575"/>
      <c r="Y28" s="606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87" t="s">
        <v>18</v>
      </c>
      <c r="M29" s="555"/>
      <c r="N29" s="555"/>
      <c r="O29" s="555">
        <v>3</v>
      </c>
      <c r="P29" s="555"/>
      <c r="Q29" s="555">
        <v>1</v>
      </c>
      <c r="R29" s="555"/>
      <c r="S29" s="87">
        <v>0</v>
      </c>
      <c r="T29" s="555">
        <v>0</v>
      </c>
      <c r="U29" s="555"/>
      <c r="V29" s="87">
        <v>3</v>
      </c>
      <c r="W29" s="555">
        <v>0</v>
      </c>
      <c r="X29" s="556"/>
      <c r="Y29" s="227">
        <v>6</v>
      </c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87" t="s">
        <v>16</v>
      </c>
      <c r="M30" s="555"/>
      <c r="N30" s="555"/>
      <c r="O30" s="555">
        <v>0</v>
      </c>
      <c r="P30" s="555"/>
      <c r="Q30" s="555">
        <v>0</v>
      </c>
      <c r="R30" s="555"/>
      <c r="S30" s="87">
        <v>9</v>
      </c>
      <c r="T30" s="555">
        <v>3</v>
      </c>
      <c r="U30" s="555"/>
      <c r="V30" s="87">
        <v>2</v>
      </c>
      <c r="W30" s="555">
        <v>1</v>
      </c>
      <c r="X30" s="556"/>
      <c r="Y30" s="227">
        <v>11</v>
      </c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576" t="s">
        <v>150</v>
      </c>
      <c r="I31" s="577"/>
      <c r="J31" s="578"/>
      <c r="K31" s="105"/>
      <c r="L31" s="587" t="s">
        <v>19</v>
      </c>
      <c r="M31" s="555"/>
      <c r="N31" s="555"/>
      <c r="O31" s="555">
        <v>1</v>
      </c>
      <c r="P31" s="555"/>
      <c r="Q31" s="555">
        <v>0</v>
      </c>
      <c r="R31" s="555"/>
      <c r="S31" s="87">
        <v>3</v>
      </c>
      <c r="T31" s="555">
        <v>4</v>
      </c>
      <c r="U31" s="555"/>
      <c r="V31" s="87">
        <v>2</v>
      </c>
      <c r="W31" s="555">
        <v>0</v>
      </c>
      <c r="X31" s="556"/>
      <c r="Y31" s="227">
        <v>6</v>
      </c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87" t="s">
        <v>17</v>
      </c>
      <c r="M32" s="555"/>
      <c r="N32" s="555"/>
      <c r="O32" s="555">
        <v>2</v>
      </c>
      <c r="P32" s="555"/>
      <c r="Q32" s="555">
        <v>0</v>
      </c>
      <c r="R32" s="555"/>
      <c r="S32" s="87">
        <v>4</v>
      </c>
      <c r="T32" s="555">
        <v>2</v>
      </c>
      <c r="U32" s="555"/>
      <c r="V32" s="87">
        <v>9</v>
      </c>
      <c r="W32" s="555">
        <v>2</v>
      </c>
      <c r="X32" s="556"/>
      <c r="Y32" s="227">
        <v>15</v>
      </c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552">
        <f>O38</f>
        <v>13</v>
      </c>
      <c r="I33" s="553"/>
      <c r="J33" s="554"/>
      <c r="K33" s="105"/>
      <c r="L33" s="587" t="s">
        <v>402</v>
      </c>
      <c r="M33" s="555"/>
      <c r="N33" s="555"/>
      <c r="O33" s="555">
        <v>2</v>
      </c>
      <c r="P33" s="555"/>
      <c r="Q33" s="555">
        <v>2</v>
      </c>
      <c r="R33" s="555"/>
      <c r="S33" s="87">
        <v>0</v>
      </c>
      <c r="T33" s="555">
        <v>0</v>
      </c>
      <c r="U33" s="555"/>
      <c r="V33" s="87">
        <v>1</v>
      </c>
      <c r="W33" s="555">
        <v>1</v>
      </c>
      <c r="X33" s="556"/>
      <c r="Y33" s="227">
        <v>3</v>
      </c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87" t="s">
        <v>403</v>
      </c>
      <c r="M34" s="555"/>
      <c r="N34" s="555"/>
      <c r="O34" s="555">
        <v>1</v>
      </c>
      <c r="P34" s="555"/>
      <c r="Q34" s="555">
        <v>0</v>
      </c>
      <c r="R34" s="555"/>
      <c r="S34" s="87">
        <v>0</v>
      </c>
      <c r="T34" s="555">
        <v>0</v>
      </c>
      <c r="U34" s="555"/>
      <c r="V34" s="87">
        <v>4</v>
      </c>
      <c r="W34" s="555">
        <v>0</v>
      </c>
      <c r="X34" s="556"/>
      <c r="Y34" s="227">
        <v>5</v>
      </c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87" t="s">
        <v>22</v>
      </c>
      <c r="M35" s="555"/>
      <c r="N35" s="555"/>
      <c r="O35" s="582">
        <v>0</v>
      </c>
      <c r="P35" s="582"/>
      <c r="Q35" s="582">
        <v>0</v>
      </c>
      <c r="R35" s="582"/>
      <c r="S35" s="190">
        <v>0</v>
      </c>
      <c r="T35" s="582">
        <v>0</v>
      </c>
      <c r="U35" s="582"/>
      <c r="V35" s="190">
        <v>5</v>
      </c>
      <c r="W35" s="582">
        <v>0</v>
      </c>
      <c r="X35" s="602"/>
      <c r="Y35" s="227">
        <v>5</v>
      </c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87" t="s">
        <v>20</v>
      </c>
      <c r="M36" s="555"/>
      <c r="N36" s="556"/>
      <c r="O36" s="559">
        <v>4</v>
      </c>
      <c r="P36" s="559"/>
      <c r="Q36" s="559">
        <v>1</v>
      </c>
      <c r="R36" s="559"/>
      <c r="S36" s="191">
        <v>0</v>
      </c>
      <c r="T36" s="559">
        <v>0</v>
      </c>
      <c r="U36" s="559"/>
      <c r="V36" s="191">
        <v>6</v>
      </c>
      <c r="W36" s="559">
        <v>1</v>
      </c>
      <c r="X36" s="583"/>
      <c r="Y36" s="227">
        <v>10</v>
      </c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576" t="s">
        <v>149</v>
      </c>
      <c r="I37" s="577"/>
      <c r="J37" s="578"/>
      <c r="K37" s="105"/>
      <c r="L37" s="587" t="s">
        <v>404</v>
      </c>
      <c r="M37" s="555"/>
      <c r="N37" s="556"/>
      <c r="O37" s="559">
        <v>0</v>
      </c>
      <c r="P37" s="559"/>
      <c r="Q37" s="559">
        <v>0</v>
      </c>
      <c r="R37" s="559"/>
      <c r="S37" s="191">
        <v>0</v>
      </c>
      <c r="T37" s="559">
        <v>0</v>
      </c>
      <c r="U37" s="559"/>
      <c r="V37" s="191">
        <v>3</v>
      </c>
      <c r="W37" s="559">
        <v>3</v>
      </c>
      <c r="X37" s="583"/>
      <c r="Y37" s="227">
        <v>3</v>
      </c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595" t="s">
        <v>145</v>
      </c>
      <c r="M38" s="596"/>
      <c r="N38" s="597"/>
      <c r="O38" s="560">
        <f>SUM(O29:P37)</f>
        <v>13</v>
      </c>
      <c r="P38" s="560"/>
      <c r="Q38" s="560">
        <f>SUM(Q29:R37)</f>
        <v>4</v>
      </c>
      <c r="R38" s="560"/>
      <c r="S38" s="228">
        <f>SUM(S29:S37)</f>
        <v>16</v>
      </c>
      <c r="T38" s="560">
        <f>SUM(T29:U37)</f>
        <v>9</v>
      </c>
      <c r="U38" s="560"/>
      <c r="V38" s="228">
        <f>SUM(V29:V37)</f>
        <v>35</v>
      </c>
      <c r="W38" s="560">
        <f>SUM(W29:X37)</f>
        <v>8</v>
      </c>
      <c r="X38" s="560"/>
      <c r="Y38" s="229">
        <f>SUM(Y29:Y37)</f>
        <v>64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552">
        <f>S38</f>
        <v>16</v>
      </c>
      <c r="I39" s="553"/>
      <c r="J39" s="554"/>
      <c r="K39" s="105"/>
      <c r="L39" s="590"/>
      <c r="M39" s="598"/>
      <c r="N39" s="599"/>
      <c r="O39" s="590"/>
      <c r="P39" s="591"/>
      <c r="Q39" s="573"/>
      <c r="R39" s="574"/>
      <c r="S39" s="123"/>
      <c r="T39" s="561"/>
      <c r="U39" s="561"/>
      <c r="V39" s="123"/>
      <c r="W39" s="561"/>
      <c r="X39" s="561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563"/>
      <c r="M40" s="600"/>
      <c r="N40" s="564"/>
      <c r="O40" s="592"/>
      <c r="P40" s="589"/>
      <c r="Q40" s="588"/>
      <c r="R40" s="589"/>
      <c r="S40" s="98"/>
      <c r="T40" s="562"/>
      <c r="U40" s="562"/>
      <c r="V40" s="98"/>
      <c r="W40" s="562"/>
      <c r="X40" s="562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563"/>
      <c r="M41" s="600"/>
      <c r="N41" s="564"/>
      <c r="O41" s="593"/>
      <c r="P41" s="594"/>
      <c r="Q41" s="563"/>
      <c r="R41" s="564"/>
      <c r="S41" s="98"/>
      <c r="T41" s="563"/>
      <c r="U41" s="564"/>
      <c r="V41" s="98"/>
      <c r="W41" s="563"/>
      <c r="X41" s="564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584"/>
      <c r="M42" s="585"/>
      <c r="N42" s="586"/>
      <c r="O42" s="573"/>
      <c r="P42" s="574"/>
      <c r="Q42" s="98"/>
      <c r="R42" s="557" t="s">
        <v>204</v>
      </c>
      <c r="S42" s="558"/>
      <c r="T42" s="124"/>
      <c r="U42" s="565"/>
      <c r="V42" s="566"/>
      <c r="W42" s="565"/>
      <c r="X42" s="566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568" t="s">
        <v>161</v>
      </c>
      <c r="I43" s="568"/>
      <c r="J43" s="569"/>
      <c r="K43" s="105"/>
      <c r="L43" s="161"/>
      <c r="M43" s="192"/>
      <c r="N43" s="543" t="s">
        <v>151</v>
      </c>
      <c r="O43" s="544"/>
      <c r="P43" s="545"/>
      <c r="Q43" s="162"/>
      <c r="R43" s="348" t="s">
        <v>205</v>
      </c>
      <c r="S43" s="361"/>
      <c r="T43" s="358" t="s">
        <v>208</v>
      </c>
      <c r="U43" s="349"/>
      <c r="V43" s="349"/>
      <c r="W43" s="349"/>
      <c r="X43" s="362"/>
      <c r="Y43" s="355"/>
      <c r="Z43" s="351"/>
      <c r="AA43" s="356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68"/>
      <c r="R44" s="350"/>
      <c r="S44" s="365"/>
      <c r="T44" s="366"/>
      <c r="U44" s="363"/>
      <c r="V44" s="364"/>
      <c r="W44" s="364"/>
      <c r="X44" s="364"/>
      <c r="Y44" s="370"/>
      <c r="Z44" s="364"/>
      <c r="AA44" s="365"/>
    </row>
    <row r="45" spans="1:27" ht="27" customHeight="1">
      <c r="A45" s="98"/>
      <c r="B45" s="98"/>
      <c r="C45" s="98"/>
      <c r="D45" s="98"/>
      <c r="E45" s="98"/>
      <c r="F45" s="95"/>
      <c r="G45" s="162"/>
      <c r="H45" s="552">
        <f>SUM(V38)</f>
        <v>35</v>
      </c>
      <c r="I45" s="553"/>
      <c r="J45" s="554"/>
      <c r="K45" s="105"/>
      <c r="L45" s="162"/>
      <c r="M45" s="98"/>
      <c r="N45" s="98"/>
      <c r="O45" s="546">
        <f>SUM(Q38,T38,W38)</f>
        <v>21</v>
      </c>
      <c r="P45" s="547"/>
      <c r="Q45" s="162"/>
      <c r="R45" s="349" t="s">
        <v>206</v>
      </c>
      <c r="S45" s="359"/>
      <c r="T45" s="357" t="s">
        <v>209</v>
      </c>
      <c r="U45" s="358"/>
      <c r="V45" s="351"/>
      <c r="W45" s="351"/>
      <c r="X45" s="356"/>
      <c r="Y45" s="369"/>
      <c r="Z45" s="351"/>
      <c r="AA45" s="356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548"/>
      <c r="P46" s="549"/>
      <c r="Q46" s="162"/>
      <c r="R46" s="350"/>
      <c r="S46" s="365"/>
      <c r="T46" s="366"/>
      <c r="U46" s="363"/>
      <c r="V46" s="364"/>
      <c r="W46" s="364"/>
      <c r="X46" s="364"/>
      <c r="Y46" s="371"/>
      <c r="Z46" s="364"/>
      <c r="AA46" s="367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57" t="s">
        <v>207</v>
      </c>
      <c r="S47" s="356"/>
      <c r="T47" s="357" t="s">
        <v>210</v>
      </c>
      <c r="U47" s="358"/>
      <c r="V47" s="351"/>
      <c r="W47" s="351"/>
      <c r="X47" s="356"/>
      <c r="Y47" s="372"/>
      <c r="Z47" s="351"/>
      <c r="AA47" s="360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550"/>
      <c r="I50" s="550"/>
      <c r="J50" s="551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567"/>
      <c r="I52" s="567"/>
      <c r="J52" s="567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540"/>
      <c r="Y55" s="541"/>
      <c r="Z55" s="541"/>
      <c r="AA55" s="541"/>
      <c r="AB55" s="542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52"/>
      <c r="Y56" s="353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54"/>
      <c r="Y57" s="353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52"/>
      <c r="Y58" s="353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54"/>
      <c r="Y59" s="353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540"/>
      <c r="V63" s="541"/>
      <c r="W63" s="541"/>
      <c r="X63" s="541"/>
      <c r="Y63" s="542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52"/>
      <c r="V64" s="353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54"/>
      <c r="V65" s="353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52"/>
      <c r="V66" s="353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54"/>
      <c r="V67" s="353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6" t="s">
        <v>162</v>
      </c>
      <c r="C2" s="656"/>
      <c r="D2" s="656"/>
      <c r="E2" s="656"/>
      <c r="F2" s="656"/>
    </row>
    <row r="3" spans="1:6">
      <c r="B3" s="657" t="s">
        <v>163</v>
      </c>
      <c r="C3" s="657"/>
      <c r="D3" s="657"/>
      <c r="E3" s="657"/>
      <c r="F3" s="657"/>
    </row>
    <row r="4" spans="1:6">
      <c r="B4" s="89" t="s">
        <v>164</v>
      </c>
      <c r="C4" s="89" t="s">
        <v>165</v>
      </c>
      <c r="D4" s="89" t="s">
        <v>166</v>
      </c>
      <c r="E4" s="89" t="s">
        <v>167</v>
      </c>
      <c r="F4" s="89" t="s">
        <v>168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4" t="s">
        <v>169</v>
      </c>
      <c r="D14" s="264" t="s">
        <v>163</v>
      </c>
      <c r="E14" s="265" t="s">
        <v>145</v>
      </c>
    </row>
    <row r="15" spans="1:6">
      <c r="C15" s="89">
        <v>1</v>
      </c>
      <c r="D15" s="89">
        <v>1</v>
      </c>
      <c r="E15" s="2">
        <v>29</v>
      </c>
    </row>
    <row r="16" spans="1:6">
      <c r="C16" s="89">
        <v>2</v>
      </c>
      <c r="D16" s="89">
        <v>1</v>
      </c>
      <c r="E16" s="2">
        <v>11</v>
      </c>
    </row>
    <row r="17" spans="3:8">
      <c r="C17" s="89">
        <v>3</v>
      </c>
      <c r="D17" s="89">
        <v>1</v>
      </c>
      <c r="E17" s="2">
        <v>3</v>
      </c>
    </row>
    <row r="18" spans="3:8">
      <c r="C18" s="89">
        <v>4</v>
      </c>
      <c r="D18" s="89">
        <v>1</v>
      </c>
      <c r="E18" s="2">
        <v>1</v>
      </c>
    </row>
    <row r="19" spans="3:8">
      <c r="C19" s="89">
        <v>5</v>
      </c>
      <c r="D19" s="89">
        <v>1</v>
      </c>
      <c r="E19" s="2">
        <v>0</v>
      </c>
    </row>
    <row r="20" spans="3:8">
      <c r="C20" s="89">
        <v>1</v>
      </c>
      <c r="D20" s="89">
        <v>2</v>
      </c>
      <c r="E20" s="2">
        <v>22</v>
      </c>
    </row>
    <row r="21" spans="3:8">
      <c r="C21" s="89">
        <v>2</v>
      </c>
      <c r="D21" s="89">
        <v>2</v>
      </c>
      <c r="E21" s="2">
        <v>55</v>
      </c>
    </row>
    <row r="22" spans="3:8">
      <c r="C22" s="89">
        <v>3</v>
      </c>
      <c r="D22" s="89">
        <v>2</v>
      </c>
      <c r="E22" s="2">
        <v>33</v>
      </c>
    </row>
    <row r="23" spans="3:8">
      <c r="C23" s="89">
        <v>4</v>
      </c>
      <c r="D23" s="89">
        <v>2</v>
      </c>
      <c r="E23" s="2">
        <v>14</v>
      </c>
    </row>
    <row r="24" spans="3:8">
      <c r="C24" s="89">
        <v>5</v>
      </c>
      <c r="D24" s="89">
        <v>2</v>
      </c>
      <c r="E24" s="2">
        <v>0</v>
      </c>
    </row>
    <row r="25" spans="3:8">
      <c r="C25" s="89">
        <v>1</v>
      </c>
      <c r="D25" s="89">
        <v>3</v>
      </c>
      <c r="E25" s="2">
        <v>25</v>
      </c>
    </row>
    <row r="26" spans="3:8">
      <c r="C26" s="89">
        <v>2</v>
      </c>
      <c r="D26" s="89">
        <v>3</v>
      </c>
      <c r="E26" s="2">
        <v>72</v>
      </c>
      <c r="G26" s="654" t="s">
        <v>169</v>
      </c>
      <c r="H26" s="655">
        <v>5</v>
      </c>
    </row>
    <row r="27" spans="3:8">
      <c r="C27" s="89">
        <v>3</v>
      </c>
      <c r="D27" s="89">
        <v>3</v>
      </c>
      <c r="E27" s="2">
        <v>96</v>
      </c>
      <c r="G27" s="654"/>
      <c r="H27" s="655"/>
    </row>
    <row r="28" spans="3:8">
      <c r="C28" s="89">
        <v>4</v>
      </c>
      <c r="D28" s="89">
        <v>3</v>
      </c>
      <c r="E28" s="2">
        <v>21</v>
      </c>
      <c r="G28" s="654"/>
      <c r="H28" s="655"/>
    </row>
    <row r="29" spans="3:8">
      <c r="C29" s="89">
        <v>5</v>
      </c>
      <c r="D29" s="89">
        <v>3</v>
      </c>
      <c r="E29" s="2">
        <v>2</v>
      </c>
      <c r="G29" s="654"/>
      <c r="H29" s="655"/>
    </row>
    <row r="30" spans="3:8">
      <c r="C30" s="89">
        <v>1</v>
      </c>
      <c r="D30" s="89">
        <v>4</v>
      </c>
      <c r="E30" s="2">
        <v>22</v>
      </c>
      <c r="G30" s="654"/>
      <c r="H30" s="655"/>
    </row>
    <row r="31" spans="3:8">
      <c r="C31" s="89">
        <v>2</v>
      </c>
      <c r="D31" s="89">
        <v>4</v>
      </c>
      <c r="E31" s="2">
        <v>31</v>
      </c>
      <c r="G31" s="654"/>
      <c r="H31" s="655">
        <v>4</v>
      </c>
    </row>
    <row r="32" spans="3:8">
      <c r="C32" s="89">
        <v>3</v>
      </c>
      <c r="D32" s="89">
        <v>4</v>
      </c>
      <c r="E32" s="2">
        <v>45</v>
      </c>
      <c r="G32" s="654"/>
      <c r="H32" s="655"/>
    </row>
    <row r="33" spans="3:8">
      <c r="C33" s="89">
        <v>4</v>
      </c>
      <c r="D33" s="89">
        <v>4</v>
      </c>
      <c r="E33" s="2">
        <v>18</v>
      </c>
      <c r="G33" s="654"/>
      <c r="H33" s="655"/>
    </row>
    <row r="34" spans="3:8">
      <c r="C34" s="89">
        <v>5</v>
      </c>
      <c r="D34" s="89">
        <v>4</v>
      </c>
      <c r="E34" s="2">
        <v>0</v>
      </c>
      <c r="G34" s="654"/>
      <c r="H34" s="655"/>
    </row>
    <row r="35" spans="3:8">
      <c r="C35" s="89">
        <v>1</v>
      </c>
      <c r="D35" s="89">
        <v>5</v>
      </c>
      <c r="E35" s="2">
        <v>14</v>
      </c>
      <c r="G35" s="654"/>
      <c r="H35" s="655"/>
    </row>
    <row r="36" spans="3:8">
      <c r="C36" s="89">
        <v>2</v>
      </c>
      <c r="D36" s="89">
        <v>5</v>
      </c>
      <c r="E36" s="2">
        <v>10</v>
      </c>
      <c r="G36" s="654"/>
      <c r="H36" s="655">
        <v>3</v>
      </c>
    </row>
    <row r="37" spans="3:8">
      <c r="C37" s="89">
        <v>3</v>
      </c>
      <c r="D37" s="89">
        <v>5</v>
      </c>
      <c r="E37" s="2">
        <v>2</v>
      </c>
      <c r="G37" s="654"/>
      <c r="H37" s="655"/>
    </row>
    <row r="38" spans="3:8">
      <c r="C38" s="89">
        <v>4</v>
      </c>
      <c r="D38" s="89">
        <v>5</v>
      </c>
      <c r="E38" s="2">
        <v>0</v>
      </c>
      <c r="G38" s="654"/>
      <c r="H38" s="655"/>
    </row>
    <row r="39" spans="3:8">
      <c r="C39" s="89">
        <v>5</v>
      </c>
      <c r="D39" s="89">
        <v>5</v>
      </c>
      <c r="E39" s="2">
        <v>0</v>
      </c>
      <c r="G39" s="654"/>
      <c r="H39" s="655"/>
    </row>
    <row r="40" spans="3:8">
      <c r="G40" s="654"/>
      <c r="H40" s="655"/>
    </row>
    <row r="41" spans="3:8">
      <c r="G41" s="654"/>
      <c r="H41" s="655">
        <v>2</v>
      </c>
    </row>
    <row r="42" spans="3:8">
      <c r="G42" s="654"/>
      <c r="H42" s="655"/>
    </row>
    <row r="43" spans="3:8">
      <c r="G43" s="654"/>
      <c r="H43" s="655"/>
    </row>
    <row r="44" spans="3:8">
      <c r="G44" s="654"/>
      <c r="H44" s="655"/>
    </row>
    <row r="45" spans="3:8">
      <c r="G45" s="654"/>
      <c r="H45" s="655"/>
    </row>
    <row r="46" spans="3:8">
      <c r="G46" s="654"/>
      <c r="H46" s="655">
        <v>1</v>
      </c>
    </row>
    <row r="47" spans="3:8">
      <c r="G47" s="654"/>
      <c r="H47" s="655"/>
    </row>
    <row r="48" spans="3:8">
      <c r="G48" s="654"/>
      <c r="H48" s="655"/>
    </row>
    <row r="49" spans="7:10">
      <c r="G49" s="654"/>
      <c r="H49" s="655"/>
    </row>
    <row r="50" spans="7:10">
      <c r="G50" s="654"/>
      <c r="H50" s="655"/>
    </row>
    <row r="55" spans="7:10">
      <c r="H55" s="200"/>
      <c r="I55" s="655"/>
      <c r="J55" s="654"/>
    </row>
    <row r="56" spans="7:10">
      <c r="H56" s="200"/>
      <c r="I56" s="655"/>
      <c r="J56" s="654"/>
    </row>
    <row r="57" spans="7:10">
      <c r="H57" s="200"/>
      <c r="I57" s="655"/>
      <c r="J57" s="654"/>
    </row>
    <row r="58" spans="7:10">
      <c r="H58" s="200"/>
      <c r="I58" s="655"/>
      <c r="J58" s="654"/>
    </row>
    <row r="59" spans="7:10">
      <c r="H59" s="200"/>
      <c r="I59" s="655"/>
      <c r="J59" s="654"/>
    </row>
    <row r="60" spans="7:10">
      <c r="H60" s="200"/>
      <c r="I60" s="655"/>
      <c r="J60" s="654"/>
    </row>
    <row r="61" spans="7:10">
      <c r="H61" s="200"/>
      <c r="I61" s="655"/>
      <c r="J61" s="654"/>
    </row>
    <row r="62" spans="7:10">
      <c r="H62" s="200"/>
      <c r="I62" s="655"/>
      <c r="J62" s="654"/>
    </row>
    <row r="63" spans="7:10">
      <c r="H63" s="200"/>
      <c r="I63" s="655"/>
      <c r="J63" s="654"/>
    </row>
    <row r="64" spans="7:10">
      <c r="H64" s="200"/>
      <c r="I64" s="655"/>
      <c r="J64" s="654"/>
    </row>
    <row r="65" spans="8:11">
      <c r="H65" s="200"/>
      <c r="I65" s="655"/>
      <c r="J65" s="654"/>
    </row>
    <row r="66" spans="8:11">
      <c r="H66" s="200"/>
      <c r="I66" s="655"/>
      <c r="J66" s="654"/>
    </row>
    <row r="67" spans="8:11">
      <c r="H67" s="200"/>
      <c r="I67" s="655"/>
      <c r="J67" s="654"/>
    </row>
    <row r="68" spans="8:11">
      <c r="H68" s="200"/>
      <c r="I68" s="655"/>
      <c r="J68" s="654"/>
    </row>
    <row r="69" spans="8:11">
      <c r="H69" s="200"/>
      <c r="I69" s="655"/>
      <c r="J69" s="654"/>
    </row>
    <row r="70" spans="8:11">
      <c r="H70" s="200"/>
      <c r="I70" s="655"/>
      <c r="J70" s="654"/>
      <c r="K70" s="654" t="s">
        <v>170</v>
      </c>
    </row>
    <row r="71" spans="8:11">
      <c r="H71" s="200"/>
      <c r="I71" s="655"/>
      <c r="J71" s="654"/>
      <c r="K71" s="654"/>
    </row>
    <row r="72" spans="8:11">
      <c r="H72" s="200"/>
      <c r="I72" s="655"/>
      <c r="J72" s="654"/>
      <c r="K72" s="654"/>
    </row>
    <row r="73" spans="8:11">
      <c r="H73" s="200"/>
      <c r="I73" s="655"/>
      <c r="J73" s="654"/>
      <c r="K73" s="654"/>
    </row>
    <row r="74" spans="8:11">
      <c r="H74" s="200"/>
      <c r="I74" s="655"/>
      <c r="J74" s="654"/>
      <c r="K74" s="654"/>
    </row>
    <row r="75" spans="8:11">
      <c r="H75" s="200"/>
      <c r="I75" s="655"/>
      <c r="J75" s="654"/>
      <c r="K75" s="654"/>
    </row>
    <row r="76" spans="8:11">
      <c r="H76" s="200"/>
      <c r="I76" s="655"/>
      <c r="J76" s="654"/>
      <c r="K76" s="654"/>
    </row>
    <row r="77" spans="8:11">
      <c r="H77" s="200"/>
      <c r="I77" s="655"/>
      <c r="J77" s="654"/>
      <c r="K77" s="654"/>
    </row>
    <row r="78" spans="8:11">
      <c r="H78" s="200"/>
      <c r="I78" s="655"/>
      <c r="J78" s="654"/>
      <c r="K78" s="654"/>
    </row>
    <row r="79" spans="8:11">
      <c r="H79" s="200"/>
      <c r="I79" s="655"/>
      <c r="J79" s="654"/>
      <c r="K79" s="654"/>
    </row>
    <row r="80" spans="8:11">
      <c r="K80" s="654"/>
    </row>
    <row r="81" spans="11:11">
      <c r="K81" s="654"/>
    </row>
    <row r="82" spans="11:11">
      <c r="K82" s="654"/>
    </row>
    <row r="83" spans="11:11">
      <c r="K83" s="654"/>
    </row>
    <row r="84" spans="11:11">
      <c r="K84" s="654"/>
    </row>
    <row r="85" spans="11:11">
      <c r="K85" s="654"/>
    </row>
    <row r="86" spans="11:11">
      <c r="K86" s="654"/>
    </row>
    <row r="87" spans="11:11">
      <c r="K87" s="654"/>
    </row>
    <row r="88" spans="11:11">
      <c r="K88" s="654"/>
    </row>
    <row r="89" spans="11:11">
      <c r="K89" s="654"/>
    </row>
    <row r="90" spans="11:11">
      <c r="K90" s="654"/>
    </row>
    <row r="91" spans="11:11">
      <c r="K91" s="654"/>
    </row>
    <row r="92" spans="11:11">
      <c r="K92" s="654"/>
    </row>
    <row r="93" spans="11:11">
      <c r="K93" s="654"/>
    </row>
    <row r="94" spans="11:11">
      <c r="K94" s="654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zoomScale="55" zoomScaleNormal="55" workbookViewId="0">
      <selection activeCell="T5" sqref="T5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97" t="s">
        <v>176</v>
      </c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698"/>
      <c r="O1" s="698"/>
      <c r="P1" s="699"/>
      <c r="Q1" s="98"/>
      <c r="R1" s="98"/>
      <c r="S1" s="98"/>
      <c r="T1" s="98"/>
      <c r="U1" s="98"/>
    </row>
    <row r="2" spans="1:21" ht="18.75" customHeight="1">
      <c r="A2" s="98"/>
      <c r="B2" s="693" t="s">
        <v>177</v>
      </c>
      <c r="C2" s="694"/>
      <c r="D2" s="694"/>
      <c r="E2" s="694"/>
      <c r="F2" s="694"/>
      <c r="G2" s="695" t="s">
        <v>221</v>
      </c>
      <c r="H2" s="695"/>
      <c r="I2" s="695"/>
      <c r="J2" s="695"/>
      <c r="K2" s="695"/>
      <c r="L2" s="695"/>
      <c r="M2" s="695"/>
      <c r="N2" s="695"/>
      <c r="O2" s="695"/>
      <c r="P2" s="696"/>
      <c r="Q2" s="98"/>
      <c r="R2" s="98"/>
      <c r="S2" s="98"/>
      <c r="T2" s="98"/>
      <c r="U2" s="98"/>
    </row>
    <row r="3" spans="1:21" ht="6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86" t="s">
        <v>217</v>
      </c>
      <c r="L4" s="686"/>
      <c r="M4" s="686"/>
      <c r="N4" s="686"/>
      <c r="O4" s="686"/>
      <c r="P4" s="686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704" t="s">
        <v>179</v>
      </c>
      <c r="L5" s="704"/>
      <c r="M5" s="704" t="s">
        <v>182</v>
      </c>
      <c r="N5" s="704"/>
      <c r="O5" s="704" t="s">
        <v>183</v>
      </c>
      <c r="P5" s="704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82" t="s">
        <v>194</v>
      </c>
      <c r="L6" s="683"/>
      <c r="M6" s="703" t="s">
        <v>407</v>
      </c>
      <c r="N6" s="683"/>
      <c r="O6" s="703" t="s">
        <v>156</v>
      </c>
      <c r="P6" s="705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84"/>
      <c r="F7" s="685"/>
      <c r="G7" s="685"/>
      <c r="H7" s="685"/>
      <c r="I7" s="98"/>
      <c r="J7" s="119"/>
      <c r="K7" s="678" t="s">
        <v>194</v>
      </c>
      <c r="L7" s="675"/>
      <c r="M7" s="674" t="s">
        <v>408</v>
      </c>
      <c r="N7" s="675"/>
      <c r="O7" s="674" t="s">
        <v>156</v>
      </c>
      <c r="P7" s="681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78" t="s">
        <v>193</v>
      </c>
      <c r="L8" s="675"/>
      <c r="M8" s="674" t="s">
        <v>409</v>
      </c>
      <c r="N8" s="675"/>
      <c r="O8" s="674" t="s">
        <v>156</v>
      </c>
      <c r="P8" s="681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78" t="s">
        <v>193</v>
      </c>
      <c r="L9" s="675"/>
      <c r="M9" s="674" t="s">
        <v>410</v>
      </c>
      <c r="N9" s="675"/>
      <c r="O9" s="674" t="s">
        <v>156</v>
      </c>
      <c r="P9" s="681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78" t="s">
        <v>193</v>
      </c>
      <c r="L10" s="675"/>
      <c r="M10" s="674" t="s">
        <v>411</v>
      </c>
      <c r="N10" s="675"/>
      <c r="O10" s="674" t="s">
        <v>156</v>
      </c>
      <c r="P10" s="681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700" t="s">
        <v>181</v>
      </c>
      <c r="F11" s="701"/>
      <c r="G11" s="701"/>
      <c r="H11" s="702"/>
      <c r="I11" s="96"/>
      <c r="J11" s="119"/>
      <c r="K11" s="678" t="s">
        <v>405</v>
      </c>
      <c r="L11" s="675"/>
      <c r="M11" s="674" t="s">
        <v>412</v>
      </c>
      <c r="N11" s="675"/>
      <c r="O11" s="674" t="s">
        <v>156</v>
      </c>
      <c r="P11" s="681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87" t="s">
        <v>179</v>
      </c>
      <c r="F12" s="688"/>
      <c r="G12" s="689"/>
      <c r="H12" s="453" t="s">
        <v>180</v>
      </c>
      <c r="I12" s="96"/>
      <c r="J12" s="119"/>
      <c r="K12" s="678" t="s">
        <v>405</v>
      </c>
      <c r="L12" s="675"/>
      <c r="M12" s="674" t="s">
        <v>413</v>
      </c>
      <c r="N12" s="675"/>
      <c r="O12" s="674" t="s">
        <v>420</v>
      </c>
      <c r="P12" s="681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90" t="s">
        <v>196</v>
      </c>
      <c r="F13" s="691"/>
      <c r="G13" s="692"/>
      <c r="H13" s="311">
        <v>2</v>
      </c>
      <c r="I13" s="96"/>
      <c r="J13" s="95"/>
      <c r="K13" s="678" t="s">
        <v>406</v>
      </c>
      <c r="L13" s="675"/>
      <c r="M13" s="674" t="s">
        <v>414</v>
      </c>
      <c r="N13" s="675"/>
      <c r="O13" s="674" t="s">
        <v>156</v>
      </c>
      <c r="P13" s="681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64" t="s">
        <v>194</v>
      </c>
      <c r="F14" s="665"/>
      <c r="G14" s="666"/>
      <c r="H14" s="312">
        <v>26</v>
      </c>
      <c r="I14" s="96"/>
      <c r="J14" s="103"/>
      <c r="K14" s="678" t="s">
        <v>406</v>
      </c>
      <c r="L14" s="675"/>
      <c r="M14" s="674" t="s">
        <v>415</v>
      </c>
      <c r="N14" s="675"/>
      <c r="O14" s="674" t="s">
        <v>156</v>
      </c>
      <c r="P14" s="681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64" t="s">
        <v>195</v>
      </c>
      <c r="F15" s="665"/>
      <c r="G15" s="666"/>
      <c r="H15" s="312">
        <v>5</v>
      </c>
      <c r="I15" s="96"/>
      <c r="J15" s="95"/>
      <c r="K15" s="678" t="s">
        <v>193</v>
      </c>
      <c r="L15" s="675"/>
      <c r="M15" s="674" t="s">
        <v>416</v>
      </c>
      <c r="N15" s="675"/>
      <c r="O15" s="674" t="s">
        <v>156</v>
      </c>
      <c r="P15" s="681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64" t="s">
        <v>197</v>
      </c>
      <c r="F16" s="665"/>
      <c r="G16" s="666"/>
      <c r="H16" s="312">
        <v>29</v>
      </c>
      <c r="I16" s="96"/>
      <c r="J16" s="119"/>
      <c r="K16" s="678" t="s">
        <v>193</v>
      </c>
      <c r="L16" s="675"/>
      <c r="M16" s="674" t="s">
        <v>417</v>
      </c>
      <c r="N16" s="675"/>
      <c r="O16" s="674" t="s">
        <v>156</v>
      </c>
      <c r="P16" s="681"/>
      <c r="Q16" s="96"/>
      <c r="R16" s="98"/>
      <c r="S16" s="98"/>
      <c r="T16" s="98"/>
      <c r="U16" s="98"/>
    </row>
    <row r="17" spans="1:21" ht="66" customHeight="1">
      <c r="A17" s="95"/>
      <c r="D17" s="114"/>
      <c r="E17" s="664" t="s">
        <v>198</v>
      </c>
      <c r="F17" s="665"/>
      <c r="G17" s="666"/>
      <c r="H17" s="312">
        <v>6</v>
      </c>
      <c r="I17" s="96"/>
      <c r="J17" s="119"/>
      <c r="K17" s="678" t="s">
        <v>195</v>
      </c>
      <c r="L17" s="675"/>
      <c r="M17" s="674" t="s">
        <v>418</v>
      </c>
      <c r="N17" s="675"/>
      <c r="O17" s="674" t="s">
        <v>420</v>
      </c>
      <c r="P17" s="681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67" t="s">
        <v>199</v>
      </c>
      <c r="F18" s="668"/>
      <c r="G18" s="669"/>
      <c r="H18" s="313">
        <v>25</v>
      </c>
      <c r="I18" s="96"/>
      <c r="J18" s="95"/>
      <c r="K18" s="679" t="s">
        <v>195</v>
      </c>
      <c r="L18" s="677"/>
      <c r="M18" s="676" t="s">
        <v>419</v>
      </c>
      <c r="N18" s="677"/>
      <c r="O18" s="676" t="s">
        <v>420</v>
      </c>
      <c r="P18" s="680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0"/>
      <c r="F19" s="244"/>
      <c r="G19" s="244"/>
      <c r="H19" s="244"/>
      <c r="I19" s="106"/>
      <c r="J19" s="95"/>
      <c r="K19" s="281"/>
      <c r="L19" s="103"/>
      <c r="M19" s="125"/>
      <c r="O19" s="123"/>
      <c r="P19" s="303"/>
      <c r="Q19" s="96"/>
      <c r="R19" s="98"/>
      <c r="S19" s="95"/>
      <c r="T19" s="98"/>
      <c r="U19" s="98"/>
    </row>
    <row r="20" spans="1:21" ht="56.25" customHeight="1" thickBot="1">
      <c r="A20" s="95"/>
      <c r="B20" s="454" t="s">
        <v>178</v>
      </c>
      <c r="C20" s="455" t="s">
        <v>212</v>
      </c>
      <c r="D20" s="254"/>
      <c r="E20" s="106"/>
      <c r="F20" s="106"/>
      <c r="G20" s="106"/>
      <c r="H20" s="106"/>
      <c r="I20" s="106"/>
      <c r="J20" s="103"/>
      <c r="K20" s="304"/>
      <c r="L20" s="300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456"/>
      <c r="C21" s="457"/>
      <c r="D21" s="282"/>
      <c r="E21" s="280"/>
      <c r="F21" s="292"/>
      <c r="G21" s="289"/>
      <c r="H21" s="280"/>
      <c r="I21" s="286"/>
      <c r="J21" s="298"/>
      <c r="K21" s="305"/>
      <c r="L21" s="287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01" t="s">
        <v>196</v>
      </c>
      <c r="C22" s="302">
        <v>2</v>
      </c>
      <c r="D22" s="282"/>
      <c r="E22" s="291"/>
      <c r="F22" s="310" t="s">
        <v>181</v>
      </c>
      <c r="G22" s="290"/>
      <c r="H22" s="670" t="s">
        <v>184</v>
      </c>
      <c r="I22" s="671"/>
      <c r="J22" s="299"/>
      <c r="K22" s="306"/>
      <c r="L22" s="287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6" t="s">
        <v>194</v>
      </c>
      <c r="C23" s="257">
        <v>26</v>
      </c>
      <c r="D23" s="282"/>
      <c r="E23" s="284"/>
      <c r="F23" s="293">
        <f>SUM(H13:H18)</f>
        <v>93</v>
      </c>
      <c r="G23" s="283"/>
      <c r="H23" s="294">
        <f>SUM(C22:C27)</f>
        <v>93</v>
      </c>
      <c r="I23" s="285"/>
      <c r="J23" s="299"/>
      <c r="K23" s="307"/>
      <c r="L23" s="288"/>
      <c r="M23" s="308"/>
      <c r="N23" s="308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8" t="s">
        <v>195</v>
      </c>
      <c r="C24" s="259">
        <v>5</v>
      </c>
      <c r="D24" s="254"/>
      <c r="E24" s="125"/>
      <c r="F24" s="125"/>
      <c r="G24" s="98"/>
      <c r="H24" s="123"/>
      <c r="I24" s="123"/>
      <c r="J24" s="97"/>
      <c r="K24" s="281"/>
      <c r="L24" s="143"/>
      <c r="M24" s="144"/>
      <c r="N24" s="142"/>
      <c r="O24" s="99"/>
      <c r="P24" s="387"/>
      <c r="Q24" s="96"/>
      <c r="R24" s="98"/>
      <c r="T24" s="98"/>
      <c r="U24" s="98"/>
    </row>
    <row r="25" spans="1:21" ht="33" customHeight="1" thickBot="1">
      <c r="A25" s="95"/>
      <c r="B25" s="258" t="s">
        <v>197</v>
      </c>
      <c r="C25" s="259">
        <v>29</v>
      </c>
      <c r="D25" s="282"/>
      <c r="E25" s="194"/>
      <c r="F25" s="194"/>
      <c r="G25" s="106"/>
      <c r="I25" s="174"/>
      <c r="J25" s="95"/>
      <c r="K25" s="390" t="s">
        <v>214</v>
      </c>
      <c r="L25" s="192"/>
      <c r="M25" s="389"/>
      <c r="N25" s="392"/>
      <c r="O25" s="391"/>
      <c r="P25" s="286"/>
      <c r="Q25" s="96"/>
      <c r="R25" s="98"/>
      <c r="T25" s="98"/>
      <c r="U25" s="98"/>
    </row>
    <row r="26" spans="1:21" ht="44.25" customHeight="1">
      <c r="A26" s="95"/>
      <c r="B26" s="258" t="s">
        <v>198</v>
      </c>
      <c r="C26" s="259">
        <v>6</v>
      </c>
      <c r="D26" s="282"/>
      <c r="E26" s="296"/>
      <c r="F26" s="309" t="s">
        <v>185</v>
      </c>
      <c r="H26" s="672" t="s">
        <v>213</v>
      </c>
      <c r="I26" s="673"/>
      <c r="J26" s="388"/>
      <c r="K26" s="658" t="s">
        <v>216</v>
      </c>
      <c r="L26" s="659"/>
      <c r="M26" s="659"/>
      <c r="N26" s="660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1" t="s">
        <v>199</v>
      </c>
      <c r="C27" s="262">
        <v>25</v>
      </c>
      <c r="D27" s="254"/>
      <c r="E27" s="295"/>
      <c r="F27" s="297">
        <v>45657</v>
      </c>
      <c r="G27" s="94"/>
      <c r="H27" s="263">
        <f>COUNTA(O6:P27)</f>
        <v>13</v>
      </c>
      <c r="I27" s="255"/>
      <c r="J27" s="253"/>
      <c r="K27" s="661" t="s">
        <v>215</v>
      </c>
      <c r="L27" s="662"/>
      <c r="M27" s="662"/>
      <c r="N27" s="663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15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9"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K6:L6"/>
    <mergeCell ref="K7:L7"/>
    <mergeCell ref="K8:L8"/>
    <mergeCell ref="K9:L9"/>
    <mergeCell ref="K10:L10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K15:L15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14" t="s">
        <v>186</v>
      </c>
      <c r="B2" s="314" t="s">
        <v>187</v>
      </c>
      <c r="C2" s="314" t="s">
        <v>188</v>
      </c>
      <c r="D2" s="314" t="s">
        <v>189</v>
      </c>
    </row>
    <row r="3" spans="1:4" ht="58.5" customHeight="1">
      <c r="A3" s="450">
        <v>45646</v>
      </c>
      <c r="B3" s="446" t="s">
        <v>421</v>
      </c>
      <c r="C3" s="452">
        <v>2</v>
      </c>
      <c r="D3" s="452">
        <v>0</v>
      </c>
    </row>
    <row r="4" spans="1:4" ht="68.25" customHeight="1">
      <c r="A4" s="451">
        <v>45294</v>
      </c>
      <c r="B4" s="447" t="s">
        <v>422</v>
      </c>
      <c r="C4" s="452">
        <v>-1</v>
      </c>
      <c r="D4" s="452">
        <v>0</v>
      </c>
    </row>
    <row r="5" spans="1:4" ht="47.25" customHeight="1">
      <c r="A5" s="451">
        <v>45317</v>
      </c>
      <c r="B5" s="446" t="s">
        <v>423</v>
      </c>
      <c r="C5" s="452">
        <v>1.5</v>
      </c>
      <c r="D5" s="452">
        <v>0</v>
      </c>
    </row>
    <row r="6" spans="1:4" ht="45" customHeight="1">
      <c r="A6" s="451">
        <v>45677</v>
      </c>
      <c r="B6" s="447" t="s">
        <v>424</v>
      </c>
      <c r="C6" s="452">
        <v>-1</v>
      </c>
      <c r="D6" s="452">
        <v>0</v>
      </c>
    </row>
    <row r="7" spans="1:4" ht="66" customHeight="1">
      <c r="A7" s="451">
        <v>45748</v>
      </c>
      <c r="B7" s="446" t="s">
        <v>425</v>
      </c>
      <c r="C7" s="452">
        <v>1</v>
      </c>
      <c r="D7" s="452">
        <v>0</v>
      </c>
    </row>
    <row r="8" spans="1:4" ht="48.75" customHeight="1">
      <c r="A8" s="451">
        <v>45796</v>
      </c>
      <c r="B8" s="447" t="s">
        <v>426</v>
      </c>
      <c r="C8" s="452">
        <v>2</v>
      </c>
      <c r="D8" s="452">
        <v>0</v>
      </c>
    </row>
    <row r="9" spans="1:4" ht="52.5" customHeight="1">
      <c r="A9" s="451">
        <v>45432</v>
      </c>
      <c r="B9" s="446" t="s">
        <v>427</v>
      </c>
      <c r="C9" s="452">
        <v>1</v>
      </c>
      <c r="D9" s="452">
        <v>0</v>
      </c>
    </row>
    <row r="10" spans="1:4" ht="32.25" customHeight="1">
      <c r="A10" s="451">
        <v>45435</v>
      </c>
      <c r="B10" s="447" t="s">
        <v>428</v>
      </c>
      <c r="C10" s="452">
        <v>-1</v>
      </c>
      <c r="D10" s="452">
        <v>0</v>
      </c>
    </row>
    <row r="11" spans="1:4" ht="14.25" customHeight="1">
      <c r="A11" s="451">
        <v>45442</v>
      </c>
      <c r="B11" s="446" t="s">
        <v>429</v>
      </c>
      <c r="C11" s="452">
        <v>-1</v>
      </c>
      <c r="D11" s="452">
        <v>0</v>
      </c>
    </row>
    <row r="12" spans="1:4">
      <c r="A12" s="451">
        <v>45449</v>
      </c>
      <c r="B12" s="448" t="s">
        <v>430</v>
      </c>
      <c r="C12" s="452">
        <v>-1</v>
      </c>
      <c r="D12" s="452">
        <v>0</v>
      </c>
    </row>
    <row r="13" spans="1:4">
      <c r="A13" s="451">
        <v>45456</v>
      </c>
      <c r="B13" s="447" t="s">
        <v>431</v>
      </c>
      <c r="C13" s="452">
        <v>-1</v>
      </c>
      <c r="D13" s="452">
        <v>0</v>
      </c>
    </row>
    <row r="14" spans="1:4" ht="30">
      <c r="A14" s="451">
        <v>45463</v>
      </c>
      <c r="B14" s="449" t="s">
        <v>432</v>
      </c>
      <c r="C14" s="452">
        <v>1</v>
      </c>
      <c r="D14" s="452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2025-05-09T14:03:22Z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