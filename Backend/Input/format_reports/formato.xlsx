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filterPrivacy="1" hidePivotFieldList="1" defaultThemeVersion="124226"/>
  <xr:revisionPtr revIDLastSave="0" documentId="13_ncr:1_{5B3F4E04-C937-4762-8687-A4359BAB8ACD}" xr6:coauthVersionLast="47" xr6:coauthVersionMax="47" xr10:uidLastSave="{00000000-0000-0000-0000-000000000000}"/>
  <bookViews>
    <workbookView xWindow="-120" yWindow="-120" windowWidth="20730" windowHeight="11040" tabRatio="733" firstSheet="9" activeTab="12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Planes tratamientos" sheetId="53" r:id="rId13"/>
    <sheet name="datos_graficos" sheetId="51" state="hidden" r:id="rId14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53" l="1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D14" i="35"/>
  <c r="D12" i="35"/>
  <c r="D11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R12" i="35"/>
  <c r="R13" i="35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<sst xmlns="http://schemas.openxmlformats.org/spreadsheetml/2006/main" count="305" uniqueCount="251">
  <si>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</si>
  <si>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</si>
  <si>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</si>
  <si>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</si>
  <si>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</si>
  <si>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</si>
  <si>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</si>
  <si>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</si>
  <si>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</si>
  <si>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</si>
  <si>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</si>
  <si>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</si>
  <si>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</si>
  <si>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</si>
  <si>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</si>
  <si>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</si>
  <si>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</si>
  <si>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</si>
  <si>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</si>
  <si>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</si>
  <si>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</si>
  <si>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</si>
  <si>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</si>
  <si>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</si>
  <si>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</si>
  <si>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</si>
  <si>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</si>
  <si>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</si>
  <si>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</si>
  <si>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</si>
  <si>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</si>
  <si>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</si>
  <si>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</si>
  <si>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</si>
  <si>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</si>
  <si>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</si>
  <si>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</si>
  <si>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</si>
  <si>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</si>
  <si>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</si>
  <si>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</si>
  <si>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</si>
  <si>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</si>
  <si>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</si>
  <si>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</si>
  <si>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</si>
  <si>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</si>
  <si>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</si>
  <si>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</si>
  <si>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</si>
  <si>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</si>
  <si>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</si>
  <si>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</si>
  <si>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</si>
  <si>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</si>
  <si>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</si>
  <si>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</si>
  <si>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</si>
  <si>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</si>
  <si>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</si>
  <si>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</si>
  <si>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</si>
  <si>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</si>
  <si>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</si>
  <si>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</si>
  <si>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</si>
  <si>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</si>
  <si>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</si>
  <si>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</si>
  <si>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</si>
  <si>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</si>
  <si>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</si>
  <si>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</si>
  <si>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</si>
  <si>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</si>
  <si>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</si>
  <si>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</si>
  <si>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</si>
  <si>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</si>
  <si>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</si>
  <si>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</si>
  <si>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</si>
  <si>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</si>
  <si>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</si>
  <si>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</si>
  <si>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</si>
  <si>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</si>
  <si>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</si>
  <si>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</si>
  <si>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OCTUBRE 2024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</si>
  <si>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</si>
  <si>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</si>
  <si>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</si>
  <si>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</si>
  <si>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</si>
  <si>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</si>
  <si>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</si>
  <si>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</si>
  <si>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</si>
  <si>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</si>
  <si>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</si>
  <si>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</si>
  <si>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</si>
  <si>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</si>
  <si>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</si>
  <si>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</si>
  <si>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</si>
  <si>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</si>
  <si>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</si>
  <si>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</si>
  <si>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</si>
  <si>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</si>
  <si>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</si>
  <si>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</si>
  <si>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</si>
  <si>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</si>
  <si>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</si>
  <si>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</si>
  <si>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</si>
  <si>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</si>
  <si>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</si>
  <si>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</si>
  <si>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Hitos ADP ocurridos al {31 de octubre}</t>
  </si>
  <si>
    <t>El cumplimiento de los hitos está normado por la ley 19.882 e instructivo del Servicio Civil (SC)</t>
  </si>
  <si>
    <t>Acum oct - 24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</si>
  <si>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</si>
  <si>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</si>
  <si>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</si>
  <si>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</si>
  <si>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 xml:space="preserve"> - JUNAEB:</t>
  </si>
  <si>
    <t xml:space="preserve"> - CRUCH:</t>
  </si>
  <si>
    <t xml:space="preserve"> - Agencia de Calidad(ACE):</t>
  </si>
  <si>
    <t xml:space="preserve"> - DEP</t>
  </si>
  <si>
    <t xml:space="preserve"> - Super intendencia de Educación:</t>
  </si>
  <si>
    <t xml:space="preserve"> - JUNJI:</t>
  </si>
  <si>
    <t xml:space="preserve"> - Super intendencia de Educación Superior: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</si>
  <si>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</si>
  <si>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</si>
  <si>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</si>
  <si>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</si>
  <si>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</si>
  <si>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</si>
  <si>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</si>
  <si>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</si>
  <si>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</si>
  <si>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</si>
  <si>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</si>
  <si>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</si>
  <si>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</si>
  <si>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</si>
  <si>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</si>
  <si>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</si>
  <si>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</si>
  <si>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</si>
  <si>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</si>
  <si>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</si>
  <si>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</si>
  <si>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</si>
  <si>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</si>
  <si>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</si>
  <si>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</si>
  <si>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</si>
  <si>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</si>
  <si>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</si>
  <si>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</si>
  <si>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</si>
  <si>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</si>
  <si>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</si>
  <si>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</si>
  <si>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</si>
  <si>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</si>
  <si>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</si>
  <si>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</si>
  <si>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</si>
  <si>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</si>
  <si>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</si>
  <si>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</si>
  <si>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</si>
  <si>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</si>
  <si>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</si>
  <si>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</si>
  <si>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</si>
  <si>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</si>
  <si>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>ENERO 2025</t>
  </si>
  <si>
    <t xml:space="preserve">NIVEL CENTRAL: ESTADO DE RIESGO INDICADORES POR CR AL CIERRE DE </t>
  </si>
  <si>
    <t>POR INSTRUMENTO DE GESTIÓN</t>
  </si>
  <si>
    <t>OCTUBRE - 2024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</si>
  <si>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</si>
  <si>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</si>
  <si>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</si>
  <si>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</si>
  <si>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</si>
  <si>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</si>
  <si>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</si>
  <si>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</si>
  <si>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</si>
  <si>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</si>
  <si>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</si>
  <si>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</si>
  <si>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</si>
  <si>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</si>
  <si>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</si>
  <si>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</si>
  <si>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Cierre Octubre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</si>
  <si>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</si>
  <si>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</si>
  <si>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</si>
  <si>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</si>
  <si>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</si>
  <si>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</si>
  <si>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</si>
  <si>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</si>
  <si>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</si>
  <si>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</si>
  <si>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</si>
  <si>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</si>
  <si>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</si>
  <si>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</si>
  <si>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</si>
  <si>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</si>
  <si>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</si>
  <si>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</si>
  <si>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</si>
  <si>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</si>
  <si>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</si>
  <si>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</si>
  <si>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</si>
  <si>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</si>
  <si>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</si>
  <si>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</si>
  <si>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</si>
  <si>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</si>
  <si>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</si>
  <si>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</si>
  <si>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OCTUBRE-2025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</si>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</sst>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10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</fills>
  <borders count="35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73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3" borderId="175" xfId="0" applyFont="1" applyFill="1" applyBorder="1" applyAlignment="1">
      <alignment horizontal="center" vertical="center"/>
    </xf>
    <xf numFmtId="0" fontId="53" fillId="13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16" borderId="1" xfId="0" applyFont="1" applyFill="1" applyBorder="1" applyAlignment="1">
      <alignment horizontal="center"/>
    </xf>
    <xf numFmtId="0" fontId="66" fillId="16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69" fillId="0" borderId="6" xfId="0" applyFont="1" applyBorder="1" applyAlignment="1">
      <alignment horizontal="center" vertical="center"/>
    </xf>
    <xf numFmtId="0" fontId="69" fillId="0" borderId="45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69" fillId="0" borderId="34" xfId="0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37" xfId="0" applyFont="1" applyBorder="1" applyAlignment="1">
      <alignment horizontal="center" vertical="center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0" borderId="211" xfId="0" applyFont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17" borderId="44" xfId="0" applyFont="1" applyFill="1" applyBorder="1" applyAlignment="1">
      <alignment horizontal="center" vertical="center"/>
    </xf>
    <xf numFmtId="0" fontId="0" fillId="0" borderId="224" xfId="0" applyBorder="1"/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93" xfId="0" applyFill="1" applyBorder="1"/>
    <xf numFmtId="0" fontId="0" fillId="2" borderId="0" xfId="0" applyFill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231" xfId="0" applyFont="1" applyBorder="1" applyAlignment="1">
      <alignment horizontal="center" vertical="center"/>
    </xf>
    <xf numFmtId="0" fontId="89" fillId="0" borderId="44" xfId="0" applyFont="1" applyBorder="1" applyAlignment="1">
      <alignment horizontal="left" vertical="center" wrapText="1"/>
    </xf>
    <xf numFmtId="0" fontId="89" fillId="0" borderId="259" xfId="0" applyFont="1" applyBorder="1" applyAlignment="1">
      <alignment horizontal="left" vertical="center" wrapText="1"/>
    </xf>
    <xf numFmtId="0" fontId="89" fillId="0" borderId="260" xfId="0" applyFont="1" applyBorder="1" applyAlignment="1">
      <alignment horizontal="left" vertical="center" wrapText="1"/>
    </xf>
    <xf numFmtId="0" fontId="89" fillId="0" borderId="258" xfId="0" applyFont="1" applyBorder="1" applyAlignment="1">
      <alignment horizontal="left" vertical="center" wrapText="1"/>
    </xf>
    <xf numFmtId="14" fontId="89" fillId="0" borderId="261" xfId="0" applyNumberFormat="1" applyFont="1" applyBorder="1" applyAlignment="1">
      <alignment horizontal="center" vertical="center"/>
    </xf>
    <xf numFmtId="16" fontId="89" fillId="0" borderId="261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19" fillId="4" borderId="212" xfId="0" applyFont="1" applyFill="1" applyBorder="1" applyAlignment="1">
      <alignment horizontal="center" vertical="center" wrapText="1"/>
    </xf>
    <xf numFmtId="0" fontId="19" fillId="4" borderId="0" xfId="0" applyFont="1" applyFill="1" applyAlignment="1">
      <alignment horizontal="center" vertical="center" wrapText="1"/>
    </xf>
    <xf numFmtId="9" fontId="20" fillId="9" borderId="32" xfId="0" applyNumberFormat="1" applyFont="1" applyFill="1" applyBorder="1" applyAlignment="1">
      <alignment horizontal="center" vertical="center"/>
    </xf>
    <xf numFmtId="9" fontId="20" fillId="9" borderId="28" xfId="0" applyNumberFormat="1" applyFont="1" applyFill="1" applyBorder="1" applyAlignment="1">
      <alignment horizontal="center" vertical="center"/>
    </xf>
    <xf numFmtId="9" fontId="20" fillId="9" borderId="1" xfId="0" applyNumberFormat="1" applyFont="1" applyFill="1" applyBorder="1" applyAlignment="1">
      <alignment horizontal="center" vertical="center"/>
    </xf>
    <xf numFmtId="9" fontId="20" fillId="9" borderId="34" xfId="0" applyNumberFormat="1" applyFont="1" applyFill="1" applyBorder="1" applyAlignment="1">
      <alignment horizontal="center" vertical="center"/>
    </xf>
    <xf numFmtId="9" fontId="20" fillId="9" borderId="36" xfId="0" applyNumberFormat="1" applyFont="1" applyFill="1" applyBorder="1" applyAlignment="1">
      <alignment horizontal="center" vertical="center"/>
    </xf>
    <xf numFmtId="9" fontId="20" fillId="9" borderId="37" xfId="0" applyNumberFormat="1" applyFont="1" applyFill="1" applyBorder="1" applyAlignment="1">
      <alignment horizontal="center" vertical="center"/>
    </xf>
    <xf numFmtId="9" fontId="20" fillId="9" borderId="27" xfId="0" applyNumberFormat="1" applyFont="1" applyFill="1" applyBorder="1" applyAlignment="1">
      <alignment horizontal="center" vertical="center"/>
    </xf>
    <xf numFmtId="9" fontId="20" fillId="9" borderId="33" xfId="0" applyNumberFormat="1" applyFont="1" applyFill="1" applyBorder="1" applyAlignment="1">
      <alignment horizontal="center" vertical="center"/>
    </xf>
    <xf numFmtId="9" fontId="20" fillId="9" borderId="35" xfId="0" applyNumberFormat="1" applyFont="1" applyFill="1" applyBorder="1" applyAlignment="1">
      <alignment horizontal="center" vertical="center"/>
    </xf>
    <xf numFmtId="0" fontId="0" fillId="0" borderId="228" xfId="0" applyBorder="1"/>
    <xf numFmtId="0" fontId="0" fillId="0" borderId="267" xfId="0" applyBorder="1"/>
    <xf numFmtId="0" fontId="0" fillId="0" borderId="236" xfId="0" applyBorder="1"/>
    <xf numFmtId="0" fontId="96" fillId="0" borderId="58" xfId="0" applyFont="1" applyBorder="1"/>
    <xf numFmtId="0" fontId="0" fillId="0" borderId="266" xfId="0" applyBorder="1"/>
    <xf numFmtId="0" fontId="0" fillId="0" borderId="268" xfId="0" applyBorder="1"/>
    <xf numFmtId="0" fontId="0" fillId="0" borderId="257" xfId="0" applyBorder="1"/>
    <xf numFmtId="0" fontId="0" fillId="0" borderId="269" xfId="0" applyBorder="1"/>
    <xf numFmtId="0" fontId="0" fillId="0" borderId="270" xfId="0" applyBorder="1"/>
    <xf numFmtId="0" fontId="0" fillId="0" borderId="271" xfId="0" applyBorder="1"/>
    <xf numFmtId="0" fontId="96" fillId="0" borderId="54" xfId="0" applyFont="1" applyBorder="1"/>
    <xf numFmtId="0" fontId="96" fillId="0" borderId="133" xfId="0" applyFont="1" applyBorder="1"/>
    <xf numFmtId="0" fontId="0" fillId="0" borderId="272" xfId="0" applyBorder="1"/>
    <xf numFmtId="0" fontId="0" fillId="0" borderId="117" xfId="0" applyBorder="1"/>
    <xf numFmtId="0" fontId="0" fillId="0" borderId="273" xfId="0" applyBorder="1"/>
    <xf numFmtId="0" fontId="0" fillId="0" borderId="275" xfId="0" applyBorder="1"/>
    <xf numFmtId="0" fontId="7" fillId="13" borderId="157" xfId="0" applyFont="1" applyFill="1" applyBorder="1" applyAlignment="1">
      <alignment horizontal="center" vertical="center" wrapText="1"/>
    </xf>
    <xf numFmtId="0" fontId="0" fillId="13" borderId="80" xfId="0" applyFill="1" applyBorder="1" applyAlignment="1">
      <alignment horizontal="center" vertical="center" wrapText="1"/>
    </xf>
    <xf numFmtId="0" fontId="0" fillId="13" borderId="186" xfId="0" applyFill="1" applyBorder="1" applyAlignment="1">
      <alignment horizontal="center" vertical="center" wrapText="1"/>
    </xf>
    <xf numFmtId="0" fontId="43" fillId="13" borderId="165" xfId="0" applyFont="1" applyFill="1" applyBorder="1" applyAlignment="1">
      <alignment horizontal="center" vertical="center"/>
    </xf>
    <xf numFmtId="0" fontId="43" fillId="13" borderId="156" xfId="0" applyFont="1" applyFill="1" applyBorder="1" applyAlignment="1">
      <alignment horizontal="center" vertical="center"/>
    </xf>
    <xf numFmtId="0" fontId="43" fillId="13" borderId="156" xfId="0" applyFont="1" applyFill="1" applyBorder="1" applyAlignment="1">
      <alignment horizontal="center" vertical="center" wrapText="1"/>
    </xf>
    <xf numFmtId="0" fontId="43" fillId="13" borderId="157" xfId="0" applyFont="1" applyFill="1" applyBorder="1" applyAlignment="1">
      <alignment horizontal="center" vertical="center"/>
    </xf>
    <xf numFmtId="0" fontId="43" fillId="13" borderId="33" xfId="0" applyFont="1" applyFill="1" applyBorder="1" applyAlignment="1">
      <alignment horizontal="center" vertical="center"/>
    </xf>
    <xf numFmtId="0" fontId="43" fillId="13" borderId="1" xfId="0" applyFont="1" applyFill="1" applyBorder="1" applyAlignment="1">
      <alignment horizontal="center" vertical="center" wrapText="1"/>
    </xf>
    <xf numFmtId="0" fontId="43" fillId="13" borderId="1" xfId="0" applyFont="1" applyFill="1" applyBorder="1" applyAlignment="1">
      <alignment horizontal="center" vertical="center"/>
    </xf>
    <xf numFmtId="0" fontId="43" fillId="13" borderId="34" xfId="0" applyFont="1" applyFill="1" applyBorder="1" applyAlignment="1">
      <alignment horizontal="center" vertical="center"/>
    </xf>
    <xf numFmtId="0" fontId="98" fillId="13" borderId="177" xfId="0" applyFont="1" applyFill="1" applyBorder="1" applyAlignment="1">
      <alignment horizontal="center" vertical="center" wrapText="1"/>
    </xf>
    <xf numFmtId="0" fontId="98" fillId="13" borderId="178" xfId="0" applyFont="1" applyFill="1" applyBorder="1" applyAlignment="1">
      <alignment horizontal="center" vertical="center" wrapText="1"/>
    </xf>
    <xf numFmtId="0" fontId="98" fillId="13" borderId="179" xfId="0" applyFont="1" applyFill="1" applyBorder="1" applyAlignment="1">
      <alignment horizontal="center" vertical="center" wrapText="1"/>
    </xf>
    <xf numFmtId="0" fontId="99" fillId="13" borderId="96" xfId="0" applyFont="1" applyFill="1" applyBorder="1" applyAlignment="1">
      <alignment horizontal="center" vertical="center"/>
    </xf>
    <xf numFmtId="0" fontId="79" fillId="13" borderId="0" xfId="0" applyFont="1" applyFill="1" applyAlignment="1">
      <alignment vertical="center"/>
    </xf>
    <xf numFmtId="0" fontId="78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5" fillId="13" borderId="0" xfId="0" applyFont="1" applyFill="1" applyAlignment="1">
      <alignment vertical="top" wrapText="1"/>
    </xf>
    <xf numFmtId="0" fontId="27" fillId="13" borderId="0" xfId="0" applyFont="1" applyFill="1" applyAlignment="1">
      <alignment vertical="top" wrapText="1"/>
    </xf>
    <xf numFmtId="49" fontId="60" fillId="13" borderId="0" xfId="0" applyNumberFormat="1" applyFont="1" applyFill="1" applyAlignment="1">
      <alignment vertical="top" wrapText="1"/>
    </xf>
    <xf numFmtId="0" fontId="96" fillId="0" borderId="46" xfId="0" applyFont="1" applyBorder="1" applyAlignment="1">
      <alignment horizontal="right" vertical="center"/>
    </xf>
    <xf numFmtId="0" fontId="48" fillId="0" borderId="46" xfId="0" applyFont="1" applyBorder="1" applyAlignment="1">
      <alignment horizontal="center"/>
    </xf>
    <xf numFmtId="0" fontId="94" fillId="0" borderId="46" xfId="0" applyFont="1" applyBorder="1" applyAlignment="1">
      <alignment horizontal="left" vertical="center"/>
    </xf>
    <xf numFmtId="0" fontId="0" fillId="0" borderId="66" xfId="0" applyBorder="1" applyAlignment="1">
      <alignment vertical="center"/>
    </xf>
    <xf numFmtId="0" fontId="0" fillId="0" borderId="284" xfId="0" applyBorder="1" applyAlignment="1">
      <alignment vertical="center"/>
    </xf>
    <xf numFmtId="0" fontId="0" fillId="0" borderId="285" xfId="0" applyBorder="1"/>
    <xf numFmtId="0" fontId="0" fillId="0" borderId="288" xfId="0" applyBorder="1"/>
    <xf numFmtId="0" fontId="0" fillId="0" borderId="289" xfId="0" applyBorder="1" applyAlignment="1">
      <alignment vertical="center"/>
    </xf>
    <xf numFmtId="0" fontId="0" fillId="0" borderId="290" xfId="0" applyBorder="1" applyAlignment="1">
      <alignment vertical="center"/>
    </xf>
    <xf numFmtId="0" fontId="0" fillId="0" borderId="291" xfId="0" applyBorder="1" applyAlignment="1">
      <alignment vertical="center"/>
    </xf>
    <xf numFmtId="0" fontId="94" fillId="0" borderId="292" xfId="0" applyFont="1" applyBorder="1" applyAlignment="1">
      <alignment horizontal="left" vertical="center"/>
    </xf>
    <xf numFmtId="0" fontId="0" fillId="0" borderId="293" xfId="0" applyBorder="1"/>
    <xf numFmtId="0" fontId="96" fillId="0" borderId="270" xfId="0" applyFont="1" applyBorder="1" applyAlignment="1">
      <alignment horizontal="center" vertical="center"/>
    </xf>
    <xf numFmtId="0" fontId="48" fillId="0" borderId="270" xfId="0" applyFont="1" applyBorder="1" applyAlignment="1">
      <alignment horizontal="center"/>
    </xf>
    <xf numFmtId="0" fontId="0" fillId="0" borderId="294" xfId="0" applyBorder="1"/>
    <xf numFmtId="0" fontId="0" fillId="0" borderId="295" xfId="0" applyBorder="1"/>
    <xf numFmtId="0" fontId="0" fillId="0" borderId="53" xfId="0" applyBorder="1" applyAlignment="1">
      <alignment vertical="center"/>
    </xf>
    <xf numFmtId="0" fontId="0" fillId="0" borderId="326" xfId="0" applyBorder="1"/>
    <xf numFmtId="0" fontId="0" fillId="0" borderId="327" xfId="0" applyBorder="1"/>
    <xf numFmtId="0" fontId="0" fillId="0" borderId="237" xfId="0" applyBorder="1"/>
    <xf numFmtId="0" fontId="0" fillId="0" borderId="138" xfId="0" applyBorder="1"/>
    <xf numFmtId="0" fontId="0" fillId="0" borderId="328" xfId="0" applyBorder="1"/>
    <xf numFmtId="0" fontId="0" fillId="0" borderId="145" xfId="0" applyBorder="1"/>
    <xf numFmtId="0" fontId="0" fillId="0" borderId="329" xfId="0" applyBorder="1"/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78" fillId="13" borderId="0" xfId="0" applyFont="1" applyFill="1" applyAlignment="1">
      <alignment horizontal="center" vertical="center" wrapText="1"/>
    </xf>
    <xf numFmtId="0" fontId="29" fillId="13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9" fontId="80" fillId="13" borderId="0" xfId="0" applyNumberFormat="1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7" fillId="13" borderId="0" xfId="0" applyFont="1" applyFill="1" applyAlignment="1">
      <alignment horizontal="right" vertical="top" wrapText="1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22" fillId="13" borderId="22" xfId="0" applyFont="1" applyFill="1" applyBorder="1" applyAlignment="1">
      <alignment horizontal="right" vertical="center"/>
    </xf>
    <xf numFmtId="0" fontId="22" fillId="13" borderId="0" xfId="0" applyFont="1" applyFill="1" applyAlignment="1">
      <alignment horizontal="right" vertical="center"/>
    </xf>
    <xf numFmtId="49" fontId="23" fillId="13" borderId="0" xfId="0" applyNumberFormat="1" applyFont="1" applyFill="1" applyAlignment="1">
      <alignment horizontal="left" vertical="center"/>
    </xf>
    <xf numFmtId="49" fontId="23" fillId="13" borderId="23" xfId="0" applyNumberFormat="1" applyFont="1" applyFill="1" applyBorder="1" applyAlignment="1">
      <alignment horizontal="left" vertical="center"/>
    </xf>
    <xf numFmtId="0" fontId="5" fillId="13" borderId="161" xfId="0" applyFont="1" applyFill="1" applyBorder="1" applyAlignment="1">
      <alignment horizontal="center" vertical="center"/>
    </xf>
    <xf numFmtId="0" fontId="5" fillId="13" borderId="162" xfId="0" applyFont="1" applyFill="1" applyBorder="1" applyAlignment="1">
      <alignment horizontal="center" vertical="center"/>
    </xf>
    <xf numFmtId="49" fontId="59" fillId="13" borderId="253" xfId="0" applyNumberFormat="1" applyFont="1" applyFill="1" applyBorder="1" applyAlignment="1">
      <alignment horizontal="center" vertical="center"/>
    </xf>
    <xf numFmtId="49" fontId="59" fillId="13" borderId="25" xfId="0" applyNumberFormat="1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27" fillId="13" borderId="193" xfId="0" applyFont="1" applyFill="1" applyBorder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27" fillId="13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69" fillId="0" borderId="123" xfId="0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98" fillId="13" borderId="19" xfId="0" applyFont="1" applyFill="1" applyBorder="1" applyAlignment="1">
      <alignment horizontal="center" vertical="center" wrapText="1"/>
    </xf>
    <xf numFmtId="0" fontId="98" fillId="13" borderId="251" xfId="0" applyFont="1" applyFill="1" applyBorder="1" applyAlignment="1">
      <alignment horizontal="center" vertical="center" wrapText="1"/>
    </xf>
    <xf numFmtId="0" fontId="69" fillId="0" borderId="12" xfId="0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9" fillId="13" borderId="1" xfId="0" applyFont="1" applyFill="1" applyBorder="1" applyAlignment="1">
      <alignment horizontal="center" vertical="center" wrapText="1" readingOrder="1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48" xfId="0" applyFont="1" applyFill="1" applyBorder="1" applyAlignment="1">
      <alignment horizontal="center" vertical="center"/>
    </xf>
    <xf numFmtId="0" fontId="3" fillId="13" borderId="149" xfId="0" applyFont="1" applyFill="1" applyBorder="1" applyAlignment="1">
      <alignment horizontal="center" vertical="center"/>
    </xf>
    <xf numFmtId="0" fontId="3" fillId="13" borderId="150" xfId="0" applyFont="1" applyFill="1" applyBorder="1" applyAlignment="1">
      <alignment horizontal="center" vertical="center"/>
    </xf>
    <xf numFmtId="0" fontId="25" fillId="13" borderId="161" xfId="0" applyFont="1" applyFill="1" applyBorder="1" applyAlignment="1">
      <alignment horizontal="center" vertical="top" wrapText="1"/>
    </xf>
    <xf numFmtId="0" fontId="25" fillId="13" borderId="162" xfId="0" applyFont="1" applyFill="1" applyBorder="1" applyAlignment="1">
      <alignment horizontal="center" vertical="top" wrapText="1"/>
    </xf>
    <xf numFmtId="0" fontId="25" fillId="13" borderId="163" xfId="0" applyFont="1" applyFill="1" applyBorder="1" applyAlignment="1">
      <alignment horizontal="center" vertical="top" wrapText="1"/>
    </xf>
    <xf numFmtId="49" fontId="26" fillId="13" borderId="169" xfId="0" applyNumberFormat="1" applyFont="1" applyFill="1" applyBorder="1" applyAlignment="1">
      <alignment horizontal="center" vertical="top" wrapText="1"/>
    </xf>
    <xf numFmtId="49" fontId="26" fillId="13" borderId="170" xfId="0" applyNumberFormat="1" applyFont="1" applyFill="1" applyBorder="1" applyAlignment="1">
      <alignment horizontal="center" vertical="top" wrapText="1"/>
    </xf>
    <xf numFmtId="49" fontId="26" fillId="13" borderId="171" xfId="0" applyNumberFormat="1" applyFont="1" applyFill="1" applyBorder="1" applyAlignment="1">
      <alignment horizontal="center" vertical="top" wrapText="1"/>
    </xf>
    <xf numFmtId="0" fontId="42" fillId="13" borderId="27" xfId="0" applyFont="1" applyFill="1" applyBorder="1" applyAlignment="1">
      <alignment horizontal="center" vertical="center"/>
    </xf>
    <xf numFmtId="0" fontId="42" fillId="13" borderId="32" xfId="0" applyFont="1" applyFill="1" applyBorder="1" applyAlignment="1">
      <alignment horizontal="center" vertical="center"/>
    </xf>
    <xf numFmtId="0" fontId="42" fillId="13" borderId="28" xfId="0" applyFont="1" applyFill="1" applyBorder="1" applyAlignment="1">
      <alignment horizontal="center" vertical="center"/>
    </xf>
    <xf numFmtId="0" fontId="42" fillId="13" borderId="153" xfId="0" applyFont="1" applyFill="1" applyBorder="1" applyAlignment="1">
      <alignment horizontal="center" vertical="center"/>
    </xf>
    <xf numFmtId="0" fontId="42" fillId="13" borderId="154" xfId="0" applyFont="1" applyFill="1" applyBorder="1" applyAlignment="1">
      <alignment horizontal="center" vertical="center"/>
    </xf>
    <xf numFmtId="0" fontId="42" fillId="13" borderId="155" xfId="0" applyFont="1" applyFill="1" applyBorder="1" applyAlignment="1">
      <alignment horizontal="center" vertical="center"/>
    </xf>
    <xf numFmtId="0" fontId="49" fillId="13" borderId="34" xfId="0" applyFont="1" applyFill="1" applyBorder="1" applyAlignment="1">
      <alignment horizontal="center" vertical="center" wrapText="1" readingOrder="1"/>
    </xf>
    <xf numFmtId="0" fontId="49" fillId="13" borderId="5" xfId="0" applyFont="1" applyFill="1" applyBorder="1" applyAlignment="1">
      <alignment horizontal="center" vertical="center" wrapText="1" readingOrder="1"/>
    </xf>
    <xf numFmtId="0" fontId="49" fillId="13" borderId="172" xfId="0" applyFont="1" applyFill="1" applyBorder="1" applyAlignment="1">
      <alignment horizontal="center" vertical="center" wrapText="1" readingOrder="1"/>
    </xf>
    <xf numFmtId="0" fontId="52" fillId="13" borderId="1" xfId="0" applyFont="1" applyFill="1" applyBorder="1" applyAlignment="1">
      <alignment horizontal="center" vertical="center" wrapText="1" readingOrder="1"/>
    </xf>
    <xf numFmtId="0" fontId="52" fillId="13" borderId="34" xfId="0" applyFont="1" applyFill="1" applyBorder="1" applyAlignment="1">
      <alignment horizontal="center" vertical="center" wrapText="1" readingOrder="1"/>
    </xf>
    <xf numFmtId="0" fontId="51" fillId="13" borderId="27" xfId="0" applyFont="1" applyFill="1" applyBorder="1" applyAlignment="1">
      <alignment horizontal="center" vertical="center" wrapText="1" readingOrder="1"/>
    </xf>
    <xf numFmtId="0" fontId="51" fillId="13" borderId="32" xfId="0" applyFont="1" applyFill="1" applyBorder="1" applyAlignment="1">
      <alignment horizontal="center" vertical="center" wrapText="1" readingOrder="1"/>
    </xf>
    <xf numFmtId="0" fontId="51" fillId="13" borderId="28" xfId="0" applyFont="1" applyFill="1" applyBorder="1" applyAlignment="1">
      <alignment horizontal="center" vertical="center" wrapText="1" readingOrder="1"/>
    </xf>
    <xf numFmtId="0" fontId="52" fillId="13" borderId="33" xfId="0" applyFont="1" applyFill="1" applyBorder="1" applyAlignment="1">
      <alignment horizontal="center" vertical="center" wrapText="1" readingOrder="1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54" fillId="13" borderId="36" xfId="0" applyFont="1" applyFill="1" applyBorder="1" applyAlignment="1">
      <alignment horizontal="center" vertical="center"/>
    </xf>
    <xf numFmtId="0" fontId="54" fillId="13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3" borderId="123" xfId="0" applyFont="1" applyFill="1" applyBorder="1" applyAlignment="1">
      <alignment horizontal="center" vertical="center"/>
    </xf>
    <xf numFmtId="0" fontId="54" fillId="13" borderId="61" xfId="0" applyFont="1" applyFill="1" applyBorder="1" applyAlignment="1">
      <alignment horizontal="center" vertical="center"/>
    </xf>
    <xf numFmtId="0" fontId="54" fillId="13" borderId="124" xfId="0" applyFont="1" applyFill="1" applyBorder="1" applyAlignment="1">
      <alignment horizontal="center" vertical="center"/>
    </xf>
    <xf numFmtId="0" fontId="54" fillId="13" borderId="35" xfId="0" applyFont="1" applyFill="1" applyBorder="1" applyAlignment="1">
      <alignment horizontal="center" vertical="center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9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53" fillId="13" borderId="175" xfId="0" applyFont="1" applyFill="1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3" borderId="35" xfId="0" applyFont="1" applyFill="1" applyBorder="1" applyAlignment="1">
      <alignment horizontal="center" vertical="center"/>
    </xf>
    <xf numFmtId="0" fontId="53" fillId="13" borderId="36" xfId="0" applyFont="1" applyFill="1" applyBorder="1" applyAlignment="1">
      <alignment horizontal="center" vertical="center"/>
    </xf>
    <xf numFmtId="0" fontId="53" fillId="13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30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3" borderId="19" xfId="0" applyFont="1" applyFill="1" applyBorder="1" applyAlignment="1">
      <alignment horizontal="center" vertical="center" wrapText="1" readingOrder="1"/>
    </xf>
    <xf numFmtId="0" fontId="52" fillId="13" borderId="20" xfId="0" applyFont="1" applyFill="1" applyBorder="1" applyAlignment="1">
      <alignment horizontal="center" vertical="center" wrapText="1" readingOrder="1"/>
    </xf>
    <xf numFmtId="0" fontId="52" fillId="13" borderId="17" xfId="0" applyFont="1" applyFill="1" applyBorder="1" applyAlignment="1">
      <alignment horizontal="center" vertical="center" wrapText="1" readingOrder="1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54" fillId="13" borderId="58" xfId="0" applyFont="1" applyFill="1" applyBorder="1" applyAlignment="1">
      <alignment horizontal="right" vertical="center"/>
    </xf>
    <xf numFmtId="0" fontId="54" fillId="13" borderId="0" xfId="0" applyFont="1" applyFill="1" applyAlignment="1">
      <alignment horizontal="right" vertical="center"/>
    </xf>
    <xf numFmtId="49" fontId="90" fillId="13" borderId="0" xfId="0" applyNumberFormat="1" applyFont="1" applyFill="1" applyAlignment="1">
      <alignment horizontal="left" vertical="center"/>
    </xf>
    <xf numFmtId="49" fontId="90" fillId="13" borderId="60" xfId="0" applyNumberFormat="1" applyFont="1" applyFill="1" applyBorder="1" applyAlignment="1">
      <alignment horizontal="left" vertical="center"/>
    </xf>
    <xf numFmtId="0" fontId="54" fillId="13" borderId="58" xfId="0" applyFont="1" applyFill="1" applyBorder="1" applyAlignment="1">
      <alignment horizontal="center" vertical="center"/>
    </xf>
    <xf numFmtId="0" fontId="54" fillId="13" borderId="0" xfId="0" applyFont="1" applyFill="1" applyAlignment="1">
      <alignment horizontal="center" vertical="center"/>
    </xf>
    <xf numFmtId="0" fontId="54" fillId="13" borderId="60" xfId="0" applyFont="1" applyFill="1" applyBorder="1" applyAlignment="1">
      <alignment horizontal="center" vertical="center"/>
    </xf>
    <xf numFmtId="0" fontId="63" fillId="13" borderId="191" xfId="0" applyFont="1" applyFill="1" applyBorder="1" applyAlignment="1">
      <alignment horizontal="center" vertical="center"/>
    </xf>
    <xf numFmtId="0" fontId="63" fillId="13" borderId="198" xfId="0" applyFont="1" applyFill="1" applyBorder="1" applyAlignment="1">
      <alignment horizontal="center" vertical="center"/>
    </xf>
    <xf numFmtId="0" fontId="63" fillId="13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66" fillId="19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13" borderId="185" xfId="0" applyFont="1" applyFill="1" applyBorder="1" applyAlignment="1">
      <alignment horizontal="center" vertical="center"/>
    </xf>
    <xf numFmtId="0" fontId="16" fillId="0" borderId="206" xfId="0" applyFont="1" applyBorder="1" applyAlignment="1">
      <alignment horizontal="center" vertical="center" wrapText="1"/>
    </xf>
    <xf numFmtId="0" fontId="7" fillId="13" borderId="200" xfId="0" applyFont="1" applyFill="1" applyBorder="1" applyAlignment="1">
      <alignment horizontal="center" vertical="center" wrapText="1"/>
    </xf>
    <xf numFmtId="0" fontId="7" fillId="13" borderId="199" xfId="0" applyFont="1" applyFill="1" applyBorder="1" applyAlignment="1">
      <alignment horizontal="center" vertical="center" wrapText="1"/>
    </xf>
    <xf numFmtId="0" fontId="7" fillId="13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190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  <xf numFmtId="0" fontId="61" fillId="13" borderId="169" xfId="0" applyFont="1" applyFill="1" applyBorder="1" applyAlignment="1">
      <alignment horizontal="center" vertical="top" wrapText="1"/>
    </xf>
    <xf numFmtId="0" fontId="61" fillId="13" borderId="171" xfId="0" applyFont="1" applyFill="1" applyBorder="1" applyAlignment="1">
      <alignment horizontal="center" vertical="top" wrapText="1"/>
    </xf>
    <xf numFmtId="0" fontId="7" fillId="13" borderId="169" xfId="0" applyFont="1" applyFill="1" applyBorder="1" applyAlignment="1">
      <alignment horizontal="center"/>
    </xf>
    <xf numFmtId="0" fontId="7" fillId="13" borderId="170" xfId="0" applyFont="1" applyFill="1" applyBorder="1" applyAlignment="1">
      <alignment horizontal="center"/>
    </xf>
    <xf numFmtId="0" fontId="7" fillId="13" borderId="171" xfId="0" applyFont="1" applyFill="1" applyBorder="1" applyAlignment="1">
      <alignment horizontal="center"/>
    </xf>
    <xf numFmtId="0" fontId="7" fillId="13" borderId="330" xfId="0" applyFont="1" applyFill="1" applyBorder="1" applyAlignment="1">
      <alignment horizontal="center" vertical="center"/>
    </xf>
    <xf numFmtId="0" fontId="7" fillId="13" borderId="332" xfId="0" applyFont="1" applyFill="1" applyBorder="1" applyAlignment="1">
      <alignment horizontal="center" vertical="center"/>
    </xf>
    <xf numFmtId="0" fontId="7" fillId="13" borderId="168" xfId="0" applyFont="1" applyFill="1" applyBorder="1" applyAlignment="1">
      <alignment horizontal="center" vertical="center"/>
    </xf>
    <xf numFmtId="0" fontId="7" fillId="13" borderId="263" xfId="0" applyFont="1" applyFill="1" applyBorder="1" applyAlignment="1">
      <alignment horizontal="center" vertical="center"/>
    </xf>
    <xf numFmtId="0" fontId="71" fillId="0" borderId="182" xfId="0" applyFont="1" applyBorder="1" applyAlignment="1">
      <alignment horizontal="center" vertical="center"/>
    </xf>
    <xf numFmtId="0" fontId="0" fillId="18" borderId="316" xfId="0" applyFill="1" applyBorder="1" applyAlignment="1">
      <alignment horizontal="center"/>
    </xf>
    <xf numFmtId="0" fontId="0" fillId="18" borderId="317" xfId="0" applyFill="1" applyBorder="1" applyAlignment="1">
      <alignment horizontal="center"/>
    </xf>
    <xf numFmtId="0" fontId="0" fillId="18" borderId="318" xfId="0" applyFill="1" applyBorder="1" applyAlignment="1">
      <alignment horizontal="center"/>
    </xf>
    <xf numFmtId="9" fontId="95" fillId="18" borderId="319" xfId="0" applyNumberFormat="1" applyFont="1" applyFill="1" applyBorder="1" applyAlignment="1">
      <alignment horizontal="center" vertical="center"/>
    </xf>
    <xf numFmtId="9" fontId="95" fillId="18" borderId="317" xfId="0" applyNumberFormat="1" applyFont="1" applyFill="1" applyBorder="1" applyAlignment="1">
      <alignment horizontal="center" vertical="center"/>
    </xf>
    <xf numFmtId="9" fontId="95" fillId="18" borderId="318" xfId="0" applyNumberFormat="1" applyFont="1" applyFill="1" applyBorder="1" applyAlignment="1">
      <alignment horizontal="center" vertical="center"/>
    </xf>
    <xf numFmtId="9" fontId="0" fillId="18" borderId="320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321" xfId="0" applyNumberFormat="1" applyFill="1" applyBorder="1" applyAlignment="1">
      <alignment horizontal="center" vertical="center"/>
    </xf>
    <xf numFmtId="9" fontId="0" fillId="18" borderId="317" xfId="0" applyNumberFormat="1" applyFill="1" applyBorder="1" applyAlignment="1">
      <alignment horizontal="center" vertical="center"/>
    </xf>
    <xf numFmtId="9" fontId="0" fillId="18" borderId="322" xfId="0" applyNumberFormat="1" applyFill="1" applyBorder="1" applyAlignment="1">
      <alignment horizontal="center" vertical="center"/>
    </xf>
    <xf numFmtId="9" fontId="0" fillId="18" borderId="323" xfId="0" applyNumberFormat="1" applyFill="1" applyBorder="1" applyAlignment="1">
      <alignment horizontal="center" vertical="center"/>
    </xf>
    <xf numFmtId="0" fontId="7" fillId="13" borderId="331" xfId="0" applyFont="1" applyFill="1" applyBorder="1" applyAlignment="1">
      <alignment horizontal="center" vertical="center"/>
    </xf>
    <xf numFmtId="0" fontId="7" fillId="13" borderId="333" xfId="0" applyFont="1" applyFill="1" applyBorder="1" applyAlignment="1">
      <alignment horizontal="center" vertical="center"/>
    </xf>
    <xf numFmtId="0" fontId="61" fillId="13" borderId="169" xfId="0" applyFont="1" applyFill="1" applyBorder="1" applyAlignment="1">
      <alignment horizontal="center" vertical="center"/>
    </xf>
    <xf numFmtId="0" fontId="61" fillId="13" borderId="170" xfId="0" applyFont="1" applyFill="1" applyBorder="1" applyAlignment="1">
      <alignment horizontal="center" vertical="center"/>
    </xf>
    <xf numFmtId="0" fontId="61" fillId="13" borderId="171" xfId="0" applyFont="1" applyFill="1" applyBorder="1" applyAlignment="1">
      <alignment horizontal="center" vertical="center"/>
    </xf>
    <xf numFmtId="0" fontId="61" fillId="13" borderId="169" xfId="0" applyFont="1" applyFill="1" applyBorder="1" applyAlignment="1">
      <alignment horizontal="center" vertical="center" wrapText="1"/>
    </xf>
    <xf numFmtId="0" fontId="61" fillId="13" borderId="171" xfId="0" applyFont="1" applyFill="1" applyBorder="1" applyAlignment="1">
      <alignment horizontal="center" vertical="center" wrapText="1"/>
    </xf>
    <xf numFmtId="9" fontId="0" fillId="18" borderId="286" xfId="0" applyNumberFormat="1" applyFill="1" applyBorder="1" applyAlignment="1">
      <alignment horizontal="center" vertical="center"/>
    </xf>
    <xf numFmtId="9" fontId="0" fillId="18" borderId="279" xfId="0" applyNumberFormat="1" applyFill="1" applyBorder="1" applyAlignment="1">
      <alignment horizontal="center" vertical="center"/>
    </xf>
    <xf numFmtId="9" fontId="0" fillId="18" borderId="313" xfId="0" applyNumberFormat="1" applyFill="1" applyBorder="1" applyAlignment="1">
      <alignment horizontal="center" vertical="center"/>
    </xf>
    <xf numFmtId="9" fontId="0" fillId="0" borderId="286" xfId="0" applyNumberFormat="1" applyBorder="1" applyAlignment="1">
      <alignment horizontal="center" vertical="center"/>
    </xf>
    <xf numFmtId="9" fontId="0" fillId="0" borderId="279" xfId="0" applyNumberFormat="1" applyBorder="1" applyAlignment="1">
      <alignment horizontal="center" vertical="center"/>
    </xf>
    <xf numFmtId="9" fontId="0" fillId="0" borderId="313" xfId="0" applyNumberFormat="1" applyBorder="1" applyAlignment="1">
      <alignment horizontal="center" vertical="center"/>
    </xf>
    <xf numFmtId="9" fontId="0" fillId="18" borderId="301" xfId="0" applyNumberFormat="1" applyFill="1" applyBorder="1" applyAlignment="1">
      <alignment horizontal="center" vertical="center"/>
    </xf>
    <xf numFmtId="9" fontId="0" fillId="18" borderId="297" xfId="0" applyNumberFormat="1" applyFill="1" applyBorder="1" applyAlignment="1">
      <alignment horizontal="center" vertical="center"/>
    </xf>
    <xf numFmtId="9" fontId="0" fillId="18" borderId="315" xfId="0" applyNumberFormat="1" applyFill="1" applyBorder="1" applyAlignment="1">
      <alignment horizontal="center" vertical="center"/>
    </xf>
    <xf numFmtId="9" fontId="0" fillId="0" borderId="106" xfId="0" applyNumberFormat="1" applyBorder="1" applyAlignment="1">
      <alignment horizontal="center" vertical="center"/>
    </xf>
    <xf numFmtId="9" fontId="0" fillId="0" borderId="262" xfId="0" applyNumberFormat="1" applyBorder="1" applyAlignment="1">
      <alignment horizontal="center" vertical="center"/>
    </xf>
    <xf numFmtId="9" fontId="0" fillId="0" borderId="287" xfId="0" applyNumberFormat="1" applyBorder="1" applyAlignment="1">
      <alignment horizontal="center" vertical="center"/>
    </xf>
    <xf numFmtId="9" fontId="0" fillId="18" borderId="302" xfId="0" applyNumberFormat="1" applyFill="1" applyBorder="1" applyAlignment="1">
      <alignment horizontal="center" vertical="center"/>
    </xf>
    <xf numFmtId="0" fontId="15" fillId="0" borderId="324" xfId="0" applyFont="1" applyBorder="1" applyAlignment="1">
      <alignment horizontal="center" vertical="center"/>
    </xf>
    <xf numFmtId="0" fontId="15" fillId="0" borderId="149" xfId="0" applyFont="1" applyBorder="1" applyAlignment="1">
      <alignment horizontal="center" vertical="center"/>
    </xf>
    <xf numFmtId="0" fontId="15" fillId="0" borderId="150" xfId="0" applyFont="1" applyBorder="1" applyAlignment="1">
      <alignment horizontal="center" vertical="center"/>
    </xf>
    <xf numFmtId="9" fontId="0" fillId="18" borderId="309" xfId="0" applyNumberFormat="1" applyFill="1" applyBorder="1" applyAlignment="1">
      <alignment horizontal="center" vertical="center"/>
    </xf>
    <xf numFmtId="9" fontId="0" fillId="18" borderId="304" xfId="0" applyNumberFormat="1" applyFill="1" applyBorder="1" applyAlignment="1">
      <alignment horizontal="center" vertical="center"/>
    </xf>
    <xf numFmtId="9" fontId="0" fillId="18" borderId="311" xfId="0" applyNumberFormat="1" applyFill="1" applyBorder="1" applyAlignment="1">
      <alignment horizontal="center" vertical="center"/>
    </xf>
    <xf numFmtId="9" fontId="0" fillId="18" borderId="287" xfId="0" applyNumberFormat="1" applyFill="1" applyBorder="1" applyAlignment="1">
      <alignment horizontal="center" vertical="center"/>
    </xf>
    <xf numFmtId="9" fontId="0" fillId="18" borderId="299" xfId="0" applyNumberFormat="1" applyFill="1" applyBorder="1" applyAlignment="1">
      <alignment horizontal="center" vertical="center"/>
    </xf>
    <xf numFmtId="9" fontId="0" fillId="18" borderId="300" xfId="0" applyNumberFormat="1" applyFill="1" applyBorder="1" applyAlignment="1">
      <alignment horizontal="center" vertical="center"/>
    </xf>
    <xf numFmtId="0" fontId="15" fillId="0" borderId="325" xfId="0" applyFont="1" applyBorder="1" applyAlignment="1">
      <alignment horizontal="center" vertical="center"/>
    </xf>
    <xf numFmtId="9" fontId="0" fillId="18" borderId="310" xfId="0" applyNumberFormat="1" applyFill="1" applyBorder="1" applyAlignment="1">
      <alignment horizontal="center" vertical="center"/>
    </xf>
    <xf numFmtId="9" fontId="0" fillId="0" borderId="282" xfId="0" applyNumberFormat="1" applyBorder="1" applyAlignment="1">
      <alignment horizontal="center" vertical="center"/>
    </xf>
    <xf numFmtId="9" fontId="0" fillId="0" borderId="283" xfId="0" applyNumberFormat="1" applyBorder="1" applyAlignment="1">
      <alignment horizontal="center" vertical="center"/>
    </xf>
    <xf numFmtId="9" fontId="0" fillId="18" borderId="282" xfId="0" applyNumberFormat="1" applyFill="1" applyBorder="1" applyAlignment="1">
      <alignment horizontal="center" vertical="center"/>
    </xf>
    <xf numFmtId="9" fontId="0" fillId="18" borderId="283" xfId="0" applyNumberFormat="1" applyFill="1" applyBorder="1" applyAlignment="1">
      <alignment horizontal="center" vertical="center"/>
    </xf>
    <xf numFmtId="9" fontId="95" fillId="0" borderId="106" xfId="0" applyNumberFormat="1" applyFont="1" applyBorder="1" applyAlignment="1">
      <alignment horizontal="center" vertical="center"/>
    </xf>
    <xf numFmtId="0" fontId="15" fillId="0" borderId="148" xfId="0" applyFont="1" applyBorder="1" applyAlignment="1">
      <alignment horizontal="center" vertical="center"/>
    </xf>
    <xf numFmtId="9" fontId="0" fillId="18" borderId="307" xfId="0" applyNumberFormat="1" applyFill="1" applyBorder="1" applyAlignment="1">
      <alignment horizontal="center" vertical="center"/>
    </xf>
    <xf numFmtId="9" fontId="0" fillId="18" borderId="308" xfId="0" applyNumberFormat="1" applyFill="1" applyBorder="1" applyAlignment="1">
      <alignment horizontal="center" vertical="center"/>
    </xf>
    <xf numFmtId="9" fontId="95" fillId="18" borderId="280" xfId="0" applyNumberFormat="1" applyFont="1" applyFill="1" applyBorder="1" applyAlignment="1">
      <alignment horizontal="center" vertical="center"/>
    </xf>
    <xf numFmtId="9" fontId="95" fillId="18" borderId="279" xfId="0" applyNumberFormat="1" applyFont="1" applyFill="1" applyBorder="1" applyAlignment="1">
      <alignment horizontal="center" vertical="center"/>
    </xf>
    <xf numFmtId="9" fontId="95" fillId="18" borderId="281" xfId="0" applyNumberFormat="1" applyFont="1" applyFill="1" applyBorder="1" applyAlignment="1">
      <alignment horizontal="center" vertical="center"/>
    </xf>
    <xf numFmtId="9" fontId="95" fillId="0" borderId="280" xfId="0" applyNumberFormat="1" applyFont="1" applyBorder="1" applyAlignment="1">
      <alignment horizontal="center" vertical="center"/>
    </xf>
    <xf numFmtId="9" fontId="95" fillId="0" borderId="279" xfId="0" applyNumberFormat="1" applyFont="1" applyBorder="1" applyAlignment="1">
      <alignment horizontal="center" vertical="center"/>
    </xf>
    <xf numFmtId="9" fontId="95" fillId="0" borderId="281" xfId="0" applyNumberFormat="1" applyFont="1" applyBorder="1" applyAlignment="1">
      <alignment horizontal="center" vertical="center"/>
    </xf>
    <xf numFmtId="9" fontId="95" fillId="18" borderId="296" xfId="0" applyNumberFormat="1" applyFont="1" applyFill="1" applyBorder="1" applyAlignment="1">
      <alignment horizontal="center" vertical="center"/>
    </xf>
    <xf numFmtId="9" fontId="95" fillId="18" borderId="297" xfId="0" applyNumberFormat="1" applyFont="1" applyFill="1" applyBorder="1" applyAlignment="1">
      <alignment horizontal="center" vertical="center"/>
    </xf>
    <xf numFmtId="9" fontId="95" fillId="18" borderId="298" xfId="0" applyNumberFormat="1" applyFont="1" applyFill="1" applyBorder="1" applyAlignment="1">
      <alignment horizontal="center" vertical="center"/>
    </xf>
    <xf numFmtId="0" fontId="0" fillId="0" borderId="312" xfId="0" applyBorder="1" applyAlignment="1">
      <alignment horizontal="right"/>
    </xf>
    <xf numFmtId="0" fontId="0" fillId="0" borderId="279" xfId="0" applyBorder="1" applyAlignment="1">
      <alignment horizontal="right"/>
    </xf>
    <xf numFmtId="0" fontId="0" fillId="0" borderId="281" xfId="0" applyBorder="1" applyAlignment="1">
      <alignment horizontal="right"/>
    </xf>
    <xf numFmtId="0" fontId="0" fillId="18" borderId="314" xfId="0" applyFill="1" applyBorder="1" applyAlignment="1">
      <alignment horizontal="left"/>
    </xf>
    <xf numFmtId="0" fontId="0" fillId="18" borderId="297" xfId="0" applyFill="1" applyBorder="1" applyAlignment="1">
      <alignment horizontal="left"/>
    </xf>
    <xf numFmtId="0" fontId="0" fillId="18" borderId="298" xfId="0" applyFill="1" applyBorder="1" applyAlignment="1">
      <alignment horizontal="left"/>
    </xf>
    <xf numFmtId="0" fontId="0" fillId="0" borderId="166" xfId="0" applyBorder="1" applyAlignment="1">
      <alignment horizontal="center"/>
    </xf>
    <xf numFmtId="0" fontId="0" fillId="0" borderId="106" xfId="0" applyBorder="1" applyAlignment="1">
      <alignment horizontal="center"/>
    </xf>
    <xf numFmtId="0" fontId="0" fillId="0" borderId="312" xfId="0" applyBorder="1" applyAlignment="1">
      <alignment horizontal="right" vertical="center"/>
    </xf>
    <xf numFmtId="0" fontId="0" fillId="0" borderId="279" xfId="0" applyBorder="1" applyAlignment="1">
      <alignment horizontal="right" vertical="center"/>
    </xf>
    <xf numFmtId="0" fontId="0" fillId="0" borderId="281" xfId="0" applyBorder="1" applyAlignment="1">
      <alignment horizontal="right" vertical="center"/>
    </xf>
    <xf numFmtId="0" fontId="0" fillId="18" borderId="312" xfId="0" applyFill="1" applyBorder="1" applyAlignment="1">
      <alignment horizontal="left" vertical="center"/>
    </xf>
    <xf numFmtId="0" fontId="0" fillId="18" borderId="279" xfId="0" applyFill="1" applyBorder="1" applyAlignment="1">
      <alignment horizontal="left" vertical="center"/>
    </xf>
    <xf numFmtId="0" fontId="0" fillId="18" borderId="281" xfId="0" applyFill="1" applyBorder="1" applyAlignment="1">
      <alignment horizontal="left" vertical="center"/>
    </xf>
    <xf numFmtId="0" fontId="0" fillId="18" borderId="303" xfId="0" applyFill="1" applyBorder="1" applyAlignment="1">
      <alignment horizontal="left" vertical="center"/>
    </xf>
    <xf numFmtId="0" fontId="0" fillId="18" borderId="304" xfId="0" applyFill="1" applyBorder="1" applyAlignment="1">
      <alignment horizontal="left" vertical="center"/>
    </xf>
    <xf numFmtId="0" fontId="0" fillId="18" borderId="305" xfId="0" applyFill="1" applyBorder="1" applyAlignment="1">
      <alignment horizontal="left" vertical="center"/>
    </xf>
    <xf numFmtId="9" fontId="95" fillId="18" borderId="306" xfId="0" applyNumberFormat="1" applyFont="1" applyFill="1" applyBorder="1" applyAlignment="1">
      <alignment horizontal="center" vertical="center"/>
    </xf>
    <xf numFmtId="9" fontId="95" fillId="18" borderId="304" xfId="0" applyNumberFormat="1" applyFont="1" applyFill="1" applyBorder="1" applyAlignment="1">
      <alignment horizontal="center" vertical="center"/>
    </xf>
    <xf numFmtId="9" fontId="95" fillId="18" borderId="305" xfId="0" applyNumberFormat="1" applyFont="1" applyFill="1" applyBorder="1" applyAlignment="1">
      <alignment horizontal="center" vertical="center"/>
    </xf>
    <xf numFmtId="0" fontId="91" fillId="13" borderId="148" xfId="0" applyFont="1" applyFill="1" applyBorder="1" applyAlignment="1">
      <alignment horizontal="center"/>
    </xf>
    <xf numFmtId="0" fontId="91" fillId="13" borderId="149" xfId="0" applyFont="1" applyFill="1" applyBorder="1" applyAlignment="1">
      <alignment horizontal="center"/>
    </xf>
    <xf numFmtId="0" fontId="91" fillId="13" borderId="150" xfId="0" applyFont="1" applyFill="1" applyBorder="1" applyAlignment="1">
      <alignment horizontal="center"/>
    </xf>
    <xf numFmtId="0" fontId="97" fillId="0" borderId="276" xfId="0" applyFont="1" applyBorder="1" applyAlignment="1">
      <alignment horizontal="left" vertical="center"/>
    </xf>
    <xf numFmtId="0" fontId="97" fillId="0" borderId="277" xfId="0" applyFont="1" applyBorder="1" applyAlignment="1">
      <alignment horizontal="left" vertical="center"/>
    </xf>
    <xf numFmtId="0" fontId="97" fillId="0" borderId="278" xfId="0" applyFont="1" applyBorder="1" applyAlignment="1">
      <alignment horizontal="left" vertical="center"/>
    </xf>
    <xf numFmtId="0" fontId="15" fillId="0" borderId="161" xfId="0" applyFont="1" applyBorder="1" applyAlignment="1">
      <alignment horizontal="center" vertical="center" wrapText="1"/>
    </xf>
    <xf numFmtId="0" fontId="15" fillId="0" borderId="162" xfId="0" applyFont="1" applyBorder="1" applyAlignment="1">
      <alignment horizontal="center" vertical="center" wrapText="1"/>
    </xf>
    <xf numFmtId="0" fontId="15" fillId="0" borderId="163" xfId="0" applyFont="1" applyBorder="1" applyAlignment="1">
      <alignment horizontal="center" vertical="center" wrapText="1"/>
    </xf>
    <xf numFmtId="0" fontId="15" fillId="0" borderId="252" xfId="0" applyFont="1" applyBorder="1" applyAlignment="1">
      <alignment horizontal="center" vertical="center" wrapText="1"/>
    </xf>
    <xf numFmtId="0" fontId="15" fillId="0" borderId="231" xfId="0" applyFont="1" applyBorder="1" applyAlignment="1">
      <alignment horizontal="center" vertical="center" wrapText="1"/>
    </xf>
    <xf numFmtId="0" fontId="15" fillId="0" borderId="233" xfId="0" applyFont="1" applyBorder="1" applyAlignment="1">
      <alignment horizontal="center" vertical="center" wrapText="1"/>
    </xf>
    <xf numFmtId="0" fontId="94" fillId="0" borderId="256" xfId="0" applyFont="1" applyBorder="1" applyAlignment="1">
      <alignment horizontal="left" vertical="center"/>
    </xf>
    <xf numFmtId="0" fontId="94" fillId="0" borderId="162" xfId="0" applyFont="1" applyBorder="1" applyAlignment="1">
      <alignment horizontal="left" vertical="center"/>
    </xf>
    <xf numFmtId="0" fontId="94" fillId="0" borderId="163" xfId="0" applyFont="1" applyBorder="1" applyAlignment="1">
      <alignment horizontal="left" vertical="center"/>
    </xf>
    <xf numFmtId="0" fontId="94" fillId="0" borderId="54" xfId="0" applyFont="1" applyBorder="1" applyAlignment="1">
      <alignment horizontal="left" vertical="center"/>
    </xf>
    <xf numFmtId="0" fontId="94" fillId="0" borderId="49" xfId="0" applyFont="1" applyBorder="1" applyAlignment="1">
      <alignment horizontal="left" vertical="center"/>
    </xf>
    <xf numFmtId="0" fontId="94" fillId="0" borderId="145" xfId="0" applyFont="1" applyBorder="1" applyAlignment="1">
      <alignment horizontal="left" vertical="center"/>
    </xf>
    <xf numFmtId="0" fontId="91" fillId="0" borderId="148" xfId="0" applyFont="1" applyBorder="1" applyAlignment="1">
      <alignment horizontal="center"/>
    </xf>
    <xf numFmtId="0" fontId="91" fillId="0" borderId="149" xfId="0" applyFont="1" applyBorder="1" applyAlignment="1">
      <alignment horizontal="center"/>
    </xf>
    <xf numFmtId="0" fontId="91" fillId="0" borderId="150" xfId="0" applyFont="1" applyBorder="1" applyAlignment="1">
      <alignment horizontal="center"/>
    </xf>
    <xf numFmtId="0" fontId="100" fillId="0" borderId="256" xfId="0" applyFont="1" applyBorder="1" applyAlignment="1">
      <alignment horizontal="center" vertical="center"/>
    </xf>
    <xf numFmtId="0" fontId="100" fillId="0" borderId="162" xfId="0" applyFont="1" applyBorder="1" applyAlignment="1">
      <alignment horizontal="center" vertical="center"/>
    </xf>
    <xf numFmtId="0" fontId="100" fillId="0" borderId="163" xfId="0" applyFont="1" applyBorder="1" applyAlignment="1">
      <alignment horizontal="center" vertical="center"/>
    </xf>
    <xf numFmtId="0" fontId="100" fillId="0" borderId="54" xfId="0" applyFont="1" applyBorder="1" applyAlignment="1">
      <alignment horizontal="center" vertical="center"/>
    </xf>
    <xf numFmtId="0" fontId="100" fillId="0" borderId="49" xfId="0" applyFont="1" applyBorder="1" applyAlignment="1">
      <alignment horizontal="center" vertical="center"/>
    </xf>
    <xf numFmtId="0" fontId="100" fillId="0" borderId="145" xfId="0" applyFont="1" applyBorder="1" applyAlignment="1">
      <alignment horizontal="center" vertical="center"/>
    </xf>
    <xf numFmtId="0" fontId="48" fillId="0" borderId="59" xfId="0" applyFont="1" applyBorder="1" applyAlignment="1">
      <alignment horizontal="center" vertical="center"/>
    </xf>
    <xf numFmtId="0" fontId="48" fillId="0" borderId="52" xfId="0" applyFont="1" applyBorder="1" applyAlignment="1">
      <alignment horizontal="center" vertical="center"/>
    </xf>
    <xf numFmtId="0" fontId="48" fillId="0" borderId="144" xfId="0" applyFont="1" applyBorder="1" applyAlignment="1">
      <alignment horizontal="center" vertical="center"/>
    </xf>
    <xf numFmtId="0" fontId="48" fillId="0" borderId="257" xfId="0" applyFont="1" applyBorder="1" applyAlignment="1">
      <alignment horizontal="center" vertical="center"/>
    </xf>
    <xf numFmtId="0" fontId="48" fillId="0" borderId="231" xfId="0" applyFont="1" applyBorder="1" applyAlignment="1">
      <alignment horizontal="center" vertical="center"/>
    </xf>
    <xf numFmtId="0" fontId="48" fillId="0" borderId="233" xfId="0" applyFont="1" applyBorder="1" applyAlignment="1">
      <alignment horizontal="center" vertical="center"/>
    </xf>
    <xf numFmtId="0" fontId="93" fillId="13" borderId="252" xfId="0" applyFont="1" applyFill="1" applyBorder="1" applyAlignment="1">
      <alignment horizontal="center" vertical="center"/>
    </xf>
    <xf numFmtId="0" fontId="93" fillId="13" borderId="231" xfId="0" applyFont="1" applyFill="1" applyBorder="1" applyAlignment="1">
      <alignment horizontal="center" vertical="center"/>
    </xf>
    <xf numFmtId="0" fontId="93" fillId="13" borderId="233" xfId="0" applyFont="1" applyFill="1" applyBorder="1" applyAlignment="1">
      <alignment horizontal="center" vertical="center"/>
    </xf>
    <xf numFmtId="0" fontId="92" fillId="13" borderId="161" xfId="0" applyFont="1" applyFill="1" applyBorder="1" applyAlignment="1">
      <alignment horizontal="center"/>
    </xf>
    <xf numFmtId="0" fontId="92" fillId="13" borderId="162" xfId="0" applyFont="1" applyFill="1" applyBorder="1" applyAlignment="1">
      <alignment horizontal="center"/>
    </xf>
    <xf numFmtId="0" fontId="92" fillId="13" borderId="163" xfId="0" applyFont="1" applyFill="1" applyBorder="1" applyAlignment="1">
      <alignment horizontal="center"/>
    </xf>
    <xf numFmtId="0" fontId="100" fillId="0" borderId="58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100" fillId="0" borderId="228" xfId="0" applyFont="1" applyBorder="1" applyAlignment="1">
      <alignment horizontal="center" vertical="center"/>
    </xf>
    <xf numFmtId="0" fontId="100" fillId="0" borderId="256" xfId="0" applyFont="1" applyBorder="1" applyAlignment="1">
      <alignment horizontal="left" vertical="center"/>
    </xf>
    <xf numFmtId="0" fontId="100" fillId="0" borderId="163" xfId="0" applyFont="1" applyBorder="1" applyAlignment="1">
      <alignment horizontal="left" vertical="center"/>
    </xf>
    <xf numFmtId="0" fontId="100" fillId="0" borderId="54" xfId="0" applyFont="1" applyBorder="1" applyAlignment="1">
      <alignment horizontal="left" vertical="center"/>
    </xf>
    <xf numFmtId="0" fontId="100" fillId="0" borderId="145" xfId="0" applyFont="1" applyBorder="1" applyAlignment="1">
      <alignment horizontal="left" vertical="center"/>
    </xf>
    <xf numFmtId="0" fontId="0" fillId="0" borderId="123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24" xfId="0" applyBorder="1" applyAlignment="1">
      <alignment horizontal="center"/>
    </xf>
    <xf numFmtId="0" fontId="96" fillId="0" borderId="86" xfId="0" applyFont="1" applyBorder="1" applyAlignment="1">
      <alignment horizontal="center" vertical="center" wrapText="1"/>
    </xf>
    <xf numFmtId="0" fontId="96" fillId="0" borderId="20" xfId="0" applyFont="1" applyBorder="1" applyAlignment="1">
      <alignment horizontal="center" vertical="center" wrapText="1"/>
    </xf>
    <xf numFmtId="0" fontId="96" fillId="0" borderId="17" xfId="0" applyFont="1" applyBorder="1" applyAlignment="1">
      <alignment horizontal="center" vertical="center" wrapText="1"/>
    </xf>
    <xf numFmtId="0" fontId="96" fillId="0" borderId="54" xfId="0" applyFont="1" applyBorder="1" applyAlignment="1">
      <alignment horizontal="center" vertical="center" wrapText="1"/>
    </xf>
    <xf numFmtId="0" fontId="96" fillId="0" borderId="49" xfId="0" applyFont="1" applyBorder="1" applyAlignment="1">
      <alignment horizontal="center" vertical="center" wrapText="1"/>
    </xf>
    <xf numFmtId="0" fontId="96" fillId="0" borderId="71" xfId="0" applyFont="1" applyBorder="1" applyAlignment="1">
      <alignment horizontal="center" vertical="center" wrapText="1"/>
    </xf>
    <xf numFmtId="0" fontId="48" fillId="0" borderId="69" xfId="0" applyFont="1" applyBorder="1" applyAlignment="1">
      <alignment horizontal="center" vertical="center"/>
    </xf>
    <xf numFmtId="0" fontId="48" fillId="0" borderId="266" xfId="0" applyFont="1" applyBorder="1" applyAlignment="1">
      <alignment horizontal="center" vertical="center"/>
    </xf>
    <xf numFmtId="0" fontId="48" fillId="0" borderId="25" xfId="0" applyFont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0" fontId="48" fillId="0" borderId="59" xfId="0" applyFont="1" applyBorder="1" applyAlignment="1">
      <alignment horizontal="left" vertical="center"/>
    </xf>
    <xf numFmtId="0" fontId="48" fillId="0" borderId="144" xfId="0" applyFont="1" applyBorder="1" applyAlignment="1">
      <alignment horizontal="left" vertical="center"/>
    </xf>
    <xf numFmtId="0" fontId="48" fillId="0" borderId="257" xfId="0" applyFont="1" applyBorder="1" applyAlignment="1">
      <alignment horizontal="left" vertical="center"/>
    </xf>
    <xf numFmtId="0" fontId="48" fillId="0" borderId="233" xfId="0" applyFont="1" applyBorder="1" applyAlignment="1">
      <alignment horizontal="left" vertical="center"/>
    </xf>
    <xf numFmtId="0" fontId="71" fillId="0" borderId="33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71" fillId="0" borderId="35" xfId="0" applyFont="1" applyBorder="1" applyAlignment="1">
      <alignment horizontal="center" vertical="center"/>
    </xf>
    <xf numFmtId="0" fontId="71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7" xfId="0" applyBorder="1" applyAlignment="1">
      <alignment horizontal="center"/>
    </xf>
    <xf numFmtId="0" fontId="92" fillId="13" borderId="19" xfId="0" applyFont="1" applyFill="1" applyBorder="1" applyAlignment="1">
      <alignment horizontal="center" vertical="center"/>
    </xf>
    <xf numFmtId="0" fontId="92" fillId="13" borderId="20" xfId="0" applyFont="1" applyFill="1" applyBorder="1" applyAlignment="1">
      <alignment horizontal="center" vertical="center"/>
    </xf>
    <xf numFmtId="0" fontId="92" fillId="13" borderId="24" xfId="0" applyFont="1" applyFill="1" applyBorder="1" applyAlignment="1">
      <alignment horizontal="center" vertical="center"/>
    </xf>
    <xf numFmtId="0" fontId="92" fillId="13" borderId="25" xfId="0" applyFont="1" applyFill="1" applyBorder="1" applyAlignment="1">
      <alignment horizontal="center" vertical="center"/>
    </xf>
    <xf numFmtId="0" fontId="92" fillId="13" borderId="17" xfId="0" applyFont="1" applyFill="1" applyBorder="1" applyAlignment="1">
      <alignment horizontal="center" vertical="center"/>
    </xf>
    <xf numFmtId="0" fontId="92" fillId="13" borderId="22" xfId="0" applyFont="1" applyFill="1" applyBorder="1" applyAlignment="1">
      <alignment horizontal="center" vertical="center"/>
    </xf>
    <xf numFmtId="0" fontId="92" fillId="13" borderId="23" xfId="0" applyFont="1" applyFill="1" applyBorder="1" applyAlignment="1">
      <alignment horizontal="center" vertical="center"/>
    </xf>
    <xf numFmtId="0" fontId="92" fillId="13" borderId="27" xfId="0" applyFont="1" applyFill="1" applyBorder="1" applyAlignment="1">
      <alignment horizontal="center" vertical="center" wrapText="1"/>
    </xf>
    <xf numFmtId="0" fontId="92" fillId="13" borderId="32" xfId="0" applyFont="1" applyFill="1" applyBorder="1" applyAlignment="1">
      <alignment horizontal="center" vertical="center" wrapText="1"/>
    </xf>
    <xf numFmtId="0" fontId="92" fillId="13" borderId="264" xfId="0" applyFont="1" applyFill="1" applyBorder="1" applyAlignment="1">
      <alignment horizontal="center" vertical="center" wrapText="1"/>
    </xf>
    <xf numFmtId="0" fontId="92" fillId="13" borderId="33" xfId="0" applyFont="1" applyFill="1" applyBorder="1" applyAlignment="1">
      <alignment horizontal="center" vertical="center" wrapText="1"/>
    </xf>
    <xf numFmtId="0" fontId="92" fillId="13" borderId="1" xfId="0" applyFont="1" applyFill="1" applyBorder="1" applyAlignment="1">
      <alignment horizontal="center" vertical="center" wrapText="1"/>
    </xf>
    <xf numFmtId="0" fontId="92" fillId="13" borderId="3" xfId="0" applyFont="1" applyFill="1" applyBorder="1" applyAlignment="1">
      <alignment horizontal="center" vertical="center" wrapText="1"/>
    </xf>
    <xf numFmtId="0" fontId="92" fillId="13" borderId="26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7" xfId="0" applyFont="1" applyFill="1" applyBorder="1" applyAlignment="1">
      <alignment horizontal="center" vertical="center" wrapText="1"/>
    </xf>
    <xf numFmtId="0" fontId="0" fillId="3" borderId="59" xfId="0" applyFill="1" applyBorder="1"/>
    <xf numFmtId="0" fontId="0" fillId="3" borderId="46" xfId="0" applyFill="1" applyBorder="1"/>
    <xf numFmtId="0" fontId="0" fillId="0" borderId="256" xfId="0" applyBorder="1"/>
    <xf numFmtId="0" fontId="0" fillId="0" borderId="334" xfId="0" applyBorder="1"/>
    <xf numFmtId="0" fontId="0" fillId="0" borderId="0" xfId="0" applyBorder="1"/>
    <xf numFmtId="0" fontId="103" fillId="13" borderId="63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45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0" xfId="0" applyFont="1" applyFill="1" applyAlignment="1">
      <alignment horizontal="center" vertical="center" wrapText="1"/>
    </xf>
    <xf numFmtId="0" fontId="103" fillId="13" borderId="265" xfId="0" applyFont="1" applyFill="1" applyBorder="1" applyAlignment="1">
      <alignment horizontal="center" vertical="center"/>
    </xf>
    <xf numFmtId="0" fontId="103" fillId="13" borderId="5" xfId="0" applyFont="1" applyFill="1" applyBorder="1" applyAlignment="1">
      <alignment horizontal="center" vertical="center"/>
    </xf>
    <xf numFmtId="0" fontId="103" fillId="13" borderId="5" xfId="0" applyFont="1" applyFill="1" applyBorder="1" applyAlignment="1">
      <alignment horizontal="center" vertical="center" wrapText="1"/>
    </xf>
    <xf numFmtId="0" fontId="103" fillId="13" borderId="172" xfId="0" applyFont="1" applyFill="1" applyBorder="1" applyAlignment="1">
      <alignment horizontal="center" vertical="center" wrapText="1"/>
    </xf>
    <xf numFmtId="0" fontId="11" fillId="3" borderId="46" xfId="0" applyFont="1" applyFill="1" applyBorder="1"/>
    <xf numFmtId="0" fontId="102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74" xfId="0" applyFill="1" applyBorder="1"/>
    <xf numFmtId="0" fontId="0" fillId="3" borderId="338" xfId="0" applyFill="1" applyBorder="1"/>
    <xf numFmtId="0" fontId="0" fillId="3" borderId="0" xfId="0" applyFill="1" applyBorder="1"/>
    <xf numFmtId="0" fontId="0" fillId="3" borderId="340" xfId="0" applyFill="1" applyBorder="1"/>
    <xf numFmtId="0" fontId="0" fillId="3" borderId="339" xfId="0" applyFill="1" applyBorder="1"/>
    <xf numFmtId="0" fontId="0" fillId="3" borderId="336" xfId="0" applyFill="1" applyBorder="1"/>
    <xf numFmtId="0" fontId="102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9" fillId="0" borderId="0" xfId="0" applyNumberFormat="1" applyFont="1" applyBorder="1" applyAlignment="1">
      <alignment horizontal="center" vertical="center"/>
    </xf>
    <xf numFmtId="1" fontId="101" fillId="18" borderId="48" xfId="0" applyNumberFormat="1" applyFont="1" applyFill="1" applyBorder="1" applyAlignment="1">
      <alignment horizontal="center" vertical="center"/>
    </xf>
    <xf numFmtId="1" fontId="19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8" fillId="0" borderId="0" xfId="0" applyFont="1" applyBorder="1" applyAlignment="1">
      <alignment horizontal="center" vertical="center"/>
    </xf>
    <xf numFmtId="0" fontId="48" fillId="0" borderId="0" xfId="0" applyFont="1" applyBorder="1" applyAlignment="1">
      <alignment horizontal="center"/>
    </xf>
    <xf numFmtId="0" fontId="48" fillId="0" borderId="133" xfId="0" applyFont="1" applyBorder="1" applyAlignment="1">
      <alignment horizontal="center" vertical="center"/>
    </xf>
    <xf numFmtId="0" fontId="0" fillId="0" borderId="344" xfId="0" applyBorder="1"/>
    <xf numFmtId="0" fontId="0" fillId="0" borderId="136" xfId="0" applyBorder="1"/>
    <xf numFmtId="0" fontId="48" fillId="0" borderId="133" xfId="0" applyFont="1" applyBorder="1" applyAlignment="1">
      <alignment horizontal="left" vertical="center"/>
    </xf>
    <xf numFmtId="0" fontId="48" fillId="0" borderId="77" xfId="0" applyFont="1" applyBorder="1" applyAlignment="1">
      <alignment horizontal="center" vertical="center"/>
    </xf>
    <xf numFmtId="0" fontId="11" fillId="3" borderId="342" xfId="0" applyFont="1" applyFill="1" applyBorder="1"/>
    <xf numFmtId="0" fontId="11" fillId="3" borderId="76" xfId="0" applyFont="1" applyFill="1" applyBorder="1"/>
    <xf numFmtId="0" fontId="104" fillId="0" borderId="345" xfId="0" applyNumberFormat="1" applyFont="1" applyBorder="1" applyAlignment="1">
      <alignment horizontal="left" vertical="center"/>
    </xf>
    <xf numFmtId="0" fontId="48" fillId="0" borderId="256" xfId="0" applyFont="1" applyBorder="1" applyAlignment="1">
      <alignment horizontal="center" vertical="center"/>
    </xf>
    <xf numFmtId="0" fontId="48" fillId="0" borderId="273" xfId="0" applyFont="1" applyBorder="1" applyAlignment="1">
      <alignment horizontal="center" vertical="center"/>
    </xf>
    <xf numFmtId="0" fontId="48" fillId="0" borderId="58" xfId="0" applyFont="1" applyBorder="1" applyAlignment="1">
      <alignment horizontal="center"/>
    </xf>
    <xf numFmtId="0" fontId="104" fillId="0" borderId="346" xfId="0" applyFont="1" applyBorder="1" applyAlignment="1">
      <alignment horizontal="right" vertical="center"/>
    </xf>
    <xf numFmtId="0" fontId="104" fillId="0" borderId="343" xfId="0" applyFont="1" applyBorder="1" applyAlignment="1">
      <alignment horizontal="right" vertical="center"/>
    </xf>
    <xf numFmtId="0" fontId="0" fillId="3" borderId="347" xfId="0" applyFill="1" applyBorder="1"/>
    <xf numFmtId="0" fontId="0" fillId="3" borderId="47" xfId="0" applyFill="1" applyBorder="1"/>
    <xf numFmtId="1" fontId="19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101" fillId="18" borderId="51" xfId="0" applyNumberFormat="1" applyFont="1" applyFill="1" applyBorder="1" applyAlignment="1">
      <alignment horizontal="center" vertical="center"/>
    </xf>
    <xf numFmtId="0" fontId="0" fillId="3" borderId="348" xfId="0" applyFill="1" applyBorder="1"/>
    <xf numFmtId="0" fontId="0" fillId="3" borderId="51" xfId="0" applyFill="1" applyBorder="1"/>
    <xf numFmtId="0" fontId="104" fillId="0" borderId="335" xfId="0" applyNumberFormat="1" applyFont="1" applyBorder="1" applyAlignment="1">
      <alignment vertical="center"/>
    </xf>
    <xf numFmtId="0" fontId="0" fillId="0" borderId="337" xfId="0" applyBorder="1"/>
    <xf numFmtId="0" fontId="0" fillId="3" borderId="341" xfId="0" applyFill="1" applyBorder="1"/>
    <xf numFmtId="0" fontId="0" fillId="0" borderId="349" xfId="0" applyBorder="1"/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52"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theme="3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data_panel!$C$13:$C$20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data_panel!$D$13:$D$20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data_panel!$E$13:$E$20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data_panel!$C$25:$C$40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data_panel!$D$25:$D$40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data_panel!$E$25:$E$40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data_panel!$C$8:$C$11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data_panel!$D$8:$D$11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data_panel!$E$8:$E$11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</c:multiLvlStrRef>
          </c:cat>
          <c:val>
            <c:numRef>
              <c:f>datos_graficos!$D$3:$D$14</c:f>
              <c:numCache>
                <c:formatCode>General</c:formatCode>
                <c:ptCount val="12"/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6245167666039477E-2"/>
                  <c:y val="4.4496481858428666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layout>
                <c:manualLayout>
                  <c:x val="-7.3452447068452151E-2"/>
                  <c:y val="-7.3811760822160025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8792641017219765E-2"/>
                  <c:y val="-9.4163851555766481E-3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4.5017561182955884E-2"/>
                  <c:y val="-4.1088154381095962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5.6278713465467263E-2"/>
                  <c:y val="-5.7540772319761152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3.195754200246443E-2"/>
                  <c:y val="-0.1016625525673310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673424156202E-2"/>
                  <c:y val="4.3202281860632075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3.9095773569145759E-2"/>
                  <c:y val="3.6279226149580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layout>
                <c:manualLayout>
                  <c:x val="-2.4817169437332896E-2"/>
                  <c:y val="-3.6382578313794177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</c:multiLvlStrRef>
          </c:cat>
          <c:val>
            <c:numRef>
              <c:f>datos_graficos!$C$3:$C$14</c:f>
              <c:numCache>
                <c:formatCode>General</c:formatCode>
                <c:ptCount val="12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image" Target="../media/image26.png"/><Relationship Id="rId7" Type="http://schemas.openxmlformats.org/officeDocument/2006/relationships/chart" Target="../charts/chart11.xml"/><Relationship Id="rId2" Type="http://schemas.openxmlformats.org/officeDocument/2006/relationships/image" Target="../media/image25.png"/><Relationship Id="rId1" Type="http://schemas.openxmlformats.org/officeDocument/2006/relationships/image" Target="../media/image24.png"/><Relationship Id="rId6" Type="http://schemas.openxmlformats.org/officeDocument/2006/relationships/chart" Target="../charts/chart10.xml"/><Relationship Id="rId5" Type="http://schemas.openxmlformats.org/officeDocument/2006/relationships/image" Target="../media/image28.png"/><Relationship Id="rId4" Type="http://schemas.openxmlformats.org/officeDocument/2006/relationships/image" Target="../media/image27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529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530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531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532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533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534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535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536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51" dataDxfId="49" totalsRowDxfId="47" headerRowBorderDxfId="50" tableBorderDxfId="48" totalsRowBorderDxfId="46">
  <tableColumns count="2">
    <tableColumn id="1" xr3:uid="{59BD1EC2-C3BB-43E8-A6F6-E914B455E7BB}" name="SUBSECRETARÍA/SERVICIO" dataDxfId="45" totalsRowDxfId="44"/>
    <tableColumn id="2" xr3:uid="{DF4BB275-2D51-45F7-8197-42C7331CDF0B}" name="NÚMERO DE PROGRAMAS 2024" dataDxfId="43" totalsRowDxfId="42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</row>
    <row r="2" spans="1:24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</row>
    <row r="3" spans="1:24">
      <c r="A3" s="90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</row>
    <row r="4" spans="1:24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</row>
    <row r="5" spans="1:24">
      <c r="A5" s="90"/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</row>
    <row r="6" spans="1:24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</row>
    <row r="7" spans="1:24">
      <c r="A7" s="90"/>
      <c r="B7" s="87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</row>
    <row r="8" spans="1:24">
      <c r="A8" s="90"/>
      <c r="B8" s="87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88"/>
      <c r="Q8" s="90"/>
      <c r="R8" s="90"/>
      <c r="S8" s="90"/>
      <c r="T8" s="90"/>
      <c r="U8" s="90"/>
      <c r="V8" s="90"/>
      <c r="W8" s="90"/>
      <c r="X8" s="90"/>
    </row>
    <row r="9" spans="1:24">
      <c r="A9" s="90"/>
      <c r="B9" s="87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88"/>
      <c r="Q9" s="90"/>
      <c r="R9" s="90"/>
      <c r="S9" s="90"/>
      <c r="T9" s="90"/>
      <c r="U9" s="90"/>
      <c r="V9" s="90"/>
      <c r="W9" s="90"/>
      <c r="X9" s="90"/>
    </row>
    <row r="10" spans="1:24">
      <c r="A10" s="90"/>
      <c r="B10" s="87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88"/>
      <c r="Q10" s="90"/>
      <c r="R10" s="90"/>
      <c r="S10" s="90"/>
      <c r="T10" s="90"/>
      <c r="U10" s="90"/>
      <c r="V10" s="90"/>
      <c r="W10" s="90"/>
      <c r="X10" s="90"/>
    </row>
    <row r="11" spans="1:24" ht="39.75" customHeight="1">
      <c r="A11" s="90"/>
      <c r="B11" s="87"/>
      <c r="C11" s="253"/>
      <c r="D11" s="253"/>
      <c r="E11" s="258"/>
      <c r="F11" s="259" t="s">
        <v>202</v>
      </c>
      <c r="G11" s="500">
        <v>2024</v>
      </c>
      <c r="H11" s="500"/>
      <c r="I11" s="90"/>
      <c r="J11" s="90"/>
      <c r="K11" s="90"/>
      <c r="L11" s="90"/>
      <c r="M11" s="90"/>
      <c r="N11" s="90"/>
      <c r="O11" s="90"/>
      <c r="P11" s="88"/>
      <c r="Q11" s="90"/>
      <c r="R11" s="90"/>
      <c r="S11" s="90"/>
      <c r="T11" s="90"/>
      <c r="U11" s="90"/>
      <c r="V11" s="90"/>
      <c r="W11" s="90"/>
      <c r="X11" s="90"/>
    </row>
    <row r="12" spans="1:24" ht="26.25" customHeight="1">
      <c r="A12" s="90"/>
      <c r="B12" s="87"/>
      <c r="C12" s="90"/>
      <c r="D12" s="90"/>
      <c r="E12" s="260"/>
      <c r="F12" s="501" t="s">
        <v>203</v>
      </c>
      <c r="G12" s="502"/>
      <c r="H12" s="90"/>
      <c r="I12" s="90"/>
      <c r="J12" s="90"/>
      <c r="K12" s="90"/>
      <c r="L12" s="90"/>
      <c r="M12" s="90"/>
      <c r="N12" s="90"/>
      <c r="O12" s="90"/>
      <c r="P12" s="88"/>
      <c r="Q12" s="90"/>
      <c r="R12" s="90"/>
      <c r="S12" s="90"/>
      <c r="T12" s="90"/>
      <c r="U12" s="90"/>
      <c r="V12" s="90"/>
      <c r="W12" s="90"/>
      <c r="X12" s="90"/>
    </row>
    <row r="13" spans="1:24" ht="53.25" customHeight="1">
      <c r="A13" s="90"/>
      <c r="B13" s="87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88"/>
      <c r="Q13" s="90"/>
      <c r="R13" s="90"/>
      <c r="S13" s="90"/>
      <c r="T13" s="90"/>
      <c r="U13" s="90"/>
      <c r="V13" s="90"/>
      <c r="W13" s="90"/>
      <c r="X13" s="90"/>
    </row>
    <row r="14" spans="1:24">
      <c r="A14" s="90"/>
      <c r="B14" s="87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88"/>
      <c r="Q14" s="90"/>
      <c r="R14" s="90"/>
      <c r="S14" s="90"/>
      <c r="T14" s="90"/>
      <c r="U14" s="90"/>
      <c r="V14" s="90"/>
      <c r="W14" s="90"/>
      <c r="X14" s="90"/>
    </row>
    <row r="15" spans="1:24" ht="18.75">
      <c r="A15" s="90"/>
      <c r="B15" s="87"/>
      <c r="C15" s="90"/>
      <c r="D15" s="90"/>
      <c r="E15" s="257"/>
      <c r="F15" s="498" t="s">
        <v>204</v>
      </c>
      <c r="G15" s="498"/>
      <c r="H15" s="90"/>
      <c r="I15" s="90"/>
      <c r="J15" s="90"/>
      <c r="K15" s="90"/>
      <c r="L15" s="90"/>
      <c r="M15" s="90"/>
      <c r="N15" s="90"/>
      <c r="O15" s="90"/>
      <c r="P15" s="88"/>
      <c r="Q15" s="90"/>
      <c r="R15" s="90"/>
      <c r="S15" s="90"/>
      <c r="T15" s="90"/>
      <c r="U15" s="90"/>
      <c r="V15" s="90"/>
      <c r="W15" s="90"/>
      <c r="X15" s="90"/>
    </row>
    <row r="16" spans="1:24" ht="18.75">
      <c r="A16" s="90"/>
      <c r="B16" s="87"/>
      <c r="C16" s="90"/>
      <c r="D16" s="90"/>
      <c r="E16" s="257"/>
      <c r="F16" s="498" t="s">
        <v>205</v>
      </c>
      <c r="G16" s="498"/>
      <c r="H16" s="90"/>
      <c r="I16" s="90"/>
      <c r="J16" s="90"/>
      <c r="K16" s="90"/>
      <c r="L16" s="90"/>
      <c r="M16" s="90"/>
      <c r="N16" s="90"/>
      <c r="O16" s="90"/>
      <c r="P16" s="88"/>
      <c r="Q16" s="90"/>
      <c r="R16" s="90"/>
      <c r="S16" s="90"/>
      <c r="T16" s="90"/>
      <c r="U16" s="90"/>
      <c r="V16" s="90"/>
      <c r="W16" s="90"/>
      <c r="X16" s="90"/>
    </row>
    <row r="17" spans="1:24" ht="21" customHeight="1">
      <c r="A17" s="90"/>
      <c r="B17" s="87"/>
      <c r="C17" s="90"/>
      <c r="D17" s="90"/>
      <c r="E17" s="254"/>
      <c r="F17" s="255"/>
      <c r="G17" s="255"/>
      <c r="H17" s="90"/>
      <c r="I17" s="90"/>
      <c r="J17" s="90"/>
      <c r="K17" s="90"/>
      <c r="L17" s="90"/>
      <c r="M17" s="90"/>
      <c r="N17" s="90"/>
      <c r="O17" s="90"/>
      <c r="P17" s="88"/>
      <c r="Q17" s="90"/>
      <c r="R17" s="90"/>
      <c r="S17" s="90"/>
      <c r="T17" s="90"/>
      <c r="U17" s="90"/>
      <c r="V17" s="90"/>
      <c r="W17" s="90"/>
      <c r="X17" s="90"/>
    </row>
    <row r="18" spans="1:24" ht="18.75">
      <c r="A18" s="90"/>
      <c r="B18" s="87"/>
      <c r="C18" s="90"/>
      <c r="D18" s="90"/>
      <c r="E18" s="256"/>
      <c r="F18" s="499" t="s">
        <v>206</v>
      </c>
      <c r="G18" s="499"/>
      <c r="H18" s="90"/>
      <c r="I18" s="90"/>
      <c r="J18" s="90"/>
      <c r="K18" s="90"/>
      <c r="L18" s="90"/>
      <c r="M18" s="90"/>
      <c r="N18" s="90"/>
      <c r="O18" s="90"/>
      <c r="P18" s="88"/>
      <c r="Q18" s="90"/>
      <c r="R18" s="90"/>
      <c r="S18" s="90"/>
      <c r="T18" s="90"/>
      <c r="U18" s="90"/>
      <c r="V18" s="90"/>
      <c r="W18" s="90"/>
      <c r="X18" s="90"/>
    </row>
    <row r="19" spans="1:24">
      <c r="A19" s="90"/>
      <c r="B19" s="87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88"/>
      <c r="Q19" s="90"/>
      <c r="R19" s="90"/>
      <c r="S19" s="90"/>
      <c r="T19" s="90"/>
      <c r="U19" s="90"/>
      <c r="V19" s="90"/>
      <c r="W19" s="90"/>
      <c r="X19" s="90"/>
    </row>
    <row r="20" spans="1:24">
      <c r="A20" s="90"/>
      <c r="B20" s="87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88"/>
      <c r="Q20" s="90"/>
      <c r="R20" s="90"/>
      <c r="S20" s="90"/>
      <c r="T20" s="90"/>
      <c r="U20" s="90"/>
      <c r="V20" s="90"/>
      <c r="W20" s="90"/>
      <c r="X20" s="90"/>
    </row>
    <row r="21" spans="1:24">
      <c r="A21" s="90"/>
      <c r="B21" s="87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88"/>
      <c r="Q21" s="90"/>
      <c r="R21" s="90"/>
      <c r="S21" s="90"/>
      <c r="T21" s="90"/>
      <c r="U21" s="90"/>
      <c r="V21" s="90"/>
      <c r="W21" s="90"/>
      <c r="X21" s="90"/>
    </row>
    <row r="22" spans="1:24">
      <c r="A22" s="90"/>
      <c r="B22" s="87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88"/>
      <c r="Q22" s="90"/>
      <c r="R22" s="90"/>
      <c r="S22" s="90"/>
      <c r="T22" s="90"/>
      <c r="U22" s="90"/>
      <c r="V22" s="90"/>
      <c r="W22" s="90"/>
      <c r="X22" s="90"/>
    </row>
    <row r="23" spans="1:24">
      <c r="A23" s="90"/>
      <c r="B23" s="87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88"/>
      <c r="Q23" s="90"/>
      <c r="R23" s="90"/>
      <c r="S23" s="90"/>
      <c r="T23" s="90"/>
      <c r="U23" s="90"/>
      <c r="V23" s="90"/>
      <c r="W23" s="90"/>
      <c r="X23" s="90"/>
    </row>
    <row r="24" spans="1:24">
      <c r="A24" s="90"/>
      <c r="B24" s="87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88"/>
      <c r="Q24" s="90"/>
      <c r="R24" s="90"/>
      <c r="S24" s="90"/>
      <c r="T24" s="90"/>
      <c r="U24" s="90"/>
      <c r="V24" s="90"/>
      <c r="W24" s="90"/>
      <c r="X24" s="90"/>
    </row>
    <row r="25" spans="1:24">
      <c r="A25" s="90"/>
      <c r="B25" s="87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88"/>
      <c r="Q25" s="90"/>
      <c r="R25" s="90"/>
      <c r="S25" s="90"/>
      <c r="T25" s="90"/>
      <c r="U25" s="90"/>
      <c r="V25" s="90"/>
      <c r="W25" s="90"/>
      <c r="X25" s="90"/>
    </row>
    <row r="26" spans="1:24">
      <c r="A26" s="90"/>
      <c r="B26" s="87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88"/>
      <c r="Q26" s="90"/>
      <c r="R26" s="90"/>
      <c r="S26" s="90"/>
      <c r="T26" s="90"/>
      <c r="U26" s="90"/>
      <c r="V26" s="90"/>
      <c r="W26" s="90"/>
      <c r="X26" s="90"/>
    </row>
    <row r="27" spans="1:24">
      <c r="A27" s="90"/>
      <c r="B27" s="87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88"/>
      <c r="Q27" s="90"/>
      <c r="R27" s="90"/>
      <c r="S27" s="90"/>
      <c r="T27" s="90"/>
      <c r="U27" s="90"/>
      <c r="V27" s="90"/>
      <c r="W27" s="90"/>
      <c r="X27" s="90"/>
    </row>
    <row r="28" spans="1:24">
      <c r="A28" s="90"/>
      <c r="B28" s="87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88"/>
      <c r="Q28" s="90"/>
      <c r="R28" s="90"/>
      <c r="S28" s="90"/>
      <c r="T28" s="90"/>
      <c r="U28" s="90"/>
      <c r="V28" s="90"/>
      <c r="W28" s="90"/>
      <c r="X28" s="90"/>
    </row>
    <row r="29" spans="1:24">
      <c r="A29" s="90"/>
      <c r="B29" s="87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88"/>
      <c r="Q29" s="90"/>
      <c r="R29" s="90"/>
      <c r="S29" s="90"/>
      <c r="T29" s="90"/>
      <c r="U29" s="90"/>
      <c r="V29" s="90"/>
      <c r="W29" s="90"/>
      <c r="X29" s="90"/>
    </row>
    <row r="30" spans="1:24">
      <c r="A30" s="90"/>
      <c r="B30" s="87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88"/>
      <c r="Q30" s="90"/>
      <c r="R30" s="90"/>
      <c r="S30" s="90"/>
      <c r="T30" s="90"/>
      <c r="U30" s="90"/>
      <c r="V30" s="90"/>
      <c r="W30" s="90"/>
      <c r="X30" s="90"/>
    </row>
    <row r="31" spans="1:24">
      <c r="A31" s="90"/>
      <c r="B31" s="87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88"/>
      <c r="Q31" s="90"/>
      <c r="R31" s="90"/>
      <c r="S31" s="90"/>
      <c r="T31" s="90"/>
      <c r="U31" s="90"/>
      <c r="V31" s="90"/>
      <c r="W31" s="90"/>
      <c r="X31" s="90"/>
    </row>
    <row r="32" spans="1:24">
      <c r="A32" s="90"/>
      <c r="B32" s="87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88"/>
      <c r="Q32" s="90"/>
      <c r="R32" s="90"/>
      <c r="S32" s="90"/>
      <c r="T32" s="90"/>
      <c r="U32" s="90"/>
      <c r="V32" s="90"/>
      <c r="W32" s="90"/>
      <c r="X32" s="90"/>
    </row>
    <row r="33" spans="1:24" ht="23.25" customHeight="1">
      <c r="A33" s="90"/>
      <c r="B33" s="87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88"/>
      <c r="Q33" s="90"/>
      <c r="R33" s="90"/>
      <c r="S33" s="90"/>
      <c r="T33" s="90"/>
      <c r="U33" s="90"/>
      <c r="V33" s="90"/>
      <c r="W33" s="90"/>
      <c r="X33" s="90"/>
    </row>
    <row r="34" spans="1:24">
      <c r="A34" s="90"/>
      <c r="B34" s="87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88"/>
      <c r="Q34" s="90"/>
      <c r="R34" s="90"/>
      <c r="S34" s="90"/>
      <c r="T34" s="90"/>
      <c r="U34" s="90"/>
      <c r="V34" s="90"/>
      <c r="W34" s="90"/>
      <c r="X34" s="90"/>
    </row>
    <row r="35" spans="1:24">
      <c r="A35" s="90"/>
      <c r="B35" s="87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88"/>
      <c r="Q35" s="90"/>
      <c r="R35" s="90"/>
      <c r="S35" s="90"/>
      <c r="T35" s="90"/>
      <c r="U35" s="90"/>
      <c r="V35" s="90"/>
      <c r="W35" s="90"/>
      <c r="X35" s="90"/>
    </row>
    <row r="36" spans="1:24">
      <c r="A36" s="90"/>
      <c r="B36" s="87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88"/>
      <c r="Q36" s="90"/>
      <c r="R36" s="90"/>
      <c r="S36" s="90"/>
      <c r="T36" s="90"/>
      <c r="U36" s="90"/>
      <c r="V36" s="90"/>
      <c r="W36" s="90"/>
      <c r="X36" s="90"/>
    </row>
    <row r="37" spans="1:24">
      <c r="A37" s="90"/>
      <c r="B37" s="87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88"/>
      <c r="Q37" s="90"/>
      <c r="R37" s="90"/>
      <c r="S37" s="90"/>
      <c r="T37" s="90"/>
      <c r="U37" s="90"/>
      <c r="V37" s="90"/>
      <c r="W37" s="90"/>
      <c r="X37" s="90"/>
    </row>
    <row r="38" spans="1:24">
      <c r="A38" s="90"/>
      <c r="B38" s="87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88"/>
      <c r="Q38" s="90"/>
      <c r="R38" s="90"/>
      <c r="S38" s="90"/>
      <c r="T38" s="90"/>
      <c r="U38" s="90"/>
      <c r="V38" s="90"/>
      <c r="W38" s="90"/>
      <c r="X38" s="90"/>
    </row>
    <row r="39" spans="1:24">
      <c r="A39" s="90"/>
      <c r="B39" s="87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88"/>
      <c r="Q39" s="90"/>
      <c r="R39" s="90"/>
      <c r="S39" s="90"/>
      <c r="T39" s="90"/>
      <c r="U39" s="90"/>
      <c r="V39" s="90"/>
      <c r="W39" s="90"/>
      <c r="X39" s="90"/>
    </row>
    <row r="40" spans="1:24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</row>
    <row r="41" spans="1:24">
      <c r="I41" s="115"/>
      <c r="J41" s="115"/>
      <c r="K41" s="115"/>
      <c r="L41" s="115"/>
      <c r="M41" s="115"/>
      <c r="N41" s="115"/>
      <c r="O41" s="90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11" zoomScale="40" zoomScaleNormal="70" zoomScaleSheetLayoutView="40" zoomScalePageLayoutView="25" workbookViewId="0">
      <selection activeCell="U16" sqref="U16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467"/>
      <c r="C2" s="467"/>
      <c r="D2" s="467"/>
      <c r="E2" s="467"/>
      <c r="F2" s="467"/>
      <c r="G2" s="467"/>
      <c r="H2" s="467"/>
      <c r="I2" s="467"/>
      <c r="J2" s="504" t="s">
        <v>216</v>
      </c>
      <c r="K2" s="504"/>
      <c r="L2" s="504"/>
      <c r="M2" s="504"/>
      <c r="N2" s="504"/>
      <c r="O2" s="504"/>
      <c r="P2" s="467"/>
      <c r="Q2" s="467"/>
      <c r="R2" s="467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468" t="s">
        <v>213</v>
      </c>
      <c r="C4" s="468"/>
      <c r="D4" s="468"/>
      <c r="E4" s="468"/>
      <c r="F4" s="468"/>
      <c r="G4" s="468"/>
      <c r="H4" s="468"/>
      <c r="I4" s="468" t="s">
        <v>214</v>
      </c>
      <c r="J4" s="503" t="s">
        <v>215</v>
      </c>
      <c r="K4" s="503"/>
      <c r="L4" s="503"/>
      <c r="M4" s="503"/>
      <c r="N4" s="503"/>
      <c r="O4" s="503"/>
      <c r="P4" s="469"/>
      <c r="Q4" s="469"/>
      <c r="R4" s="470"/>
      <c r="S4" s="28"/>
    </row>
    <row r="5" spans="1:19" ht="29.25" customHeight="1">
      <c r="A5" s="29"/>
      <c r="B5" s="471"/>
      <c r="C5" s="471"/>
      <c r="D5" s="471"/>
      <c r="E5" s="471"/>
      <c r="F5" s="471"/>
      <c r="G5" s="471"/>
      <c r="H5" s="471"/>
      <c r="I5" s="472"/>
      <c r="J5" s="514" t="s">
        <v>185</v>
      </c>
      <c r="K5" s="514"/>
      <c r="L5" s="514"/>
      <c r="M5" s="514"/>
      <c r="N5" s="511" t="s">
        <v>186</v>
      </c>
      <c r="O5" s="511"/>
      <c r="P5" s="511"/>
      <c r="Q5" s="473"/>
      <c r="R5" s="473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515" t="str">
        <f>_xlfn.CONCAT("PERIODO ", N5)</f>
        <v>PERIODO OCTUBRE - 2024</v>
      </c>
      <c r="D8" s="516"/>
      <c r="E8" s="517"/>
      <c r="G8" s="64" t="s">
        <v>1</v>
      </c>
      <c r="H8" s="48"/>
      <c r="I8" s="48"/>
      <c r="J8" s="48"/>
      <c r="K8" s="49" t="s">
        <v>2</v>
      </c>
      <c r="L8" s="48"/>
      <c r="M8" s="49" t="s">
        <v>3</v>
      </c>
      <c r="N8" s="48"/>
      <c r="O8" s="49" t="s">
        <v>4</v>
      </c>
      <c r="P8" s="48"/>
      <c r="Q8" s="48"/>
      <c r="R8" s="63" t="s">
        <v>5</v>
      </c>
      <c r="S8" s="28"/>
    </row>
    <row r="9" spans="1:19" ht="23.25" customHeight="1">
      <c r="A9" s="29"/>
      <c r="G9" s="50"/>
      <c r="H9" s="51"/>
      <c r="I9" s="51"/>
      <c r="J9" s="51"/>
      <c r="K9" s="326"/>
      <c r="L9" s="51"/>
      <c r="M9" s="51"/>
      <c r="N9" s="51"/>
      <c r="O9" s="51"/>
      <c r="P9" s="51"/>
      <c r="Q9" s="51"/>
      <c r="R9" s="52"/>
      <c r="S9" s="28"/>
    </row>
    <row r="10" spans="1:19" ht="42" customHeight="1">
      <c r="A10" s="29"/>
      <c r="C10" s="518" t="s">
        <v>5</v>
      </c>
      <c r="D10" s="518"/>
      <c r="E10" s="518"/>
      <c r="G10" s="84" t="s">
        <v>8</v>
      </c>
      <c r="H10" s="53"/>
      <c r="I10" s="53"/>
      <c r="J10" s="44"/>
      <c r="K10" s="54"/>
      <c r="L10" s="53"/>
      <c r="M10" s="44"/>
      <c r="N10" s="53"/>
      <c r="O10" s="44"/>
      <c r="P10" s="53"/>
      <c r="Q10" s="53"/>
      <c r="R10" s="55">
        <f>SUM($K10:$O10)</f>
        <v>0</v>
      </c>
      <c r="S10" s="28"/>
    </row>
    <row r="11" spans="1:19" ht="36" customHeight="1">
      <c r="A11" s="29"/>
      <c r="C11" s="77" t="s">
        <v>6</v>
      </c>
      <c r="D11" s="505">
        <f>R13</f>
        <v>0</v>
      </c>
      <c r="E11" s="505"/>
      <c r="G11" s="56" t="s">
        <v>9</v>
      </c>
      <c r="H11" s="53"/>
      <c r="I11" s="53"/>
      <c r="J11" s="44"/>
      <c r="K11" s="54"/>
      <c r="L11" s="53"/>
      <c r="M11" s="44"/>
      <c r="N11" s="53"/>
      <c r="O11" s="44"/>
      <c r="P11" s="53"/>
      <c r="Q11" s="53"/>
      <c r="R11" s="55">
        <f t="shared" ref="R11:R13" si="0">SUM($K11:$O11)</f>
        <v>0</v>
      </c>
      <c r="S11" s="28"/>
    </row>
    <row r="12" spans="1:19" ht="43.5" customHeight="1">
      <c r="A12" s="29"/>
      <c r="C12" s="69" t="s">
        <v>7</v>
      </c>
      <c r="D12" s="505">
        <f>R12</f>
        <v>0</v>
      </c>
      <c r="E12" s="505"/>
      <c r="G12" s="56" t="s">
        <v>7</v>
      </c>
      <c r="H12" s="53"/>
      <c r="I12" s="53"/>
      <c r="J12" s="44"/>
      <c r="K12" s="54"/>
      <c r="L12" s="53"/>
      <c r="M12" s="44"/>
      <c r="N12" s="53"/>
      <c r="O12" s="44"/>
      <c r="P12" s="53"/>
      <c r="Q12" s="53"/>
      <c r="R12" s="55">
        <f t="shared" si="0"/>
        <v>0</v>
      </c>
      <c r="S12" s="28"/>
    </row>
    <row r="13" spans="1:19" ht="36.75" customHeight="1">
      <c r="A13" s="29"/>
      <c r="C13" s="69" t="s">
        <v>8</v>
      </c>
      <c r="D13" s="505">
        <f>R10</f>
        <v>0</v>
      </c>
      <c r="E13" s="505"/>
      <c r="G13" s="85" t="s">
        <v>6</v>
      </c>
      <c r="H13" s="57"/>
      <c r="I13" s="53"/>
      <c r="J13" s="44"/>
      <c r="K13" s="54"/>
      <c r="L13" s="53"/>
      <c r="M13" s="44"/>
      <c r="N13" s="53"/>
      <c r="O13" s="44"/>
      <c r="P13" s="53"/>
      <c r="Q13" s="53"/>
      <c r="R13" s="55">
        <f t="shared" si="0"/>
        <v>0</v>
      </c>
      <c r="S13" s="28"/>
    </row>
    <row r="14" spans="1:19" ht="53.25" customHeight="1">
      <c r="A14" s="29"/>
      <c r="C14" s="69" t="s">
        <v>9</v>
      </c>
      <c r="D14" s="505">
        <f>R11</f>
        <v>0</v>
      </c>
      <c r="E14" s="505"/>
      <c r="G14" s="62" t="s">
        <v>10</v>
      </c>
      <c r="H14" s="58"/>
      <c r="I14" s="59"/>
      <c r="J14" s="60"/>
      <c r="K14" s="60">
        <f>SUM(K10:K13)</f>
        <v>0</v>
      </c>
      <c r="L14" s="59"/>
      <c r="M14" s="60">
        <f>SUM(M10:M13)</f>
        <v>0</v>
      </c>
      <c r="N14" s="59"/>
      <c r="O14" s="60">
        <f>SUM(O10:O13)</f>
        <v>0</v>
      </c>
      <c r="P14" s="59"/>
      <c r="Q14" s="59"/>
      <c r="R14" s="61">
        <f>SUM(R10:R13)</f>
        <v>0</v>
      </c>
      <c r="S14" s="28"/>
    </row>
    <row r="15" spans="1:19" ht="38.25" customHeight="1">
      <c r="A15" s="29"/>
      <c r="C15" s="45" t="s">
        <v>11</v>
      </c>
      <c r="D15" s="513">
        <f>R14</f>
        <v>0</v>
      </c>
      <c r="E15" s="513"/>
      <c r="H15" s="43"/>
      <c r="M15" s="43"/>
      <c r="N15" s="43"/>
      <c r="O15" s="43"/>
      <c r="S15" s="28"/>
    </row>
    <row r="16" spans="1:19" ht="27" customHeight="1">
      <c r="A16" s="29"/>
      <c r="H16" s="44"/>
      <c r="O16" s="44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506" t="s">
        <v>12</v>
      </c>
      <c r="D24" s="507"/>
      <c r="E24" s="508"/>
      <c r="S24" s="28"/>
    </row>
    <row r="25" spans="1:19" ht="32.25" customHeight="1">
      <c r="A25" s="29"/>
      <c r="C25" s="46" t="s">
        <v>6</v>
      </c>
      <c r="D25" s="509">
        <f>SUM(M13:O13)</f>
        <v>0</v>
      </c>
      <c r="E25" s="510"/>
      <c r="S25" s="28"/>
    </row>
    <row r="26" spans="1:19" ht="33.75" customHeight="1">
      <c r="A26" s="29"/>
      <c r="C26" s="47" t="s">
        <v>7</v>
      </c>
      <c r="D26" s="509">
        <f>SUM(M12:O12)</f>
        <v>0</v>
      </c>
      <c r="E26" s="510"/>
      <c r="S26" s="28"/>
    </row>
    <row r="27" spans="1:19" ht="38.25" customHeight="1">
      <c r="A27" s="29"/>
      <c r="C27" s="47" t="s">
        <v>8</v>
      </c>
      <c r="D27" s="505">
        <f>SUM(M10:O10)</f>
        <v>0</v>
      </c>
      <c r="E27" s="505"/>
      <c r="S27" s="28"/>
    </row>
    <row r="28" spans="1:19" ht="25.5" customHeight="1">
      <c r="A28" s="29"/>
      <c r="C28" s="47" t="s">
        <v>9</v>
      </c>
      <c r="D28" s="505">
        <f>SUM(M11:O11)</f>
        <v>0</v>
      </c>
      <c r="E28" s="505"/>
      <c r="S28" s="28"/>
    </row>
    <row r="29" spans="1:19" ht="33" customHeight="1">
      <c r="A29" s="29"/>
      <c r="C29" s="45" t="s">
        <v>11</v>
      </c>
      <c r="D29" s="512">
        <f>SUM(M14:O14)</f>
        <v>0</v>
      </c>
      <c r="E29" s="512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/>
      <c r="C4" s="12"/>
      <c r="D4" s="12"/>
      <c r="E4" s="12"/>
    </row>
    <row r="5" spans="2:5">
      <c r="B5" s="12"/>
      <c r="C5" s="12"/>
      <c r="D5" s="12"/>
      <c r="E5" s="12"/>
    </row>
    <row r="6" spans="2:5">
      <c r="B6" s="12"/>
      <c r="C6" s="12"/>
      <c r="D6" s="12"/>
      <c r="E6" s="12"/>
    </row>
    <row r="7" spans="2:5">
      <c r="B7" s="14"/>
      <c r="C7" s="14"/>
      <c r="D7" s="14"/>
      <c r="E7" s="14"/>
    </row>
    <row r="8" spans="2:5">
      <c r="B8" s="12"/>
      <c r="C8" s="12"/>
      <c r="D8" s="12"/>
      <c r="E8" s="12"/>
    </row>
    <row r="9" spans="2:5">
      <c r="B9" s="12"/>
      <c r="C9" s="2"/>
      <c r="D9" s="12"/>
      <c r="E9" s="12"/>
    </row>
    <row r="10" spans="2:5">
      <c r="B10" s="12"/>
      <c r="C10" s="12"/>
      <c r="D10" s="12"/>
      <c r="E10" s="12"/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/>
      <c r="C13" s="12"/>
      <c r="D13" s="12"/>
      <c r="E13" s="12"/>
    </row>
    <row r="14" spans="2:5">
      <c r="B14" s="12"/>
      <c r="C14" s="12"/>
      <c r="D14" s="12"/>
      <c r="E14" s="12"/>
    </row>
    <row r="15" spans="2:5">
      <c r="B15" s="12"/>
      <c r="C15" s="12"/>
      <c r="D15" s="12"/>
      <c r="E15" s="12"/>
    </row>
    <row r="16" spans="2:5">
      <c r="B16" s="12"/>
      <c r="C16" s="12"/>
      <c r="D16" s="12"/>
      <c r="E16" s="12"/>
    </row>
    <row r="17" spans="2:5">
      <c r="B17" s="12"/>
      <c r="C17" s="12"/>
      <c r="D17" s="12"/>
      <c r="E17" s="12"/>
    </row>
    <row r="18" spans="2:5">
      <c r="B18" s="12"/>
      <c r="C18" s="12"/>
      <c r="D18" s="12"/>
      <c r="E18" s="12"/>
    </row>
    <row r="19" spans="2:5">
      <c r="B19" s="12"/>
      <c r="C19" s="12"/>
      <c r="D19" s="12"/>
      <c r="E19" s="12"/>
    </row>
    <row r="20" spans="2:5">
      <c r="B20" s="12"/>
      <c r="C20" s="12"/>
      <c r="D20" s="12"/>
      <c r="E20" s="12"/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78"/>
      <c r="C25" s="12"/>
      <c r="D25" s="12"/>
      <c r="E25" s="12"/>
    </row>
    <row r="26" spans="2:5">
      <c r="B26" s="78"/>
      <c r="C26" s="12"/>
      <c r="D26" s="12"/>
      <c r="E26" s="12"/>
    </row>
    <row r="27" spans="2:5">
      <c r="B27" s="78"/>
      <c r="C27" s="12"/>
      <c r="D27" s="12"/>
      <c r="E27" s="12"/>
    </row>
    <row r="28" spans="2:5">
      <c r="B28" s="78"/>
      <c r="C28" s="12"/>
      <c r="D28" s="12"/>
      <c r="E28" s="12"/>
    </row>
    <row r="29" spans="2:5">
      <c r="B29" s="78"/>
      <c r="C29" s="12"/>
      <c r="D29" s="12"/>
      <c r="E29" s="12"/>
    </row>
    <row r="30" spans="2:5">
      <c r="B30" s="78"/>
      <c r="C30" s="12"/>
      <c r="D30" s="12"/>
      <c r="E30" s="12"/>
    </row>
    <row r="31" spans="2:5">
      <c r="B31" s="78"/>
      <c r="C31" s="12"/>
      <c r="D31" s="12"/>
      <c r="E31" s="12"/>
    </row>
    <row r="32" spans="2:5">
      <c r="B32" s="78"/>
      <c r="C32" s="12"/>
      <c r="D32" s="12"/>
      <c r="E32" s="12"/>
    </row>
    <row r="33" spans="2:5">
      <c r="B33" s="78"/>
      <c r="C33" s="12"/>
      <c r="D33" s="12"/>
      <c r="E33" s="12"/>
    </row>
    <row r="34" spans="2:5">
      <c r="B34" s="78"/>
      <c r="C34" s="12"/>
      <c r="D34" s="12"/>
      <c r="E34" s="12"/>
    </row>
    <row r="35" spans="2:5">
      <c r="B35" s="78"/>
      <c r="C35" s="12"/>
      <c r="D35" s="12"/>
      <c r="E35" s="12"/>
    </row>
    <row r="36" spans="2:5">
      <c r="B36" s="78"/>
      <c r="C36" s="12"/>
      <c r="D36" s="12"/>
      <c r="E36" s="12"/>
    </row>
    <row r="37" spans="2:5">
      <c r="B37" s="78"/>
      <c r="C37" s="12"/>
      <c r="D37" s="12"/>
      <c r="E37" s="12"/>
    </row>
    <row r="38" spans="2:5">
      <c r="B38" s="78"/>
      <c r="C38" s="12"/>
      <c r="D38" s="12"/>
      <c r="E38" s="12"/>
    </row>
    <row r="39" spans="2:5">
      <c r="B39" s="78"/>
      <c r="C39" s="12"/>
      <c r="D39" s="12"/>
      <c r="E39" s="12"/>
    </row>
    <row r="40" spans="2:5">
      <c r="B40" s="78"/>
      <c r="C40" s="12"/>
      <c r="D40" s="12"/>
      <c r="E40" s="12"/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8" zoomScale="70" zoomScaleNormal="40" zoomScaleSheetLayoutView="70" workbookViewId="0">
      <selection activeCell="K21" sqref="K21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519" t="s">
        <v>184</v>
      </c>
      <c r="B2" s="520"/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20"/>
      <c r="N2" s="520"/>
      <c r="O2" s="520"/>
      <c r="P2" s="520"/>
      <c r="Q2" s="520"/>
      <c r="R2" s="520"/>
      <c r="S2" s="520"/>
      <c r="T2" s="521" t="s">
        <v>89</v>
      </c>
      <c r="U2" s="521"/>
      <c r="V2" s="521"/>
      <c r="W2" s="521"/>
      <c r="X2" s="521"/>
      <c r="Y2" s="521"/>
      <c r="Z2" s="521"/>
      <c r="AA2" s="522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17" zoomScale="115" zoomScaleNormal="84" zoomScaleSheetLayoutView="115" workbookViewId="0">
      <selection activeCell="C29" sqref="C29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523" t="s">
        <v>88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  <c r="O1" s="524"/>
      <c r="P1" s="524"/>
      <c r="Q1" s="524"/>
      <c r="R1" s="524"/>
    </row>
    <row r="2" spans="1:21" ht="19.5" thickBot="1">
      <c r="A2" s="525" t="s">
        <v>89</v>
      </c>
      <c r="B2" s="526"/>
      <c r="C2" s="526"/>
      <c r="D2" s="526"/>
      <c r="E2" s="526"/>
      <c r="F2" s="526"/>
      <c r="G2" s="526"/>
      <c r="H2" s="526"/>
      <c r="I2" s="526"/>
      <c r="J2" s="526"/>
      <c r="K2" s="526"/>
      <c r="L2" s="526"/>
      <c r="M2" s="526"/>
      <c r="N2" s="526"/>
      <c r="O2" s="526"/>
      <c r="P2" s="526"/>
      <c r="Q2" s="526"/>
      <c r="R2" s="526"/>
    </row>
    <row r="3" spans="1:21">
      <c r="A3" s="39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91"/>
      <c r="B4" s="392"/>
      <c r="C4" s="39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91"/>
      <c r="B5" s="409" t="s">
        <v>90</v>
      </c>
      <c r="C5" s="527" t="s">
        <v>91</v>
      </c>
      <c r="D5" s="527"/>
      <c r="E5" s="527"/>
      <c r="F5" s="527" t="s">
        <v>92</v>
      </c>
      <c r="G5" s="527"/>
      <c r="H5" s="527"/>
      <c r="I5" s="527" t="s">
        <v>232</v>
      </c>
      <c r="J5" s="527"/>
      <c r="K5" s="527"/>
      <c r="L5" s="527" t="s">
        <v>93</v>
      </c>
      <c r="M5" s="527"/>
      <c r="N5" s="527"/>
      <c r="O5" s="527" t="s">
        <v>233</v>
      </c>
      <c r="P5" s="527"/>
      <c r="Q5" s="528"/>
      <c r="R5" s="389"/>
      <c r="S5" s="388"/>
      <c r="T5" s="3"/>
      <c r="U5" s="3"/>
    </row>
    <row r="6" spans="1:21" ht="21">
      <c r="A6" s="391"/>
      <c r="B6" s="410" t="s">
        <v>23</v>
      </c>
      <c r="C6" s="395"/>
      <c r="D6" s="396" t="str">
        <f>IF(data_status_reg!$E4="bajo",0,IF(data_status_reg!$E4="medio",0.5,IF(data_status_reg!$E4="alto",1,"falta riesgo")))</f>
        <v>falta riesgo</v>
      </c>
      <c r="E6" s="397"/>
      <c r="F6" s="397"/>
      <c r="G6" s="396" t="str">
        <f>IF(data_status_reg!$E20="bajo",0,IF(data_status_reg!$E20="medio",0.5,IF(data_status_reg!$E20="alto",1,"falta riesgo")))</f>
        <v>falta riesgo</v>
      </c>
      <c r="H6" s="397"/>
      <c r="I6" s="397"/>
      <c r="J6" s="396" t="str">
        <f>IF(data_status_reg!$E36="bajo",0,IF(data_status_reg!$E36="medio",0.5,IF(data_status_reg!$E36="alto",1,"falta riesgo")))</f>
        <v>falta riesgo</v>
      </c>
      <c r="K6" s="397"/>
      <c r="L6" s="397"/>
      <c r="M6" s="396" t="str">
        <f>IF(data_status_reg!$E52="bajo",0,IF(data_status_reg!$E52="medio",0.5,IF(data_status_reg!$E52="alto",1,"falta riesgo")))</f>
        <v>falta riesgo</v>
      </c>
      <c r="N6" s="398"/>
      <c r="O6" s="412"/>
      <c r="P6" s="396" t="str">
        <f>IF(data_status_reg!$E68="bajo",0,IF(data_status_reg!$E68="medio",0.5,IF(data_status_reg!$E68="alto",1,"falta riesgo")))</f>
        <v>falta riesgo</v>
      </c>
      <c r="Q6" s="399"/>
      <c r="R6" s="390"/>
    </row>
    <row r="7" spans="1:21" ht="21">
      <c r="A7" s="391"/>
      <c r="B7" s="410" t="s">
        <v>24</v>
      </c>
      <c r="C7" s="400"/>
      <c r="D7" s="385" t="str">
        <f>IF(data_status_reg!$E5="bajo",0,IF(data_status_reg!$E5="medio",0.5,IF(data_status_reg!$E5="alto",1,"falta riesgo")))</f>
        <v>falta riesgo</v>
      </c>
      <c r="E7" s="386"/>
      <c r="F7" s="386"/>
      <c r="G7" s="385" t="str">
        <f>IF(data_status_reg!$E21="bajo",0,IF(data_status_reg!$E21="medio",0.5,IF(data_status_reg!$E21="alto",1,"falta riesgo")))</f>
        <v>falta riesgo</v>
      </c>
      <c r="H7" s="386"/>
      <c r="I7" s="386"/>
      <c r="J7" s="385" t="str">
        <f>IF(data_status_reg!$E37="bajo",0,IF(data_status_reg!$E37="medio",0.5,IF(data_status_reg!$E37="alto",1,"falta riesgo")))</f>
        <v>falta riesgo</v>
      </c>
      <c r="K7" s="386"/>
      <c r="L7" s="386"/>
      <c r="M7" s="385" t="str">
        <f>IF(data_status_reg!$E53="bajo",0,IF(data_status_reg!$E53="medio",0.5,IF(data_status_reg!$E53="alto",1,"falta riesgo")))</f>
        <v>falta riesgo</v>
      </c>
      <c r="N7" s="383"/>
      <c r="O7" s="413"/>
      <c r="P7" s="385" t="str">
        <f>IF(data_status_reg!$E69="bajo",0,IF(data_status_reg!$E69="medio",0.5,IF(data_status_reg!$E69="alto",1,"falta riesgo")))</f>
        <v>falta riesgo</v>
      </c>
      <c r="Q7" s="401"/>
      <c r="R7" s="3"/>
    </row>
    <row r="8" spans="1:21" ht="21">
      <c r="A8" s="391"/>
      <c r="B8" s="410" t="s">
        <v>25</v>
      </c>
      <c r="C8" s="400"/>
      <c r="D8" s="385" t="str">
        <f>IF(data_status_reg!$E6="bajo",0,IF(data_status_reg!$E6="medio",0.5,IF(data_status_reg!$E6="alto",1,"falta riesgo")))</f>
        <v>falta riesgo</v>
      </c>
      <c r="E8" s="386"/>
      <c r="F8" s="386"/>
      <c r="G8" s="385" t="str">
        <f>IF(data_status_reg!$E22="bajo",0,IF(data_status_reg!$E22="medio",0.5,IF(data_status_reg!$E22="alto",1,"falta riesgo")))</f>
        <v>falta riesgo</v>
      </c>
      <c r="H8" s="386"/>
      <c r="I8" s="386"/>
      <c r="J8" s="385" t="str">
        <f>IF(data_status_reg!$E38="bajo",0,IF(data_status_reg!$E38="medio",0.5,IF(data_status_reg!$E38="alto",1,"falta riesgo")))</f>
        <v>falta riesgo</v>
      </c>
      <c r="K8" s="386"/>
      <c r="L8" s="386"/>
      <c r="M8" s="385" t="str">
        <f>IF(data_status_reg!$E54="bajo",0,IF(data_status_reg!$E54="medio",0.5,IF(data_status_reg!$E54="alto",1,"falta riesgo")))</f>
        <v>falta riesgo</v>
      </c>
      <c r="N8" s="383"/>
      <c r="O8" s="413"/>
      <c r="P8" s="385" t="str">
        <f>IF(data_status_reg!$E70="bajo",0,IF(data_status_reg!$E70="medio",0.5,IF(data_status_reg!$E70="alto",1,"falta riesgo")))</f>
        <v>falta riesgo</v>
      </c>
      <c r="Q8" s="401"/>
      <c r="R8" s="3"/>
    </row>
    <row r="9" spans="1:21" ht="21">
      <c r="A9" s="391"/>
      <c r="B9" s="410" t="s">
        <v>26</v>
      </c>
      <c r="C9" s="400"/>
      <c r="D9" s="385" t="str">
        <f>IF(data_status_reg!$E7="bajo",0,IF(data_status_reg!$E7="medio",0.5,IF(data_status_reg!$E7="alto",1,"falta riesgo")))</f>
        <v>falta riesgo</v>
      </c>
      <c r="E9" s="386"/>
      <c r="F9" s="386"/>
      <c r="G9" s="385" t="str">
        <f>IF(data_status_reg!$E23="bajo",0,IF(data_status_reg!$E23="medio",0.5,IF(data_status_reg!$E23="alto",1,"falta riesgo")))</f>
        <v>falta riesgo</v>
      </c>
      <c r="H9" s="386"/>
      <c r="I9" s="386"/>
      <c r="J9" s="385" t="str">
        <f>IF(data_status_reg!$E39="bajo",0,IF(data_status_reg!$E39="medio",0.5,IF(data_status_reg!$E39="alto",1,"falta riesgo")))</f>
        <v>falta riesgo</v>
      </c>
      <c r="K9" s="386"/>
      <c r="L9" s="386"/>
      <c r="M9" s="385" t="str">
        <f>IF(data_status_reg!$E55="bajo",0,IF(data_status_reg!$E55="medio",0.5,IF(data_status_reg!$E55="alto",1,"falta riesgo")))</f>
        <v>falta riesgo</v>
      </c>
      <c r="N9" s="383"/>
      <c r="O9" s="413"/>
      <c r="P9" s="385" t="str">
        <f>IF(data_status_reg!$E71="bajo",0,IF(data_status_reg!$E71="medio",0.5,IF(data_status_reg!$E71="alto",1,"falta riesgo")))</f>
        <v>falta riesgo</v>
      </c>
      <c r="Q9" s="401"/>
      <c r="R9" s="3"/>
    </row>
    <row r="10" spans="1:21" ht="21">
      <c r="A10" s="391"/>
      <c r="B10" s="410" t="s">
        <v>27</v>
      </c>
      <c r="C10" s="400"/>
      <c r="D10" s="385" t="str">
        <f>IF(data_status_reg!$E8="bajo",0,IF(data_status_reg!$E8="medio",0.5,IF(data_status_reg!$E8="alto",1,"falta riesgo")))</f>
        <v>falta riesgo</v>
      </c>
      <c r="E10" s="386"/>
      <c r="F10" s="386"/>
      <c r="G10" s="385" t="str">
        <f>IF(data_status_reg!$E24="bajo",0,IF(data_status_reg!$E24="medio",0.5,IF(data_status_reg!$E24="alto",1,"falta riesgo")))</f>
        <v>falta riesgo</v>
      </c>
      <c r="H10" s="386"/>
      <c r="I10" s="386"/>
      <c r="J10" s="385" t="str">
        <f>IF(data_status_reg!$E40="bajo",0,IF(data_status_reg!$E40="medio",0.5,IF(data_status_reg!$E40="alto",1,"falta riesgo")))</f>
        <v>falta riesgo</v>
      </c>
      <c r="K10" s="386"/>
      <c r="L10" s="386"/>
      <c r="M10" s="385" t="str">
        <f>IF(data_status_reg!$E56="bajo",0,IF(data_status_reg!$E56="medio",0.5,IF(data_status_reg!$E56="alto",1,"falta riesgo")))</f>
        <v>falta riesgo</v>
      </c>
      <c r="N10" s="383"/>
      <c r="O10" s="413"/>
      <c r="P10" s="385" t="str">
        <f>IF(data_status_reg!$E72="bajo",0,IF(data_status_reg!$E72="medio",0.5,IF(data_status_reg!$E72="alto",1,"falta riesgo")))</f>
        <v>falta riesgo</v>
      </c>
      <c r="Q10" s="401"/>
      <c r="R10" s="3"/>
    </row>
    <row r="11" spans="1:21" ht="21">
      <c r="A11" s="391"/>
      <c r="B11" s="410" t="s">
        <v>28</v>
      </c>
      <c r="C11" s="400"/>
      <c r="D11" s="385" t="str">
        <f>IF(data_status_reg!$E9="bajo",0,IF(data_status_reg!$E9="medio",0.5,IF(data_status_reg!$E9="alto",1,"falta riesgo")))</f>
        <v>falta riesgo</v>
      </c>
      <c r="E11" s="386"/>
      <c r="F11" s="386"/>
      <c r="G11" s="385" t="str">
        <f>IF(data_status_reg!$E25="bajo",0,IF(data_status_reg!$E25="medio",0.5,IF(data_status_reg!$E25="alto",1,"falta riesgo")))</f>
        <v>falta riesgo</v>
      </c>
      <c r="H11" s="386"/>
      <c r="I11" s="386"/>
      <c r="J11" s="385" t="str">
        <f>IF(data_status_reg!$E41="bajo",0,IF(data_status_reg!$E41="medio",0.5,IF(data_status_reg!$E41="alto",1,"falta riesgo")))</f>
        <v>falta riesgo</v>
      </c>
      <c r="K11" s="386"/>
      <c r="L11" s="386"/>
      <c r="M11" s="385" t="str">
        <f>IF(data_status_reg!$E57="bajo",0,IF(data_status_reg!$E57="medio",0.5,IF(data_status_reg!$E57="alto",1,"falta riesgo")))</f>
        <v>falta riesgo</v>
      </c>
      <c r="N11" s="383"/>
      <c r="O11" s="413"/>
      <c r="P11" s="385" t="str">
        <f>IF(data_status_reg!$E73="bajo",0,IF(data_status_reg!$E73="medio",0.5,IF(data_status_reg!$E73="alto",1,"falta riesgo")))</f>
        <v>falta riesgo</v>
      </c>
      <c r="Q11" s="401"/>
      <c r="R11" s="3"/>
    </row>
    <row r="12" spans="1:21" ht="21">
      <c r="A12" s="391"/>
      <c r="B12" s="410" t="s">
        <v>29</v>
      </c>
      <c r="C12" s="400"/>
      <c r="D12" s="385" t="str">
        <f>IF(data_status_reg!$E10="bajo",0,IF(data_status_reg!$E10="medio",0.5,IF(data_status_reg!$E10="alto",1,"falta riesgo")))</f>
        <v>falta riesgo</v>
      </c>
      <c r="E12" s="386"/>
      <c r="F12" s="386"/>
      <c r="G12" s="385" t="str">
        <f>IF(data_status_reg!$E26="bajo",0,IF(data_status_reg!$E26="medio",0.5,IF(data_status_reg!$E26="alto",1,"falta riesgo")))</f>
        <v>falta riesgo</v>
      </c>
      <c r="H12" s="386"/>
      <c r="I12" s="387"/>
      <c r="J12" s="385" t="str">
        <f>IF(data_status_reg!$E42="bajo",0,IF(data_status_reg!$E42="medio",0.5,IF(data_status_reg!$E42="alto",1,"falta riesgo")))</f>
        <v>falta riesgo</v>
      </c>
      <c r="K12" s="387"/>
      <c r="L12" s="387"/>
      <c r="M12" s="385" t="str">
        <f>IF(data_status_reg!$E58="bajo",0,IF(data_status_reg!$E58="medio",0.5,IF(data_status_reg!$E58="alto",1,"falta riesgo")))</f>
        <v>falta riesgo</v>
      </c>
      <c r="N12" s="384"/>
      <c r="O12" s="414"/>
      <c r="P12" s="385" t="str">
        <f>IF(data_status_reg!$E74="bajo",0,IF(data_status_reg!$E74="medio",0.5,IF(data_status_reg!$E74="alto",1,"falta riesgo")))</f>
        <v>falta riesgo</v>
      </c>
      <c r="Q12" s="401"/>
      <c r="R12" s="3"/>
    </row>
    <row r="13" spans="1:21" ht="21">
      <c r="A13" s="391"/>
      <c r="B13" s="410" t="s">
        <v>30</v>
      </c>
      <c r="C13" s="400"/>
      <c r="D13" s="385" t="str">
        <f>IF(data_status_reg!$E11="bajo",0,IF(data_status_reg!$E11="medio",0.5,IF(data_status_reg!$E11="alto",1,"falta riesgo")))</f>
        <v>falta riesgo</v>
      </c>
      <c r="E13" s="386"/>
      <c r="F13" s="386"/>
      <c r="G13" s="385" t="str">
        <f>IF(data_status_reg!$E27="bajo",0,IF(data_status_reg!$E27="medio",0.5,IF(data_status_reg!$E27="alto",1,"falta riesgo")))</f>
        <v>falta riesgo</v>
      </c>
      <c r="H13" s="386"/>
      <c r="I13" s="386"/>
      <c r="J13" s="385" t="str">
        <f>IF(data_status_reg!$E43="bajo",0,IF(data_status_reg!$E43="medio",0.5,IF(data_status_reg!$E43="alto",1,"falta riesgo")))</f>
        <v>falta riesgo</v>
      </c>
      <c r="K13" s="386"/>
      <c r="L13" s="386"/>
      <c r="M13" s="385" t="str">
        <f>IF(data_status_reg!$E59="bajo",0,IF(data_status_reg!$E59="medio",0.5,IF(data_status_reg!$E59="alto",1,"falta riesgo")))</f>
        <v>falta riesgo</v>
      </c>
      <c r="N13" s="383"/>
      <c r="O13" s="413"/>
      <c r="P13" s="385" t="str">
        <f>IF(data_status_reg!$E75="bajo",0,IF(data_status_reg!$E75="medio",0.5,IF(data_status_reg!$E75="alto",1,"falta riesgo")))</f>
        <v>falta riesgo</v>
      </c>
      <c r="Q13" s="401"/>
      <c r="R13" s="3"/>
      <c r="U13" s="16"/>
    </row>
    <row r="14" spans="1:21" ht="21">
      <c r="A14" s="391"/>
      <c r="B14" s="410" t="s">
        <v>31</v>
      </c>
      <c r="C14" s="400"/>
      <c r="D14" s="385" t="str">
        <f>IF(data_status_reg!$E12="bajo",0,IF(data_status_reg!$E12="medio",0.5,IF(data_status_reg!$E12="alto",1,"falta riesgo")))</f>
        <v>falta riesgo</v>
      </c>
      <c r="E14" s="386"/>
      <c r="F14" s="386"/>
      <c r="G14" s="385" t="str">
        <f>IF(data_status_reg!$E28="bajo",0,IF(data_status_reg!$E28="medio",0.5,IF(data_status_reg!$E28="alto",1,"falta riesgo")))</f>
        <v>falta riesgo</v>
      </c>
      <c r="H14" s="386"/>
      <c r="I14" s="386"/>
      <c r="J14" s="385" t="str">
        <f>IF(data_status_reg!$E44="bajo",0,IF(data_status_reg!$E44="medio",0.5,IF(data_status_reg!$E44="alto",1,"falta riesgo")))</f>
        <v>falta riesgo</v>
      </c>
      <c r="K14" s="386"/>
      <c r="L14" s="386"/>
      <c r="M14" s="385" t="str">
        <f>IF(data_status_reg!$E60="bajo",0,IF(data_status_reg!$E60="medio",0.5,IF(data_status_reg!$E60="alto",1,"falta riesgo")))</f>
        <v>falta riesgo</v>
      </c>
      <c r="N14" s="383"/>
      <c r="O14" s="413"/>
      <c r="P14" s="385" t="str">
        <f>IF(data_status_reg!$E76="bajo",0,IF(data_status_reg!$E76="medio",0.5,IF(data_status_reg!$E76="alto",1,"falta riesgo")))</f>
        <v>falta riesgo</v>
      </c>
      <c r="Q14" s="401"/>
      <c r="R14" s="3"/>
    </row>
    <row r="15" spans="1:21" ht="21">
      <c r="A15" s="391"/>
      <c r="B15" s="410" t="s">
        <v>32</v>
      </c>
      <c r="C15" s="400"/>
      <c r="D15" s="385" t="str">
        <f>IF(data_status_reg!$E13="bajo",0,IF(data_status_reg!$E13="medio",0.5,IF(data_status_reg!$E13="alto",1,"falta riesgo")))</f>
        <v>falta riesgo</v>
      </c>
      <c r="E15" s="386"/>
      <c r="F15" s="386"/>
      <c r="G15" s="385" t="str">
        <f>IF(data_status_reg!$E29="bajo",0,IF(data_status_reg!$E29="medio",0.5,IF(data_status_reg!$E29="alto",1,"falta riesgo")))</f>
        <v>falta riesgo</v>
      </c>
      <c r="H15" s="386"/>
      <c r="I15" s="387"/>
      <c r="J15" s="385" t="str">
        <f>IF(data_status_reg!$E45="bajo",0,IF(data_status_reg!$E45="medio",0.5,IF(data_status_reg!$E45="alto",1,"falta riesgo")))</f>
        <v>falta riesgo</v>
      </c>
      <c r="K15" s="387"/>
      <c r="L15" s="387"/>
      <c r="M15" s="385" t="str">
        <f>IF(data_status_reg!$E61="bajo",0,IF(data_status_reg!$E61="medio",0.5,IF(data_status_reg!$E61="alto",1,"falta riesgo")))</f>
        <v>falta riesgo</v>
      </c>
      <c r="N15" s="384"/>
      <c r="O15" s="414"/>
      <c r="P15" s="385" t="str">
        <f>IF(data_status_reg!$E77="bajo",0,IF(data_status_reg!$E77="medio",0.5,IF(data_status_reg!$E77="alto",1,"falta riesgo")))</f>
        <v>falta riesgo</v>
      </c>
      <c r="Q15" s="401"/>
      <c r="R15" s="3"/>
    </row>
    <row r="16" spans="1:21" ht="21">
      <c r="A16" s="391"/>
      <c r="B16" s="410" t="s">
        <v>33</v>
      </c>
      <c r="C16" s="400"/>
      <c r="D16" s="385" t="str">
        <f>IF(data_status_reg!$E14="bajo",0,IF(data_status_reg!$E14="medio",0.5,IF(data_status_reg!$E14="alto",1,"falta riesgo")))</f>
        <v>falta riesgo</v>
      </c>
      <c r="E16" s="386"/>
      <c r="F16" s="386"/>
      <c r="G16" s="385" t="str">
        <f>IF(data_status_reg!$E30="bajo",0,IF(data_status_reg!$E30="medio",0.5,IF(data_status_reg!$E30="alto",1,"falta riesgo")))</f>
        <v>falta riesgo</v>
      </c>
      <c r="H16" s="386"/>
      <c r="I16" s="386"/>
      <c r="J16" s="385" t="str">
        <f>IF(data_status_reg!$E46="bajo",0,IF(data_status_reg!$E46="medio",0.5,IF(data_status_reg!$E46="alto",1,"falta riesgo")))</f>
        <v>falta riesgo</v>
      </c>
      <c r="K16" s="386"/>
      <c r="L16" s="386"/>
      <c r="M16" s="385" t="str">
        <f>IF(data_status_reg!$E62="bajo",0,IF(data_status_reg!$E62="medio",0.5,IF(data_status_reg!$E62="alto",1,"falta riesgo")))</f>
        <v>falta riesgo</v>
      </c>
      <c r="N16" s="383"/>
      <c r="O16" s="413"/>
      <c r="P16" s="385" t="str">
        <f>IF(data_status_reg!$E78="bajo",0,IF(data_status_reg!$E78="medio",0.5,IF(data_status_reg!$E78="alto",1,"falta riesgo")))</f>
        <v>falta riesgo</v>
      </c>
      <c r="Q16" s="401"/>
      <c r="R16" s="3"/>
    </row>
    <row r="17" spans="1:18" ht="21">
      <c r="A17" s="391"/>
      <c r="B17" s="410" t="s">
        <v>34</v>
      </c>
      <c r="C17" s="400"/>
      <c r="D17" s="385" t="str">
        <f>IF(data_status_reg!$E15="bajo",0,IF(data_status_reg!$E15="medio",0.5,IF(data_status_reg!$E15="alto",1,"falta riesgo")))</f>
        <v>falta riesgo</v>
      </c>
      <c r="E17" s="386"/>
      <c r="F17" s="386"/>
      <c r="G17" s="385" t="str">
        <f>IF(data_status_reg!$E31="bajo",0,IF(data_status_reg!$E31="medio",0.5,IF(data_status_reg!$E31="alto",1,"falta riesgo")))</f>
        <v>falta riesgo</v>
      </c>
      <c r="H17" s="386"/>
      <c r="I17" s="386"/>
      <c r="J17" s="385" t="str">
        <f>IF(data_status_reg!$E47="bajo",0,IF(data_status_reg!$E47="medio",0.5,IF(data_status_reg!$E47="alto",1,"falta riesgo")))</f>
        <v>falta riesgo</v>
      </c>
      <c r="K17" s="386"/>
      <c r="L17" s="386"/>
      <c r="M17" s="385" t="str">
        <f>IF(data_status_reg!$E63="bajo",0,IF(data_status_reg!$E63="medio",0.5,IF(data_status_reg!$E63="alto",1,"falta riesgo")))</f>
        <v>falta riesgo</v>
      </c>
      <c r="N17" s="383"/>
      <c r="O17" s="413"/>
      <c r="P17" s="385" t="str">
        <f>IF(data_status_reg!$E79="bajo",0,IF(data_status_reg!$E79="medio",0.5,IF(data_status_reg!$E79="alto",1,"falta riesgo")))</f>
        <v>falta riesgo</v>
      </c>
      <c r="Q17" s="401"/>
      <c r="R17" s="3"/>
    </row>
    <row r="18" spans="1:18" ht="21">
      <c r="A18" s="391"/>
      <c r="B18" s="410" t="s">
        <v>35</v>
      </c>
      <c r="C18" s="400"/>
      <c r="D18" s="385" t="str">
        <f>IF(data_status_reg!$E16="bajo",0,IF(data_status_reg!$E16="medio",0.5,IF(data_status_reg!$E16="alto",1,"falta riesgo")))</f>
        <v>falta riesgo</v>
      </c>
      <c r="E18" s="386"/>
      <c r="F18" s="386"/>
      <c r="G18" s="416" t="s">
        <v>94</v>
      </c>
      <c r="H18" s="386"/>
      <c r="I18" s="386"/>
      <c r="J18" s="385" t="str">
        <f>IF(data_status_reg!$E48="bajo",0,IF(data_status_reg!$E48="medio",0.5,IF(data_status_reg!$E48="alto",1,"falta riesgo")))</f>
        <v>falta riesgo</v>
      </c>
      <c r="K18" s="386"/>
      <c r="M18" s="385" t="str">
        <f>IF(data_status_reg!$E64="bajo",0,IF(data_status_reg!$E64="medio",0.5,IF(data_status_reg!$E64="alto",1,"falta riesgo")))</f>
        <v>falta riesgo</v>
      </c>
      <c r="N18" s="384"/>
      <c r="O18" s="414"/>
      <c r="P18" s="385" t="str">
        <f>IF(data_status_reg!$E80="bajo",0,IF(data_status_reg!$E80="medio",0.5,IF(data_status_reg!$E80="alto",1,"falta riesgo")))</f>
        <v>falta riesgo</v>
      </c>
      <c r="Q18" s="401"/>
      <c r="R18" s="3"/>
    </row>
    <row r="19" spans="1:18" ht="21">
      <c r="A19" s="391"/>
      <c r="B19" s="410" t="s">
        <v>36</v>
      </c>
      <c r="C19" s="400"/>
      <c r="D19" s="385" t="str">
        <f>IF(data_status_reg!$E17="bajo",0,IF(data_status_reg!$E17="medio",0.5,IF(data_status_reg!$E17="alto",1,"falta riesgo")))</f>
        <v>falta riesgo</v>
      </c>
      <c r="E19" s="386"/>
      <c r="F19" s="386"/>
      <c r="G19" s="385" t="str">
        <f>IF(data_status_reg!$E33="bajo",0,IF(data_status_reg!$E33="medio",0.5,IF(data_status_reg!$E33="alto",1,"falta riesgo")))</f>
        <v>falta riesgo</v>
      </c>
      <c r="H19" s="386"/>
      <c r="I19" s="386"/>
      <c r="J19" s="385" t="str">
        <f>IF(data_status_reg!$E49="bajo",0,IF(data_status_reg!$E49="medio",0.5,IF(data_status_reg!$E49="alto",1,"falta riesgo")))</f>
        <v>falta riesgo</v>
      </c>
      <c r="K19" s="386"/>
      <c r="L19" s="386"/>
      <c r="M19" s="385" t="str">
        <f>IF(data_status_reg!$E65="bajo",0,IF(data_status_reg!$E65="medio",0.5,IF(data_status_reg!$E65="alto",1,"falta riesgo")))</f>
        <v>falta riesgo</v>
      </c>
      <c r="N19" s="383"/>
      <c r="O19" s="413"/>
      <c r="P19" s="385" t="str">
        <f>IF(data_status_reg!$E81="bajo",0,IF(data_status_reg!$E81="medio",0.5,IF(data_status_reg!$E81="alto",1,"falta riesgo")))</f>
        <v>falta riesgo</v>
      </c>
      <c r="Q19" s="401"/>
      <c r="R19" s="3"/>
    </row>
    <row r="20" spans="1:18" ht="21">
      <c r="A20" s="391"/>
      <c r="B20" s="410" t="s">
        <v>37</v>
      </c>
      <c r="C20" s="400"/>
      <c r="D20" s="385" t="str">
        <f>IF(data_status_reg!$E18="bajo",0,IF(data_status_reg!$E18="medio",0.5,IF(data_status_reg!$E18="alto",1,"falta riesgo")))</f>
        <v>falta riesgo</v>
      </c>
      <c r="E20" s="386"/>
      <c r="F20" s="386"/>
      <c r="G20" s="385" t="str">
        <f>IF(data_status_reg!$E34="bajo",0,IF(data_status_reg!$E34="medio",0.5,IF(data_status_reg!$E34="alto",1,"falta riesgo")))</f>
        <v>falta riesgo</v>
      </c>
      <c r="H20" s="386"/>
      <c r="I20" s="386"/>
      <c r="J20" s="385" t="str">
        <f>IF(data_status_reg!$E50="bajo",0,IF(data_status_reg!$E50="medio",0.5,IF(data_status_reg!$E50="alto",1,"falta riesgo")))</f>
        <v>falta riesgo</v>
      </c>
      <c r="K20" s="386"/>
      <c r="L20" s="386"/>
      <c r="M20" s="385" t="str">
        <f>IF(data_status_reg!$E66="bajo",0,IF(data_status_reg!$E66="medio",0.5,IF(data_status_reg!$E66="alto",1,"falta riesgo")))</f>
        <v>falta riesgo</v>
      </c>
      <c r="N20" s="383"/>
      <c r="O20" s="413"/>
      <c r="P20" s="385" t="str">
        <f>IF(data_status_reg!$E82="bajo",0,IF(data_status_reg!$E82="medio",0.5,IF(data_status_reg!$E82="alto",1,"falta riesgo")))</f>
        <v>falta riesgo</v>
      </c>
      <c r="Q20" s="401"/>
      <c r="R20" s="3"/>
    </row>
    <row r="21" spans="1:18" ht="21.75" thickBot="1">
      <c r="A21" s="391"/>
      <c r="B21" s="411" t="s">
        <v>38</v>
      </c>
      <c r="C21" s="402"/>
      <c r="D21" s="403" t="str">
        <f>IF(data_status_reg!$E19="bajo",0,IF(data_status_reg!$E19="medio",0.5,IF(data_status_reg!$E19="alto",1,"falta riesgo")))</f>
        <v>falta riesgo</v>
      </c>
      <c r="E21" s="404"/>
      <c r="F21" s="404"/>
      <c r="G21" s="417" t="s">
        <v>94</v>
      </c>
      <c r="H21" s="404"/>
      <c r="I21" s="404"/>
      <c r="J21" s="403" t="str">
        <f>IF(data_status_reg!$E51="bajo",0,IF(data_status_reg!$E51="medio",0.5,IF(data_status_reg!$E51="alto",1,"falta riesgo")))</f>
        <v>falta riesgo</v>
      </c>
      <c r="K21" s="404"/>
      <c r="L21" s="405"/>
      <c r="M21" s="406" t="str">
        <f>IF(data_status_reg!$E67="bajo",0,IF(data_status_reg!$E67="medio",0.5,IF(data_status_reg!$E67="alto",1,"falta riesgo")))</f>
        <v>falta riesgo</v>
      </c>
      <c r="N21" s="407"/>
      <c r="O21" s="415"/>
      <c r="P21" s="403" t="str">
        <f>IF(data_status_reg!$E83="bajo",0,IF(data_status_reg!$E83="medio",0.5,IF(data_status_reg!$E83="alto",1,"falta riesgo")))</f>
        <v>falta riesgo</v>
      </c>
      <c r="Q21" s="408"/>
      <c r="R21" s="3"/>
    </row>
    <row r="22" spans="1:18">
      <c r="A22" s="391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93"/>
      <c r="B23" s="394"/>
      <c r="C23" s="394"/>
      <c r="D23" s="394"/>
      <c r="E23" s="394"/>
      <c r="F23" s="394"/>
      <c r="G23" s="394"/>
      <c r="H23" s="394"/>
      <c r="I23" s="394"/>
      <c r="J23" s="394"/>
      <c r="K23" s="394"/>
      <c r="L23" s="394"/>
      <c r="M23" s="394"/>
      <c r="N23" s="394"/>
      <c r="O23" s="394"/>
      <c r="P23" s="394"/>
      <c r="Q23" s="394"/>
      <c r="R23" s="394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1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2" t="s">
        <v>43</v>
      </c>
      <c r="D3" s="5" t="str">
        <f>IF(J5="bajo",0,IF(J5="medio",0.5,IF(J5="alto",1,"falta riesgo")))</f>
        <v>falta riesgo</v>
      </c>
      <c r="E3" s="4"/>
    </row>
    <row r="4" spans="1:10" ht="18" customHeight="1">
      <c r="A4" s="15"/>
      <c r="B4" s="15"/>
      <c r="C4" s="42" t="s">
        <v>44</v>
      </c>
      <c r="D4" s="5" t="str">
        <f t="shared" ref="D4" si="0">IF(J4="bajo",0,IF(J4="medio",0.5,IF(J4="alto",1,"falta riesgo")))</f>
        <v>falta riesgo</v>
      </c>
      <c r="E4" s="4"/>
    </row>
    <row r="5" spans="1:10" ht="18" customHeight="1">
      <c r="A5" s="15"/>
      <c r="B5" s="15"/>
      <c r="C5" s="42" t="s">
        <v>42</v>
      </c>
      <c r="D5" s="5" t="str">
        <f>IF(J3="bajo",0,IF(J3="medio",0.5,IF(J3="alto",1,"falta riesgo")))</f>
        <v>falta riesgo</v>
      </c>
      <c r="E5" s="4"/>
    </row>
    <row r="6" spans="1:10" ht="18" customHeight="1">
      <c r="A6" s="15"/>
      <c r="B6" s="15"/>
      <c r="C6" s="42"/>
      <c r="D6" s="5"/>
      <c r="E6" s="4"/>
    </row>
    <row r="7" spans="1:10" ht="18" customHeight="1">
      <c r="A7" s="15" t="s">
        <v>46</v>
      </c>
      <c r="B7" s="15"/>
      <c r="C7" s="42" t="s">
        <v>47</v>
      </c>
      <c r="D7" s="5" t="str">
        <f>IF(J9="bajo",0,IF(J9="medio",0.5,IF(J9="alto",1,"falta riesgo")))</f>
        <v>falta riesgo</v>
      </c>
      <c r="E7" s="4"/>
    </row>
    <row r="8" spans="1:10" ht="18" customHeight="1">
      <c r="A8" s="15"/>
      <c r="B8" s="15"/>
      <c r="C8" s="42" t="s">
        <v>48</v>
      </c>
      <c r="D8" s="5" t="str">
        <f>IF(J14="bajo",0,IF(J14="medio",0.5,IF(J14="alto",1,"falta riesgo")))</f>
        <v>falta riesgo</v>
      </c>
      <c r="E8" s="4"/>
    </row>
    <row r="9" spans="1:10" ht="18" customHeight="1">
      <c r="A9" s="15"/>
      <c r="B9" s="15"/>
      <c r="C9" s="42" t="s">
        <v>49</v>
      </c>
      <c r="D9" s="5" t="str">
        <f>IF(J15="bajo",0,IF(J15="medio",0.5,IF(J15="alto",1,"falta riesgo")))</f>
        <v>falta riesgo</v>
      </c>
      <c r="E9" s="4"/>
    </row>
    <row r="10" spans="1:10" ht="18" customHeight="1">
      <c r="A10" s="15"/>
      <c r="B10" s="15"/>
      <c r="C10" s="42" t="s">
        <v>50</v>
      </c>
      <c r="D10" s="5" t="str">
        <f>IF(J10="bajo",0,IF(J10="medio",0.5,IF(J10="alto",1,"falta riesgo")))</f>
        <v>falta riesgo</v>
      </c>
      <c r="E10" s="4"/>
    </row>
    <row r="11" spans="1:10" ht="18" customHeight="1">
      <c r="A11" s="15"/>
      <c r="B11" s="15"/>
      <c r="C11" s="42" t="s">
        <v>51</v>
      </c>
      <c r="D11" s="5" t="str">
        <f>IF(J12="bajo",0,IF(J12="medio",0.5,IF(J12="alto",1,"falta riesgo")))</f>
        <v>falta riesgo</v>
      </c>
      <c r="E11" s="4"/>
    </row>
    <row r="12" spans="1:10" ht="18" customHeight="1">
      <c r="A12" s="15"/>
      <c r="B12" s="15"/>
      <c r="C12" s="42" t="s">
        <v>52</v>
      </c>
      <c r="D12" s="5" t="str">
        <f>IF(J13="bajo",0,IF(J13="medio",0.5,IF(J13="alto",1,"falta riesgo")))</f>
        <v>falta riesgo</v>
      </c>
      <c r="E12" s="4"/>
    </row>
    <row r="13" spans="1:10" ht="18" customHeight="1">
      <c r="A13" s="15"/>
      <c r="B13" s="15"/>
      <c r="C13" s="42" t="s">
        <v>45</v>
      </c>
      <c r="D13" s="5" t="str">
        <f>IF(J11="bajo",0,IF(J11="medio",0.5,IF(J11="alto",1,"falta riesgo")))</f>
        <v>falta riesgo</v>
      </c>
      <c r="E13" s="4"/>
    </row>
    <row r="14" spans="1:10" ht="18" customHeight="1">
      <c r="A14" s="15"/>
      <c r="B14" s="15"/>
      <c r="C14" s="42"/>
      <c r="D14" s="5"/>
      <c r="E14" s="4"/>
    </row>
    <row r="15" spans="1:10" ht="18" customHeight="1">
      <c r="A15" s="15" t="s">
        <v>18</v>
      </c>
      <c r="B15" s="15"/>
      <c r="C15" s="42" t="s">
        <v>54</v>
      </c>
      <c r="D15" s="5" t="str">
        <f>IF(J18="bajo",0,IF(J18="medio",0.5,IF(J18="alto",1,"falta riesgo")))</f>
        <v>falta riesgo</v>
      </c>
      <c r="E15" s="4"/>
    </row>
    <row r="16" spans="1:10" ht="18" customHeight="1">
      <c r="A16" s="15"/>
      <c r="B16" s="15"/>
      <c r="C16" s="42" t="s">
        <v>55</v>
      </c>
      <c r="D16" s="5" t="str">
        <f>IF(J17="bajo",0,IF(J17="medio",0.5,IF(J17="alto",1,"falta riesgo")))</f>
        <v>falta riesgo</v>
      </c>
      <c r="E16" s="4"/>
    </row>
    <row r="17" spans="1:5" ht="18" customHeight="1">
      <c r="A17" s="15"/>
      <c r="B17" s="15"/>
      <c r="C17" s="42" t="s">
        <v>56</v>
      </c>
      <c r="D17" s="5" t="str">
        <f>IF(J19="bajo",0,IF(J19="medio",0.5,IF(J19="alto",1,"falta riesgo")))</f>
        <v>falta riesgo</v>
      </c>
      <c r="E17" s="4"/>
    </row>
    <row r="18" spans="1:5" ht="21">
      <c r="A18" s="15"/>
      <c r="B18" s="15"/>
      <c r="C18" s="42" t="s">
        <v>57</v>
      </c>
      <c r="D18" s="5" t="str">
        <f>IF(J16="bajo",0,IF(J16="medio",0.5,IF(J16="alto",1,"falta riesgo")))</f>
        <v>falta riesgo</v>
      </c>
      <c r="E18" s="4"/>
    </row>
    <row r="19" spans="1:5" ht="18" customHeight="1">
      <c r="A19" s="15"/>
      <c r="B19" s="15"/>
      <c r="C19" s="42"/>
      <c r="D19" s="5"/>
      <c r="E19" s="4"/>
    </row>
    <row r="20" spans="1:5" ht="18" customHeight="1">
      <c r="A20" s="15" t="s">
        <v>19</v>
      </c>
      <c r="B20" s="15"/>
      <c r="C20" s="42" t="s">
        <v>58</v>
      </c>
      <c r="D20" s="5" t="str">
        <f>IF(J22="bajo",0,IF(J22="medio",0.5,IF(J22="alto",1,"falta riesgo")))</f>
        <v>falta riesgo</v>
      </c>
      <c r="E20" s="4"/>
    </row>
    <row r="21" spans="1:5" ht="18" customHeight="1">
      <c r="A21" s="15"/>
      <c r="B21" s="15"/>
      <c r="C21" s="42" t="s">
        <v>59</v>
      </c>
      <c r="D21" s="5" t="str">
        <f>IF(J24="bajo",0,IF(J24="medio",0.5,IF(J24="alto",1,"falta riesgo")))</f>
        <v>falta riesgo</v>
      </c>
      <c r="E21" s="4"/>
    </row>
    <row r="22" spans="1:5" ht="18" customHeight="1">
      <c r="A22" s="15"/>
      <c r="B22" s="15"/>
      <c r="C22" s="42" t="s">
        <v>60</v>
      </c>
      <c r="D22" s="5" t="str">
        <f>IF(J23="bajo",0,IF(J23="medio",0.5,IF(J23="alto",1,"falta riesgo")))</f>
        <v>falta riesgo</v>
      </c>
      <c r="E22" s="4"/>
    </row>
    <row r="23" spans="1:5" ht="18" customHeight="1">
      <c r="A23" s="15"/>
      <c r="B23" s="15"/>
      <c r="C23" s="42" t="s">
        <v>61</v>
      </c>
      <c r="D23" s="5" t="str">
        <f>IF(J21="bajo",0,IF(J21="medio",0.5,IF(J21="alto",1,"falta riesgo")))</f>
        <v>falta riesgo</v>
      </c>
      <c r="E23" s="4"/>
    </row>
    <row r="24" spans="1:5" ht="18" customHeight="1">
      <c r="A24" s="15"/>
      <c r="B24" s="15"/>
      <c r="C24" s="42" t="s">
        <v>53</v>
      </c>
      <c r="D24" s="5" t="str">
        <f>IF(J20="bajo",0,IF(J20="medio",0.5,IF(J20="alto",1,"falta riesgo")))</f>
        <v>falta riesgo</v>
      </c>
      <c r="E24" s="4"/>
    </row>
    <row r="25" spans="1:5" ht="18" customHeight="1">
      <c r="A25" s="15"/>
      <c r="B25" s="15"/>
      <c r="C25" s="42"/>
      <c r="D25" s="5"/>
      <c r="E25" s="4"/>
    </row>
    <row r="26" spans="1:5" ht="18" customHeight="1">
      <c r="A26" s="15" t="s">
        <v>17</v>
      </c>
      <c r="B26" s="15"/>
      <c r="C26" s="42" t="s">
        <v>62</v>
      </c>
      <c r="D26" s="5" t="str">
        <f>IF(J27="bajo",0,IF(J27="medio",0.5,IF(J27="alto",1,"falta riesgo")))</f>
        <v>falta riesgo</v>
      </c>
      <c r="E26" s="4"/>
    </row>
    <row r="27" spans="1:5" ht="22.5" customHeight="1">
      <c r="A27" s="15"/>
      <c r="B27" s="15"/>
      <c r="C27" s="42" t="s">
        <v>63</v>
      </c>
      <c r="D27" s="5" t="str">
        <f>IF(J26="bajo",0,IF(J26="medio",0.5,IF(J26="alto",1,"falta riesgo")))</f>
        <v>falta riesgo</v>
      </c>
      <c r="E27" s="4"/>
    </row>
    <row r="28" spans="1:5" ht="18" customHeight="1">
      <c r="A28" s="15"/>
      <c r="B28" s="15"/>
      <c r="C28" s="42" t="s">
        <v>64</v>
      </c>
      <c r="D28" s="5" t="str">
        <f>IF(J25="bajo",0,IF(J25="medio",0.5,IF(J25="alto",1,"falta riesgo")))</f>
        <v>falta riesgo</v>
      </c>
      <c r="E28" s="4"/>
    </row>
    <row r="29" spans="1:5" ht="18" customHeight="1">
      <c r="A29" s="15"/>
      <c r="B29" s="15"/>
      <c r="C29" s="42" t="s">
        <v>65</v>
      </c>
      <c r="D29" s="5" t="str">
        <f>IF(J30="bajo",0,IF(J30="medio",0.5,IF(J30="alto",1,"falta riesgo")))</f>
        <v>falta riesgo</v>
      </c>
      <c r="E29" s="4"/>
    </row>
    <row r="30" spans="1:5" ht="18" customHeight="1">
      <c r="A30" s="15"/>
      <c r="B30" s="15"/>
      <c r="C30" s="42" t="s">
        <v>66</v>
      </c>
      <c r="D30" s="5" t="str">
        <f>IF(J31="bajo",0,IF(J31="medio",0.5,IF(J31="alto",1,"falta riesgo")))</f>
        <v>falta riesgo</v>
      </c>
      <c r="E30" s="4"/>
    </row>
    <row r="31" spans="1:5" ht="18" customHeight="1">
      <c r="A31" s="15"/>
      <c r="B31" s="15"/>
      <c r="C31" s="42" t="s">
        <v>67</v>
      </c>
      <c r="D31" s="5" t="str">
        <f>IF(J32="bajo",0,IF(J32="medio",0.5,IF(J32="alto",1,"falta riesgo")))</f>
        <v>falta riesgo</v>
      </c>
      <c r="E31" s="4"/>
    </row>
    <row r="32" spans="1:5" ht="18" customHeight="1">
      <c r="A32" s="15"/>
      <c r="B32" s="15"/>
      <c r="C32" s="42" t="s">
        <v>68</v>
      </c>
      <c r="D32" s="5" t="str">
        <f>IF(J28="bajo",0,IF(J28="medio",0.5,IF(J28="alto",1,"falta riesgo")))</f>
        <v>falta riesgo</v>
      </c>
      <c r="E32" s="4"/>
    </row>
    <row r="33" spans="1:5" ht="18" customHeight="1">
      <c r="A33" s="15"/>
      <c r="B33" s="15"/>
      <c r="C33" s="42" t="s">
        <v>69</v>
      </c>
      <c r="D33" s="5" t="str">
        <f>IF(J29="bajo",0,IF(J29="medio",0.5,IF(J29="alto",1,"falta riesgo")))</f>
        <v>falta riesgo</v>
      </c>
      <c r="E33" s="4"/>
    </row>
    <row r="34" spans="1:5" ht="18" customHeight="1">
      <c r="A34" s="15"/>
      <c r="B34" s="15"/>
      <c r="C34" s="42"/>
      <c r="D34" s="5"/>
      <c r="E34" s="4"/>
    </row>
    <row r="35" spans="1:5" ht="18" customHeight="1">
      <c r="A35" s="15" t="s">
        <v>16</v>
      </c>
      <c r="B35" s="15"/>
      <c r="C35" s="42" t="s">
        <v>70</v>
      </c>
      <c r="D35" s="5" t="str">
        <f>IF(J33="bajo",0,IF(J33="medio",0.5,IF(J33="alto",1,"falta riesgo")))</f>
        <v>falta riesgo</v>
      </c>
      <c r="E35" s="4"/>
    </row>
    <row r="36" spans="1:5" ht="18" customHeight="1">
      <c r="A36" s="15"/>
      <c r="B36" s="15"/>
      <c r="C36" s="42" t="s">
        <v>71</v>
      </c>
      <c r="D36" s="5" t="str">
        <f>IF(J34="bajo",0,IF(J34="medio",0.5,IF(J34="alto",1,"falta riesgo")))</f>
        <v>falta riesgo</v>
      </c>
      <c r="E36" s="4"/>
    </row>
    <row r="37" spans="1:5" ht="18" customHeight="1">
      <c r="A37" s="15"/>
      <c r="B37" s="15"/>
      <c r="C37" s="42" t="s">
        <v>72</v>
      </c>
      <c r="D37" s="5" t="str">
        <f>IF(J36="bajo",0,IF(J36="medio",0.5,IF(J36="alto",1,"falta riesgo")))</f>
        <v>falta riesgo</v>
      </c>
      <c r="E37" s="4"/>
    </row>
    <row r="38" spans="1:5" ht="18" customHeight="1">
      <c r="A38" s="15"/>
      <c r="B38" s="15"/>
      <c r="C38" s="42" t="s">
        <v>73</v>
      </c>
      <c r="D38" s="5" t="str">
        <f>IF(J37="bajo",0,IF(J37="medio",0.5,IF(J37="alto",1,"falta riesgo")))</f>
        <v>falta riesgo</v>
      </c>
      <c r="E38" s="4"/>
    </row>
    <row r="39" spans="1:5" ht="18" customHeight="1">
      <c r="A39" s="15"/>
      <c r="B39" s="15"/>
      <c r="C39" s="42" t="s">
        <v>74</v>
      </c>
      <c r="D39" s="5" t="str">
        <f>IF(J35="bajo",0,IF(J35="medio",0.5,IF(J35="alto",1,"falta riesgo")))</f>
        <v>falta riesgo</v>
      </c>
      <c r="E39" s="4"/>
    </row>
    <row r="40" spans="1:5" ht="18" customHeight="1">
      <c r="A40" s="15"/>
      <c r="B40" s="15"/>
      <c r="C40" s="42"/>
      <c r="D40" s="5"/>
      <c r="E40" s="4"/>
    </row>
    <row r="41" spans="1:5" ht="18" customHeight="1">
      <c r="A41" s="15" t="s">
        <v>20</v>
      </c>
      <c r="B41" s="15"/>
      <c r="C41" s="42" t="s">
        <v>75</v>
      </c>
      <c r="D41" s="5" t="str">
        <f>IF(J38="bajo",0,IF(J38="medio",0.5,IF(J38="alto",1,"falta riesgo")))</f>
        <v>falta riesgo</v>
      </c>
      <c r="E41" s="4"/>
    </row>
    <row r="42" spans="1:5" ht="18" customHeight="1">
      <c r="A42" s="15"/>
      <c r="B42" s="15"/>
      <c r="C42" s="42" t="s">
        <v>76</v>
      </c>
      <c r="D42" s="5" t="str">
        <f>IF(J39="bajo",0,IF(J39="medio",0.5,IF(J39="alto",1,"falta riesgo")))</f>
        <v>falta riesgo</v>
      </c>
      <c r="E42" s="4"/>
    </row>
    <row r="43" spans="1:5" ht="18" customHeight="1">
      <c r="A43" s="15"/>
      <c r="B43" s="15"/>
      <c r="C43" s="42" t="s">
        <v>77</v>
      </c>
      <c r="D43" s="5" t="str">
        <f>IF(J40="bajo",0,IF(J40="medio",0.5,IF(J40="alto",1,"falta riesgo")))</f>
        <v>falta riesgo</v>
      </c>
      <c r="E43" s="4"/>
    </row>
    <row r="44" spans="1:5" ht="18" customHeight="1">
      <c r="A44" s="15"/>
      <c r="B44" s="15"/>
      <c r="C44" s="42" t="s">
        <v>78</v>
      </c>
      <c r="D44" s="5" t="str">
        <f>IF(J41="bajo",0,IF(J41="medio",0.5,IF(J41="alto",1,"falta riesgo")))</f>
        <v>falta riesgo</v>
      </c>
      <c r="E44" s="4"/>
    </row>
    <row r="45" spans="1:5" ht="18" customHeight="1">
      <c r="A45" s="15"/>
      <c r="B45" s="15"/>
      <c r="C45" s="42" t="s">
        <v>79</v>
      </c>
      <c r="D45" s="5" t="str">
        <f>IF(J43="bajo",0,IF(J43="medio",0.5,IF(J43="alto",1,"falta riesgo")))</f>
        <v>falta riesgo</v>
      </c>
      <c r="E45" s="4"/>
    </row>
    <row r="46" spans="1:5" ht="20.25" customHeight="1">
      <c r="A46" s="15"/>
      <c r="B46" s="15"/>
      <c r="C46" s="42" t="s">
        <v>80</v>
      </c>
      <c r="D46" s="5" t="str">
        <f>IF(J42="bajo",0,IF(J42="medio",0.5,IF(J42="alto",1,"falta riesgo")))</f>
        <v>falta riesgo</v>
      </c>
      <c r="E46" s="4"/>
    </row>
    <row r="47" spans="1:5" ht="18" customHeight="1">
      <c r="A47" s="15"/>
      <c r="B47" s="15"/>
      <c r="C47" s="42"/>
      <c r="D47" s="5"/>
      <c r="E47" s="4"/>
    </row>
    <row r="48" spans="1:5" ht="18" customHeight="1">
      <c r="A48" s="15" t="s">
        <v>22</v>
      </c>
      <c r="B48" s="15"/>
      <c r="C48" s="42" t="s">
        <v>81</v>
      </c>
      <c r="D48" s="5" t="str">
        <f>IF(J49="bajo",0,IF(J49="medio",0.5,IF(J49="alto",1,"falta riesgo")))</f>
        <v>falta riesgo</v>
      </c>
      <c r="E48" s="4"/>
    </row>
    <row r="49" spans="1:5" ht="18" customHeight="1">
      <c r="A49" s="15"/>
      <c r="B49" s="15"/>
      <c r="C49" s="42" t="s">
        <v>82</v>
      </c>
      <c r="D49" s="5" t="str">
        <f>IF(J44="bajo",0,IF(J44="medio",0.5,IF(J44="alto",1,"falta riesgo")))</f>
        <v>falta riesgo</v>
      </c>
      <c r="E49" s="4"/>
    </row>
    <row r="50" spans="1:5" ht="18" customHeight="1">
      <c r="A50" s="15"/>
      <c r="B50" s="15"/>
      <c r="C50" s="42" t="s">
        <v>83</v>
      </c>
      <c r="D50" s="5" t="str">
        <f>IF(J46="bajo",0,IF(J46="medio",0.5,IF(J46="alto",1,"falta riesgo")))</f>
        <v>falta riesgo</v>
      </c>
      <c r="E50" s="4"/>
    </row>
    <row r="51" spans="1:5" ht="18" customHeight="1">
      <c r="A51" s="15"/>
      <c r="B51" s="15"/>
      <c r="C51" s="42" t="s">
        <v>84</v>
      </c>
      <c r="D51" s="5" t="str">
        <f>IF(J47="bajo",0,IF(J47="medio",0.5,IF(J47="alto",1,"falta riesgo")))</f>
        <v>falta riesgo</v>
      </c>
      <c r="E51" s="4"/>
    </row>
    <row r="52" spans="1:5" ht="18" customHeight="1">
      <c r="A52" s="15"/>
      <c r="B52" s="15"/>
      <c r="C52" s="42" t="s">
        <v>85</v>
      </c>
      <c r="D52" s="5" t="str">
        <f>IF(J48="bajo",0,IF(J48="medio",0.5,IF(J48="alto",1,"falta riesgo")))</f>
        <v>falta riesgo</v>
      </c>
      <c r="E52" s="4"/>
    </row>
    <row r="53" spans="1:5" ht="18" customHeight="1">
      <c r="A53" s="15"/>
      <c r="B53" s="15"/>
      <c r="C53" s="42" t="s">
        <v>86</v>
      </c>
      <c r="D53" s="5" t="str">
        <f>IF(J45="bajo",0,IF(J45="medio",0.5,IF(J45="alto",1,"falta riesgo")))</f>
        <v>falta riesgo</v>
      </c>
      <c r="E53" s="4"/>
    </row>
    <row r="54" spans="1:5" ht="18" customHeight="1">
      <c r="A54" s="15"/>
      <c r="B54" s="15"/>
      <c r="C54" s="42" t="s">
        <v>87</v>
      </c>
      <c r="D54" s="5" t="str">
        <f>IF(J50="bajo",0,IF(J50="medio",0.5,IF(J50="alto",1,"falta riesgo")))</f>
        <v>falta riesgo</v>
      </c>
      <c r="E54" s="4"/>
    </row>
    <row r="55" spans="1:5">
      <c r="D55" s="11"/>
    </row>
    <row r="56" spans="1:5">
      <c r="D56" s="11"/>
    </row>
    <row r="57" spans="1:5">
      <c r="D57" s="11"/>
    </row>
    <row r="58" spans="1:5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0" t="s">
        <v>95</v>
      </c>
      <c r="C3" s="80" t="s">
        <v>39</v>
      </c>
      <c r="D3" s="80" t="s">
        <v>136</v>
      </c>
      <c r="E3" s="80" t="s">
        <v>137</v>
      </c>
    </row>
    <row r="4" spans="2:5">
      <c r="B4" s="2"/>
      <c r="C4" s="2"/>
      <c r="D4" s="2"/>
      <c r="E4" s="81"/>
    </row>
    <row r="5" spans="2:5">
      <c r="B5" s="2"/>
      <c r="C5" s="2"/>
      <c r="D5" s="2"/>
      <c r="E5" s="81"/>
    </row>
    <row r="6" spans="2:5">
      <c r="B6" s="2"/>
      <c r="C6" s="2"/>
      <c r="D6" s="2"/>
      <c r="E6" s="81"/>
    </row>
    <row r="7" spans="2:5">
      <c r="B7" s="2"/>
      <c r="C7" s="2"/>
      <c r="D7" s="2"/>
      <c r="E7" s="81"/>
    </row>
    <row r="8" spans="2:5">
      <c r="B8" s="2"/>
      <c r="C8" s="2"/>
      <c r="D8" s="2"/>
      <c r="E8" s="81"/>
    </row>
    <row r="9" spans="2:5">
      <c r="B9" s="2"/>
      <c r="C9" s="2"/>
      <c r="D9" s="2"/>
      <c r="E9" s="81"/>
    </row>
    <row r="10" spans="2:5">
      <c r="B10" s="2"/>
      <c r="C10" s="2"/>
      <c r="D10" s="2"/>
      <c r="E10" s="81"/>
    </row>
    <row r="11" spans="2:5">
      <c r="B11" s="2"/>
      <c r="C11" s="2"/>
      <c r="D11" s="2"/>
      <c r="E11" s="81"/>
    </row>
    <row r="12" spans="2:5">
      <c r="B12" s="2"/>
      <c r="C12" s="2"/>
      <c r="D12" s="2"/>
      <c r="E12" s="81"/>
    </row>
    <row r="13" spans="2:5">
      <c r="B13" s="2"/>
      <c r="C13" s="2"/>
      <c r="D13" s="2"/>
      <c r="E13" s="81"/>
    </row>
    <row r="14" spans="2:5">
      <c r="B14" s="2"/>
      <c r="C14" s="2"/>
      <c r="D14" s="2"/>
      <c r="E14" s="81"/>
    </row>
    <row r="15" spans="2:5">
      <c r="B15" s="2"/>
      <c r="C15" s="2"/>
      <c r="D15" s="2"/>
      <c r="E15" s="81"/>
    </row>
    <row r="16" spans="2:5">
      <c r="B16" s="2"/>
      <c r="C16" s="2"/>
      <c r="D16" s="2"/>
      <c r="E16" s="81"/>
    </row>
    <row r="17" spans="2:5">
      <c r="B17" s="2"/>
      <c r="C17" s="2"/>
      <c r="D17" s="2"/>
      <c r="E17" s="81"/>
    </row>
    <row r="18" spans="2:5">
      <c r="B18" s="2"/>
      <c r="C18" s="2"/>
      <c r="D18" s="2"/>
      <c r="E18" s="81"/>
    </row>
    <row r="19" spans="2:5">
      <c r="B19" s="2"/>
      <c r="C19" s="2"/>
      <c r="D19" s="2"/>
      <c r="E19" s="81"/>
    </row>
    <row r="20" spans="2:5">
      <c r="B20" s="82"/>
      <c r="C20" s="82"/>
      <c r="D20" s="82"/>
      <c r="E20" s="81"/>
    </row>
    <row r="21" spans="2:5">
      <c r="B21" s="82"/>
      <c r="C21" s="82"/>
      <c r="D21" s="82"/>
      <c r="E21" s="81"/>
    </row>
    <row r="22" spans="2:5">
      <c r="B22" s="82"/>
      <c r="C22" s="82"/>
      <c r="D22" s="82"/>
      <c r="E22" s="81"/>
    </row>
    <row r="23" spans="2:5">
      <c r="B23" s="82"/>
      <c r="C23" s="82"/>
      <c r="D23" s="82"/>
      <c r="E23" s="81"/>
    </row>
    <row r="24" spans="2:5">
      <c r="B24" s="82"/>
      <c r="C24" s="82"/>
      <c r="D24" s="82"/>
      <c r="E24" s="81"/>
    </row>
    <row r="25" spans="2:5">
      <c r="B25" s="82"/>
      <c r="C25" s="82"/>
      <c r="D25" s="82"/>
      <c r="E25" s="81"/>
    </row>
    <row r="26" spans="2:5">
      <c r="B26" s="82"/>
      <c r="C26" s="82"/>
      <c r="D26" s="82"/>
      <c r="E26" s="81"/>
    </row>
    <row r="27" spans="2:5">
      <c r="B27" s="82"/>
      <c r="C27" s="82"/>
      <c r="D27" s="82"/>
      <c r="E27" s="81"/>
    </row>
    <row r="28" spans="2:5">
      <c r="B28" s="82"/>
      <c r="C28" s="82"/>
      <c r="D28" s="82"/>
      <c r="E28" s="81"/>
    </row>
    <row r="29" spans="2:5">
      <c r="B29" s="82"/>
      <c r="C29" s="82"/>
      <c r="D29" s="82"/>
      <c r="E29" s="81"/>
    </row>
    <row r="30" spans="2:5">
      <c r="B30" s="82"/>
      <c r="C30" s="82"/>
      <c r="D30" s="82"/>
      <c r="E30" s="81"/>
    </row>
    <row r="31" spans="2:5">
      <c r="B31" s="82"/>
      <c r="C31" s="82"/>
      <c r="D31" s="82"/>
      <c r="E31" s="81"/>
    </row>
    <row r="32" spans="2:5">
      <c r="B32" s="82"/>
      <c r="C32" s="82"/>
      <c r="D32" s="82"/>
      <c r="E32" s="81"/>
    </row>
    <row r="33" spans="2:5">
      <c r="B33" s="82"/>
      <c r="C33" s="82"/>
      <c r="D33" s="82"/>
      <c r="E33" s="81"/>
    </row>
    <row r="34" spans="2:5">
      <c r="B34" s="82"/>
      <c r="C34" s="82"/>
      <c r="D34" s="82"/>
      <c r="E34" s="81"/>
    </row>
    <row r="35" spans="2:5">
      <c r="B35" s="82"/>
      <c r="C35" s="82"/>
      <c r="D35" s="82"/>
      <c r="E35" s="81"/>
    </row>
    <row r="36" spans="2:5">
      <c r="B36" s="79"/>
      <c r="C36" s="2"/>
      <c r="D36" s="2"/>
      <c r="E36" s="81"/>
    </row>
    <row r="37" spans="2:5">
      <c r="B37" s="79"/>
      <c r="C37" s="2"/>
      <c r="D37" s="2"/>
      <c r="E37" s="81"/>
    </row>
    <row r="38" spans="2:5">
      <c r="B38" s="79"/>
      <c r="C38" s="2"/>
      <c r="D38" s="2"/>
      <c r="E38" s="81"/>
    </row>
    <row r="39" spans="2:5">
      <c r="B39" s="79"/>
      <c r="C39" s="2"/>
      <c r="D39" s="2"/>
      <c r="E39" s="81"/>
    </row>
    <row r="40" spans="2:5">
      <c r="B40" s="79"/>
      <c r="C40" s="2"/>
      <c r="D40" s="2"/>
      <c r="E40" s="81"/>
    </row>
    <row r="41" spans="2:5">
      <c r="B41" s="79"/>
      <c r="C41" s="2"/>
      <c r="D41" s="2"/>
      <c r="E41" s="81"/>
    </row>
    <row r="42" spans="2:5">
      <c r="B42" s="79"/>
      <c r="C42" s="2"/>
      <c r="D42" s="2"/>
      <c r="E42" s="81"/>
    </row>
    <row r="43" spans="2:5">
      <c r="B43" s="79"/>
      <c r="C43" s="2"/>
      <c r="D43" s="2"/>
      <c r="E43" s="81"/>
    </row>
    <row r="44" spans="2:5">
      <c r="B44" s="79"/>
      <c r="C44" s="2"/>
      <c r="D44" s="2"/>
      <c r="E44" s="81"/>
    </row>
    <row r="45" spans="2:5">
      <c r="B45" s="79"/>
      <c r="C45" s="2"/>
      <c r="D45" s="2"/>
      <c r="E45" s="81"/>
    </row>
    <row r="46" spans="2:5">
      <c r="B46" s="79"/>
      <c r="C46" s="2"/>
      <c r="D46" s="2"/>
      <c r="E46" s="81"/>
    </row>
    <row r="47" spans="2:5">
      <c r="B47" s="79"/>
      <c r="C47" s="2"/>
      <c r="D47" s="2"/>
      <c r="E47" s="81"/>
    </row>
    <row r="48" spans="2:5">
      <c r="B48" s="79"/>
      <c r="C48" s="2"/>
      <c r="D48" s="2"/>
      <c r="E48" s="81"/>
    </row>
    <row r="49" spans="2:5">
      <c r="B49" s="79"/>
      <c r="C49" s="2"/>
      <c r="D49" s="2"/>
      <c r="E49" s="81"/>
    </row>
    <row r="50" spans="2:5">
      <c r="B50" s="79"/>
      <c r="C50" s="2"/>
      <c r="D50" s="2"/>
      <c r="E50" s="81"/>
    </row>
    <row r="51" spans="2:5">
      <c r="B51" s="79"/>
      <c r="C51" s="2"/>
      <c r="D51" s="2"/>
      <c r="E51" s="81"/>
    </row>
    <row r="52" spans="2:5">
      <c r="B52" s="79"/>
      <c r="C52" s="2"/>
      <c r="D52" s="83"/>
      <c r="E52" s="81"/>
    </row>
    <row r="53" spans="2:5">
      <c r="B53" s="79"/>
      <c r="C53" s="2"/>
      <c r="D53" s="83"/>
      <c r="E53" s="81"/>
    </row>
    <row r="54" spans="2:5">
      <c r="B54" s="79"/>
      <c r="C54" s="2"/>
      <c r="D54" s="83"/>
      <c r="E54" s="81"/>
    </row>
    <row r="55" spans="2:5">
      <c r="B55" s="79"/>
      <c r="C55" s="2"/>
      <c r="D55" s="83"/>
      <c r="E55" s="81"/>
    </row>
    <row r="56" spans="2:5">
      <c r="B56" s="79"/>
      <c r="C56" s="2"/>
      <c r="D56" s="83"/>
      <c r="E56" s="81"/>
    </row>
    <row r="57" spans="2:5">
      <c r="B57" s="79"/>
      <c r="C57" s="2"/>
      <c r="D57" s="83"/>
      <c r="E57" s="81"/>
    </row>
    <row r="58" spans="2:5">
      <c r="B58" s="79"/>
      <c r="C58" s="2"/>
      <c r="D58" s="83"/>
      <c r="E58" s="81"/>
    </row>
    <row r="59" spans="2:5">
      <c r="B59" s="79"/>
      <c r="C59" s="2"/>
      <c r="D59" s="83"/>
      <c r="E59" s="81"/>
    </row>
    <row r="60" spans="2:5">
      <c r="B60" s="79"/>
      <c r="C60" s="2"/>
      <c r="D60" s="83"/>
      <c r="E60" s="81"/>
    </row>
    <row r="61" spans="2:5">
      <c r="B61" s="79"/>
      <c r="C61" s="2"/>
      <c r="D61" s="83"/>
      <c r="E61" s="81"/>
    </row>
    <row r="62" spans="2:5">
      <c r="B62" s="79"/>
      <c r="C62" s="2"/>
      <c r="D62" s="83"/>
      <c r="E62" s="81"/>
    </row>
    <row r="63" spans="2:5">
      <c r="B63" s="79"/>
      <c r="C63" s="2"/>
      <c r="D63" s="83"/>
      <c r="E63" s="81"/>
    </row>
    <row r="64" spans="2:5">
      <c r="B64" s="79"/>
      <c r="C64" s="2"/>
      <c r="D64" s="83"/>
      <c r="E64" s="81"/>
    </row>
    <row r="65" spans="2:5">
      <c r="B65" s="79"/>
      <c r="C65" s="2"/>
      <c r="D65" s="83"/>
      <c r="E65" s="81"/>
    </row>
    <row r="66" spans="2:5">
      <c r="B66" s="79"/>
      <c r="C66" s="2"/>
      <c r="D66" s="83"/>
      <c r="E66" s="81"/>
    </row>
    <row r="67" spans="2:5">
      <c r="B67" s="79"/>
      <c r="C67" s="2"/>
      <c r="D67" s="83"/>
      <c r="E67" s="81"/>
    </row>
    <row r="68" spans="2:5">
      <c r="B68" s="79"/>
      <c r="C68" s="2"/>
      <c r="D68" s="83"/>
      <c r="E68" s="81"/>
    </row>
    <row r="69" spans="2:5">
      <c r="B69" s="79"/>
      <c r="C69" s="2"/>
      <c r="D69" s="83"/>
      <c r="E69" s="81"/>
    </row>
    <row r="70" spans="2:5">
      <c r="B70" s="79"/>
      <c r="C70" s="2"/>
      <c r="D70" s="83"/>
      <c r="E70" s="81"/>
    </row>
    <row r="71" spans="2:5">
      <c r="B71" s="79"/>
      <c r="C71" s="2"/>
      <c r="D71" s="83"/>
      <c r="E71" s="81"/>
    </row>
    <row r="72" spans="2:5">
      <c r="B72" s="79"/>
      <c r="C72" s="2"/>
      <c r="D72" s="83"/>
      <c r="E72" s="81"/>
    </row>
    <row r="73" spans="2:5">
      <c r="B73" s="79"/>
      <c r="C73" s="2"/>
      <c r="D73" s="83"/>
      <c r="E73" s="81"/>
    </row>
    <row r="74" spans="2:5">
      <c r="B74" s="79"/>
      <c r="C74" s="2"/>
      <c r="D74" s="83"/>
      <c r="E74" s="81"/>
    </row>
    <row r="75" spans="2:5">
      <c r="B75" s="79"/>
      <c r="C75" s="2"/>
      <c r="D75" s="83"/>
      <c r="E75" s="81"/>
    </row>
    <row r="76" spans="2:5">
      <c r="B76" s="79"/>
      <c r="C76" s="2"/>
      <c r="D76" s="83"/>
      <c r="E76" s="81"/>
    </row>
    <row r="77" spans="2:5">
      <c r="B77" s="79"/>
      <c r="C77" s="2"/>
      <c r="D77" s="83"/>
      <c r="E77" s="81"/>
    </row>
    <row r="78" spans="2:5">
      <c r="B78" s="79"/>
      <c r="C78" s="2"/>
      <c r="D78" s="83"/>
      <c r="E78" s="81"/>
    </row>
    <row r="79" spans="2:5">
      <c r="B79" s="79"/>
      <c r="C79" s="2"/>
      <c r="D79" s="83"/>
      <c r="E79" s="81"/>
    </row>
    <row r="80" spans="2:5">
      <c r="B80" s="79"/>
      <c r="C80" s="2"/>
      <c r="D80" s="83"/>
      <c r="E80" s="81"/>
    </row>
    <row r="81" spans="2:5">
      <c r="B81" s="79"/>
      <c r="C81" s="2"/>
      <c r="D81" s="83"/>
      <c r="E81" s="81"/>
    </row>
    <row r="82" spans="2:5">
      <c r="B82" s="79"/>
      <c r="C82" s="2"/>
      <c r="D82" s="83"/>
      <c r="E82" s="81"/>
    </row>
    <row r="83" spans="2:5">
      <c r="B83" s="79"/>
      <c r="C83" s="2"/>
      <c r="D83" s="83"/>
      <c r="E83" s="81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zoomScale="70" zoomScaleNormal="85" zoomScaleSheetLayoutView="70" workbookViewId="0">
      <selection activeCell="Q25" sqref="Q25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1.140625" style="36" customWidth="1"/>
    <col min="9" max="9" width="21.2851562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04"/>
      <c r="B1" s="324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</row>
    <row r="2" spans="1:16" ht="13.5" customHeight="1">
      <c r="A2" s="322"/>
      <c r="B2" s="323"/>
      <c r="N2" s="320"/>
      <c r="O2" s="325"/>
      <c r="P2" s="323"/>
    </row>
    <row r="3" spans="1:16" ht="37.35" customHeight="1">
      <c r="A3" s="37"/>
      <c r="B3" s="529" t="s">
        <v>96</v>
      </c>
      <c r="C3" s="530"/>
      <c r="D3" s="530"/>
      <c r="E3" s="530"/>
      <c r="F3" s="530"/>
      <c r="G3" s="530"/>
      <c r="H3" s="530"/>
      <c r="I3" s="530"/>
      <c r="J3" s="530"/>
      <c r="K3" s="530"/>
      <c r="L3" s="530"/>
      <c r="M3" s="530"/>
      <c r="N3" s="530"/>
      <c r="O3" s="531"/>
    </row>
    <row r="4" spans="1:16" ht="7.35" customHeight="1">
      <c r="A4" s="38"/>
      <c r="B4" s="536" t="s">
        <v>97</v>
      </c>
      <c r="C4" s="537"/>
      <c r="D4" s="537"/>
      <c r="E4" s="537"/>
      <c r="F4" s="537"/>
      <c r="G4" s="537"/>
      <c r="H4" s="537"/>
      <c r="I4" s="537"/>
      <c r="J4" s="537"/>
      <c r="K4" s="537"/>
      <c r="L4" s="537"/>
      <c r="M4" s="537"/>
      <c r="N4" s="537"/>
      <c r="O4" s="319"/>
    </row>
    <row r="5" spans="1:16" ht="43.5" customHeight="1">
      <c r="A5" s="38"/>
      <c r="B5" s="536"/>
      <c r="C5" s="537"/>
      <c r="D5" s="537"/>
      <c r="E5" s="537"/>
      <c r="F5" s="537"/>
      <c r="G5" s="537"/>
      <c r="H5" s="537"/>
      <c r="I5" s="537"/>
      <c r="J5" s="537"/>
      <c r="K5" s="537"/>
      <c r="L5" s="537"/>
      <c r="M5" s="537"/>
      <c r="N5" s="537"/>
      <c r="O5" s="319"/>
    </row>
    <row r="6" spans="1:16" ht="43.5" customHeight="1">
      <c r="A6" s="38"/>
      <c r="B6" s="536"/>
      <c r="C6" s="537"/>
      <c r="D6" s="537"/>
      <c r="E6" s="537"/>
      <c r="F6" s="537"/>
      <c r="G6" s="537"/>
      <c r="H6" s="537"/>
      <c r="I6" s="537"/>
      <c r="J6" s="537"/>
      <c r="K6" s="537"/>
      <c r="L6" s="537"/>
      <c r="M6" s="537"/>
      <c r="N6" s="537"/>
      <c r="O6" s="319"/>
    </row>
    <row r="7" spans="1:16" ht="8.1" customHeight="1">
      <c r="A7" s="38"/>
      <c r="B7" s="309"/>
      <c r="C7" s="300"/>
      <c r="D7" s="300"/>
      <c r="E7" s="300"/>
      <c r="F7" s="300"/>
      <c r="G7" s="300"/>
      <c r="H7" s="300"/>
      <c r="I7" s="300"/>
      <c r="J7" s="300"/>
      <c r="K7" s="300"/>
      <c r="L7" s="300"/>
      <c r="M7" s="300"/>
      <c r="N7" s="300"/>
      <c r="O7" s="319"/>
    </row>
    <row r="8" spans="1:16" ht="32.25" customHeight="1" thickBot="1">
      <c r="A8" s="308"/>
      <c r="B8" s="310"/>
      <c r="O8" s="319"/>
    </row>
    <row r="9" spans="1:16" ht="17.25" customHeight="1" thickBot="1">
      <c r="A9" s="303"/>
      <c r="B9" s="310"/>
      <c r="C9" s="301"/>
      <c r="D9" s="540" t="s">
        <v>98</v>
      </c>
      <c r="E9" s="538"/>
      <c r="F9" s="538"/>
      <c r="G9" s="539"/>
      <c r="I9" s="301"/>
      <c r="J9" s="545" t="s">
        <v>98</v>
      </c>
      <c r="K9" s="542"/>
      <c r="L9" s="543"/>
      <c r="M9" s="544"/>
      <c r="O9" s="319"/>
    </row>
    <row r="10" spans="1:16" ht="37.5" customHeight="1" thickBot="1">
      <c r="A10" s="303"/>
      <c r="B10" s="312"/>
      <c r="C10" s="70" t="s">
        <v>99</v>
      </c>
      <c r="D10" s="541"/>
      <c r="E10" s="71" t="s">
        <v>100</v>
      </c>
      <c r="F10" s="71" t="s">
        <v>101</v>
      </c>
      <c r="G10" s="72" t="s">
        <v>102</v>
      </c>
      <c r="I10" s="74" t="s">
        <v>99</v>
      </c>
      <c r="J10" s="546"/>
      <c r="K10" s="75" t="s">
        <v>100</v>
      </c>
      <c r="L10" s="75" t="s">
        <v>101</v>
      </c>
      <c r="M10" s="76" t="s">
        <v>102</v>
      </c>
      <c r="O10" s="319"/>
    </row>
    <row r="11" spans="1:16" ht="18.75">
      <c r="A11" s="305"/>
      <c r="B11" s="310"/>
      <c r="C11" s="73"/>
      <c r="D11" s="427"/>
      <c r="E11" s="427"/>
      <c r="F11" s="427"/>
      <c r="G11" s="428"/>
      <c r="I11" s="433"/>
      <c r="J11" s="427"/>
      <c r="K11" s="427"/>
      <c r="L11" s="427"/>
      <c r="M11" s="428"/>
      <c r="O11" s="319"/>
    </row>
    <row r="12" spans="1:16" ht="18.75">
      <c r="A12" s="38"/>
      <c r="B12" s="310"/>
      <c r="C12" s="40"/>
      <c r="D12" s="429"/>
      <c r="E12" s="429"/>
      <c r="F12" s="429"/>
      <c r="G12" s="430"/>
      <c r="I12" s="434"/>
      <c r="J12" s="429"/>
      <c r="K12" s="429"/>
      <c r="L12" s="429"/>
      <c r="M12" s="430"/>
      <c r="N12" s="320"/>
      <c r="O12" s="311"/>
    </row>
    <row r="13" spans="1:16" ht="18.75">
      <c r="A13" s="38"/>
      <c r="B13" s="310"/>
      <c r="C13" s="40"/>
      <c r="D13" s="429"/>
      <c r="E13" s="429"/>
      <c r="F13" s="429"/>
      <c r="G13" s="430"/>
      <c r="I13" s="434"/>
      <c r="J13" s="429"/>
      <c r="K13" s="429"/>
      <c r="L13" s="429"/>
      <c r="M13" s="430"/>
      <c r="N13" s="320"/>
      <c r="O13" s="311"/>
    </row>
    <row r="14" spans="1:16" ht="18.75">
      <c r="A14" s="306"/>
      <c r="B14" s="310"/>
      <c r="C14" s="40"/>
      <c r="D14" s="429"/>
      <c r="E14" s="429"/>
      <c r="F14" s="429"/>
      <c r="G14" s="430"/>
      <c r="I14" s="434"/>
      <c r="J14" s="429"/>
      <c r="K14" s="429"/>
      <c r="L14" s="429"/>
      <c r="M14" s="430"/>
      <c r="N14" s="320"/>
      <c r="O14" s="311"/>
    </row>
    <row r="15" spans="1:16" ht="18.75">
      <c r="A15" s="38"/>
      <c r="B15" s="310"/>
      <c r="C15" s="65"/>
      <c r="D15" s="429"/>
      <c r="E15" s="429"/>
      <c r="F15" s="429"/>
      <c r="G15" s="430"/>
      <c r="I15" s="434"/>
      <c r="J15" s="429"/>
      <c r="K15" s="429"/>
      <c r="L15" s="429"/>
      <c r="M15" s="430"/>
      <c r="N15" s="320"/>
      <c r="O15" s="311"/>
    </row>
    <row r="16" spans="1:16" ht="18.75">
      <c r="A16" s="38"/>
      <c r="B16" s="310"/>
      <c r="C16" s="65"/>
      <c r="D16" s="429"/>
      <c r="E16" s="429"/>
      <c r="F16" s="429"/>
      <c r="G16" s="430"/>
      <c r="I16" s="434"/>
      <c r="J16" s="429"/>
      <c r="K16" s="429"/>
      <c r="L16" s="429"/>
      <c r="M16" s="430"/>
      <c r="N16" s="320"/>
      <c r="O16" s="311"/>
    </row>
    <row r="17" spans="1:15" ht="18.75">
      <c r="A17" s="38"/>
      <c r="B17" s="310"/>
      <c r="C17" s="65"/>
      <c r="D17" s="429"/>
      <c r="E17" s="429"/>
      <c r="F17" s="429"/>
      <c r="G17" s="430"/>
      <c r="I17" s="434"/>
      <c r="J17" s="429"/>
      <c r="K17" s="429"/>
      <c r="L17" s="429"/>
      <c r="M17" s="430"/>
      <c r="N17" s="320"/>
      <c r="O17" s="311"/>
    </row>
    <row r="18" spans="1:15" ht="18.75">
      <c r="A18" s="38"/>
      <c r="B18" s="310"/>
      <c r="C18" s="65"/>
      <c r="D18" s="429"/>
      <c r="E18" s="429"/>
      <c r="F18" s="429"/>
      <c r="G18" s="430"/>
      <c r="I18" s="434"/>
      <c r="J18" s="429"/>
      <c r="K18" s="429"/>
      <c r="L18" s="429"/>
      <c r="M18" s="430"/>
      <c r="N18" s="320"/>
      <c r="O18" s="311"/>
    </row>
    <row r="19" spans="1:15" ht="18.75">
      <c r="A19" s="38"/>
      <c r="B19" s="310"/>
      <c r="C19" s="40"/>
      <c r="D19" s="429"/>
      <c r="E19" s="429"/>
      <c r="F19" s="429"/>
      <c r="G19" s="430"/>
      <c r="I19" s="434"/>
      <c r="J19" s="429"/>
      <c r="K19" s="429"/>
      <c r="L19" s="429"/>
      <c r="M19" s="430"/>
      <c r="N19" s="320"/>
      <c r="O19" s="311"/>
    </row>
    <row r="20" spans="1:15" ht="18.75">
      <c r="A20" s="38"/>
      <c r="B20" s="310"/>
      <c r="C20" s="40"/>
      <c r="D20" s="429"/>
      <c r="E20" s="429"/>
      <c r="F20" s="429"/>
      <c r="G20" s="430"/>
      <c r="I20" s="434"/>
      <c r="J20" s="429"/>
      <c r="K20" s="429"/>
      <c r="L20" s="429"/>
      <c r="M20" s="430"/>
      <c r="N20" s="320"/>
      <c r="O20" s="311"/>
    </row>
    <row r="21" spans="1:15" ht="18.75">
      <c r="A21" s="38"/>
      <c r="B21" s="310"/>
      <c r="C21" s="39"/>
      <c r="D21" s="429"/>
      <c r="E21" s="429"/>
      <c r="F21" s="429"/>
      <c r="G21" s="430"/>
      <c r="I21" s="434"/>
      <c r="J21" s="429"/>
      <c r="K21" s="429"/>
      <c r="L21" s="429"/>
      <c r="M21" s="430"/>
      <c r="N21" s="320"/>
      <c r="O21" s="311"/>
    </row>
    <row r="22" spans="1:15" ht="18.75">
      <c r="A22" s="38"/>
      <c r="B22" s="310"/>
      <c r="C22" s="39"/>
      <c r="D22" s="429"/>
      <c r="E22" s="429"/>
      <c r="F22" s="429"/>
      <c r="G22" s="430"/>
      <c r="I22" s="434"/>
      <c r="J22" s="429"/>
      <c r="K22" s="429"/>
      <c r="L22" s="429"/>
      <c r="M22" s="430"/>
      <c r="N22" s="320"/>
      <c r="O22" s="311"/>
    </row>
    <row r="23" spans="1:15" ht="18.75">
      <c r="A23" s="38"/>
      <c r="B23" s="310"/>
      <c r="C23" s="40"/>
      <c r="D23" s="429"/>
      <c r="E23" s="429"/>
      <c r="F23" s="429"/>
      <c r="G23" s="430"/>
      <c r="I23" s="434"/>
      <c r="J23" s="429"/>
      <c r="K23" s="429"/>
      <c r="L23" s="429"/>
      <c r="M23" s="430"/>
      <c r="N23" s="320"/>
      <c r="O23" s="311"/>
    </row>
    <row r="24" spans="1:15" ht="18.75">
      <c r="A24" s="38"/>
      <c r="B24" s="310"/>
      <c r="C24" s="39"/>
      <c r="D24" s="429"/>
      <c r="E24" s="429"/>
      <c r="F24" s="429"/>
      <c r="G24" s="430"/>
      <c r="I24" s="434"/>
      <c r="J24" s="429"/>
      <c r="K24" s="429"/>
      <c r="L24" s="429"/>
      <c r="M24" s="430"/>
      <c r="N24" s="320"/>
      <c r="O24" s="311"/>
    </row>
    <row r="25" spans="1:15" ht="18.75">
      <c r="A25" s="38"/>
      <c r="B25" s="310"/>
      <c r="C25" s="39"/>
      <c r="D25" s="429"/>
      <c r="E25" s="429"/>
      <c r="F25" s="429"/>
      <c r="G25" s="430"/>
      <c r="I25" s="434"/>
      <c r="J25" s="429"/>
      <c r="K25" s="429"/>
      <c r="L25" s="429"/>
      <c r="M25" s="430"/>
      <c r="N25" s="320"/>
      <c r="O25" s="311"/>
    </row>
    <row r="26" spans="1:15" ht="19.5" thickBot="1">
      <c r="A26" s="38"/>
      <c r="B26" s="310"/>
      <c r="C26" s="39"/>
      <c r="D26" s="429"/>
      <c r="E26" s="429"/>
      <c r="F26" s="429"/>
      <c r="G26" s="430"/>
      <c r="I26" s="435"/>
      <c r="J26" s="431"/>
      <c r="K26" s="431"/>
      <c r="L26" s="431"/>
      <c r="M26" s="432"/>
      <c r="N26" s="320"/>
      <c r="O26" s="311"/>
    </row>
    <row r="27" spans="1:15" ht="23.25" customHeight="1">
      <c r="A27" s="38"/>
      <c r="B27" s="310"/>
      <c r="C27" s="39"/>
      <c r="D27" s="429"/>
      <c r="E27" s="429"/>
      <c r="F27" s="429"/>
      <c r="G27" s="430"/>
      <c r="N27" s="320"/>
      <c r="O27" s="311"/>
    </row>
    <row r="28" spans="1:15" ht="23.25" customHeight="1" thickBot="1">
      <c r="A28" s="38"/>
      <c r="B28" s="310"/>
      <c r="C28" s="382"/>
      <c r="D28" s="431"/>
      <c r="E28" s="431"/>
      <c r="F28" s="431"/>
      <c r="G28" s="432"/>
      <c r="N28" s="320"/>
      <c r="O28" s="311"/>
    </row>
    <row r="29" spans="1:15" ht="28.5" customHeight="1" thickBot="1">
      <c r="B29" s="310"/>
      <c r="N29" s="320"/>
      <c r="O29" s="311"/>
    </row>
    <row r="30" spans="1:15" ht="42" customHeight="1" thickBot="1">
      <c r="A30" s="38"/>
      <c r="B30" s="312"/>
      <c r="C30" s="555" t="s">
        <v>103</v>
      </c>
      <c r="D30" s="556"/>
      <c r="E30" s="556"/>
      <c r="F30" s="556"/>
      <c r="G30" s="557"/>
      <c r="N30" s="320"/>
      <c r="O30" s="311"/>
    </row>
    <row r="31" spans="1:15" ht="49.5" customHeight="1">
      <c r="A31" s="38"/>
      <c r="B31" s="310"/>
      <c r="C31" s="547" t="s">
        <v>100</v>
      </c>
      <c r="D31" s="548"/>
      <c r="E31" s="549" t="s">
        <v>104</v>
      </c>
      <c r="F31" s="549"/>
      <c r="G31" s="550"/>
      <c r="N31" s="320"/>
      <c r="O31" s="311"/>
    </row>
    <row r="32" spans="1:15" ht="60" customHeight="1">
      <c r="A32" s="38"/>
      <c r="B32" s="310"/>
      <c r="C32" s="551" t="s">
        <v>101</v>
      </c>
      <c r="D32" s="552"/>
      <c r="E32" s="553" t="s">
        <v>105</v>
      </c>
      <c r="F32" s="553"/>
      <c r="G32" s="554"/>
      <c r="N32" s="320"/>
      <c r="O32" s="311"/>
    </row>
    <row r="33" spans="1:15" ht="66.75" customHeight="1" thickBot="1">
      <c r="A33" s="38"/>
      <c r="B33" s="312"/>
      <c r="C33" s="532" t="s">
        <v>102</v>
      </c>
      <c r="D33" s="533"/>
      <c r="E33" s="534" t="s">
        <v>106</v>
      </c>
      <c r="F33" s="534"/>
      <c r="G33" s="535"/>
      <c r="H33" s="316"/>
      <c r="J33" s="318"/>
      <c r="K33" s="318"/>
      <c r="L33" s="318"/>
      <c r="M33" s="318"/>
      <c r="N33" s="318"/>
      <c r="O33" s="319"/>
    </row>
    <row r="34" spans="1:15" ht="22.5" customHeight="1" thickBot="1">
      <c r="A34" s="315"/>
      <c r="B34" s="321"/>
      <c r="C34" s="313"/>
      <c r="D34" s="313"/>
      <c r="E34" s="313"/>
      <c r="F34" s="313"/>
      <c r="G34" s="313"/>
      <c r="H34" s="313"/>
      <c r="I34" s="317"/>
      <c r="J34" s="313"/>
      <c r="K34" s="313"/>
      <c r="L34" s="313"/>
      <c r="M34" s="313"/>
      <c r="N34" s="313"/>
      <c r="O34" s="314"/>
    </row>
    <row r="35" spans="1:15" ht="12" customHeight="1">
      <c r="A35" s="302"/>
    </row>
    <row r="36" spans="1:15" ht="8.25" customHeight="1"/>
    <row r="38" spans="1:15" ht="3" customHeight="1">
      <c r="C38" s="307"/>
      <c r="D38" s="307"/>
      <c r="E38" s="307"/>
      <c r="F38" s="307"/>
      <c r="G38" s="307"/>
      <c r="H38" s="307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41" priority="2">
      <formula>D11&lt;100%</formula>
    </cfRule>
  </conditionalFormatting>
  <conditionalFormatting sqref="I11:M26">
    <cfRule type="expression" dxfId="40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zoomScale="55" zoomScaleNormal="55" workbookViewId="0">
      <selection activeCell="C11" sqref="C11:D1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06"/>
      <c r="B1" s="563"/>
      <c r="C1" s="564"/>
      <c r="D1" s="565"/>
      <c r="E1" s="87"/>
      <c r="F1" s="90"/>
      <c r="G1" s="88"/>
      <c r="I1" s="105"/>
      <c r="J1" s="104"/>
      <c r="K1" s="115"/>
      <c r="L1" s="115"/>
      <c r="M1" s="95"/>
      <c r="N1" s="89"/>
      <c r="O1" s="89"/>
      <c r="P1" s="98"/>
    </row>
    <row r="2" spans="1:17" ht="36">
      <c r="B2" s="131" t="s">
        <v>121</v>
      </c>
      <c r="C2" s="131"/>
      <c r="D2" s="90"/>
      <c r="E2" s="96"/>
      <c r="G2" s="98"/>
      <c r="H2" s="90"/>
      <c r="I2" s="572" t="s">
        <v>124</v>
      </c>
      <c r="J2" s="573"/>
      <c r="K2" s="101"/>
      <c r="L2" s="90"/>
      <c r="M2" s="98"/>
      <c r="N2" s="90"/>
      <c r="O2" s="87"/>
      <c r="P2" s="90"/>
      <c r="Q2" s="87"/>
    </row>
    <row r="3" spans="1:17" s="67" customFormat="1" ht="22.5" customHeight="1">
      <c r="A3" s="93"/>
      <c r="B3" s="67" t="s">
        <v>122</v>
      </c>
      <c r="D3" s="99"/>
      <c r="E3" s="92"/>
      <c r="F3" s="94"/>
      <c r="G3" s="99"/>
      <c r="H3" s="102"/>
      <c r="I3" s="103"/>
      <c r="J3" s="103"/>
      <c r="K3" s="94"/>
      <c r="L3" s="94"/>
      <c r="M3" s="94"/>
      <c r="N3" s="92"/>
      <c r="O3" s="92"/>
      <c r="P3" s="94"/>
      <c r="Q3" s="130"/>
    </row>
    <row r="4" spans="1:17" s="68" customFormat="1" ht="25.5" customHeight="1" thickBot="1">
      <c r="B4" s="148" t="s">
        <v>123</v>
      </c>
      <c r="C4" s="372"/>
      <c r="D4" s="219"/>
      <c r="F4" s="218"/>
      <c r="G4" s="119"/>
      <c r="H4" s="119"/>
      <c r="I4" s="218"/>
      <c r="J4" s="218"/>
      <c r="K4" s="218"/>
      <c r="L4" s="101"/>
      <c r="M4" s="119"/>
      <c r="N4" s="120"/>
      <c r="O4" s="100"/>
      <c r="P4" s="101"/>
      <c r="Q4" s="129"/>
    </row>
    <row r="5" spans="1:17" ht="78" customHeight="1" thickBot="1">
      <c r="A5" s="97"/>
      <c r="B5" s="466" t="s">
        <v>107</v>
      </c>
      <c r="C5" s="566" t="s">
        <v>108</v>
      </c>
      <c r="D5" s="567"/>
      <c r="E5" s="463" t="s">
        <v>110</v>
      </c>
      <c r="F5" s="463" t="s">
        <v>109</v>
      </c>
      <c r="G5" s="463" t="s">
        <v>111</v>
      </c>
      <c r="H5" s="464" t="s">
        <v>187</v>
      </c>
      <c r="I5" s="464" t="s">
        <v>112</v>
      </c>
      <c r="J5" s="465" t="s">
        <v>113</v>
      </c>
      <c r="K5" s="220"/>
      <c r="L5" s="90"/>
      <c r="M5" s="90"/>
      <c r="N5" s="90"/>
      <c r="O5" s="89"/>
      <c r="P5" s="115"/>
    </row>
    <row r="6" spans="1:17" ht="51" customHeight="1">
      <c r="B6" s="244" t="s">
        <v>114</v>
      </c>
      <c r="C6" s="568"/>
      <c r="D6" s="569"/>
      <c r="E6" s="247"/>
      <c r="F6" s="247"/>
      <c r="G6" s="247"/>
      <c r="H6" s="247"/>
      <c r="I6" s="247"/>
      <c r="J6" s="248"/>
      <c r="K6" s="127"/>
      <c r="L6" s="90"/>
      <c r="M6" s="90"/>
      <c r="N6" s="98"/>
      <c r="O6" s="87"/>
      <c r="P6" s="115"/>
      <c r="Q6" s="87"/>
    </row>
    <row r="7" spans="1:17" ht="45.75" customHeight="1">
      <c r="A7" s="107"/>
      <c r="B7" s="245" t="s">
        <v>115</v>
      </c>
      <c r="C7" s="570"/>
      <c r="D7" s="571"/>
      <c r="E7" s="249"/>
      <c r="F7" s="249"/>
      <c r="G7" s="249"/>
      <c r="H7" s="249"/>
      <c r="I7" s="249"/>
      <c r="J7" s="250"/>
      <c r="L7" s="90"/>
      <c r="M7" s="90"/>
      <c r="N7" s="90"/>
      <c r="O7" s="89"/>
      <c r="P7" s="98"/>
    </row>
    <row r="8" spans="1:17" ht="44.25" customHeight="1">
      <c r="A8" s="108"/>
      <c r="B8" s="245" t="s">
        <v>116</v>
      </c>
      <c r="C8" s="570"/>
      <c r="D8" s="571"/>
      <c r="E8" s="249"/>
      <c r="F8" s="249"/>
      <c r="G8" s="249"/>
      <c r="H8" s="249"/>
      <c r="I8" s="249"/>
      <c r="J8" s="250"/>
      <c r="K8" s="221"/>
      <c r="L8" s="90"/>
      <c r="M8" s="90"/>
      <c r="N8" s="90"/>
      <c r="P8" s="90"/>
      <c r="Q8" s="90"/>
    </row>
    <row r="9" spans="1:17" ht="39.75" customHeight="1">
      <c r="A9" s="108"/>
      <c r="B9" s="245" t="s">
        <v>117</v>
      </c>
      <c r="C9" s="570"/>
      <c r="D9" s="571"/>
      <c r="E9" s="249"/>
      <c r="F9" s="249"/>
      <c r="G9" s="249"/>
      <c r="H9" s="249"/>
      <c r="I9" s="249"/>
      <c r="J9" s="250"/>
      <c r="K9" s="167"/>
      <c r="L9" s="90"/>
      <c r="M9" s="90"/>
      <c r="N9" s="96"/>
      <c r="O9" s="87"/>
      <c r="P9" s="115"/>
      <c r="Q9" s="116"/>
    </row>
    <row r="10" spans="1:17" ht="55.5" customHeight="1">
      <c r="A10" s="110"/>
      <c r="B10" s="245" t="s">
        <v>118</v>
      </c>
      <c r="C10" s="570"/>
      <c r="D10" s="571"/>
      <c r="E10" s="249"/>
      <c r="F10" s="249"/>
      <c r="G10" s="249"/>
      <c r="H10" s="249"/>
      <c r="I10" s="249"/>
      <c r="J10" s="250"/>
      <c r="K10" s="127"/>
      <c r="L10" s="90"/>
      <c r="M10" s="90"/>
      <c r="N10" s="98"/>
      <c r="O10" s="89"/>
      <c r="P10" s="90"/>
    </row>
    <row r="11" spans="1:17" ht="44.25" customHeight="1">
      <c r="A11" s="109"/>
      <c r="B11" s="245" t="s">
        <v>119</v>
      </c>
      <c r="C11" s="570"/>
      <c r="D11" s="571"/>
      <c r="E11" s="249"/>
      <c r="F11" s="249"/>
      <c r="G11" s="249"/>
      <c r="H11" s="249"/>
      <c r="I11" s="249"/>
      <c r="J11" s="250"/>
      <c r="L11" s="90"/>
      <c r="M11" s="98"/>
      <c r="N11" s="90"/>
      <c r="O11" s="97"/>
      <c r="P11" s="90"/>
      <c r="Q11" s="111"/>
    </row>
    <row r="12" spans="1:17" ht="66.75" customHeight="1" thickBot="1">
      <c r="A12" s="108"/>
      <c r="B12" s="246" t="s">
        <v>120</v>
      </c>
      <c r="C12" s="558"/>
      <c r="D12" s="559"/>
      <c r="E12" s="251"/>
      <c r="F12" s="251"/>
      <c r="G12" s="251"/>
      <c r="H12" s="251"/>
      <c r="I12" s="251"/>
      <c r="J12" s="252"/>
      <c r="K12" s="221"/>
      <c r="L12" s="90"/>
      <c r="M12" s="90"/>
      <c r="N12" s="115"/>
      <c r="O12" s="90"/>
      <c r="P12" s="90"/>
      <c r="Q12" s="111"/>
    </row>
    <row r="13" spans="1:17" ht="15.75" thickBot="1">
      <c r="A13" s="87"/>
      <c r="B13" s="147"/>
      <c r="C13" s="138"/>
      <c r="D13" s="118"/>
      <c r="F13" s="138"/>
      <c r="H13" s="139"/>
      <c r="I13" s="139"/>
      <c r="J13" s="139"/>
      <c r="K13" s="111"/>
      <c r="L13" s="90"/>
      <c r="M13" s="117"/>
      <c r="N13" s="90"/>
      <c r="O13" s="90"/>
      <c r="P13" s="87"/>
    </row>
    <row r="14" spans="1:17" ht="30.75" customHeight="1">
      <c r="A14" s="112"/>
      <c r="B14" s="353" t="s">
        <v>127</v>
      </c>
      <c r="C14" s="373"/>
      <c r="D14" s="352" t="s">
        <v>128</v>
      </c>
      <c r="E14" s="140"/>
      <c r="F14" s="141"/>
      <c r="G14" s="142"/>
      <c r="H14" s="143"/>
      <c r="I14" s="144"/>
      <c r="J14" s="145"/>
      <c r="K14" s="377"/>
      <c r="L14" s="90"/>
      <c r="M14" s="90"/>
      <c r="N14" s="117"/>
      <c r="O14" s="90"/>
      <c r="P14" s="87"/>
    </row>
    <row r="15" spans="1:17" ht="8.25" customHeight="1" thickBot="1">
      <c r="A15" s="95"/>
      <c r="B15" s="354"/>
      <c r="C15" s="374"/>
      <c r="D15" s="357"/>
      <c r="E15" s="358"/>
      <c r="F15" s="358"/>
      <c r="G15" s="359"/>
      <c r="H15" s="358"/>
      <c r="I15" s="359"/>
      <c r="J15" s="360"/>
      <c r="L15" s="90"/>
      <c r="M15" s="115"/>
      <c r="N15" s="90"/>
      <c r="O15" s="87"/>
      <c r="P15" s="87"/>
    </row>
    <row r="16" spans="1:17" ht="74.25" customHeight="1" thickBot="1">
      <c r="A16" s="112"/>
      <c r="B16" s="355" t="s">
        <v>231</v>
      </c>
      <c r="C16" s="375"/>
      <c r="D16" s="361" t="s">
        <v>130</v>
      </c>
      <c r="E16" s="560"/>
      <c r="F16" s="561"/>
      <c r="G16" s="561"/>
      <c r="H16" s="561"/>
      <c r="I16" s="561"/>
      <c r="J16" s="562"/>
      <c r="K16" s="378"/>
      <c r="L16" s="126"/>
      <c r="M16" s="124"/>
      <c r="N16" s="123"/>
      <c r="P16" s="87"/>
    </row>
    <row r="17" spans="1:16" ht="108.75" customHeight="1" thickBot="1">
      <c r="A17" s="95"/>
      <c r="B17" s="356" t="s">
        <v>125</v>
      </c>
      <c r="C17" s="376"/>
      <c r="D17" s="361" t="s">
        <v>129</v>
      </c>
      <c r="E17" s="560"/>
      <c r="F17" s="561"/>
      <c r="G17" s="561"/>
      <c r="H17" s="561"/>
      <c r="I17" s="561"/>
      <c r="J17" s="562"/>
      <c r="K17" s="151"/>
      <c r="L17" s="137"/>
      <c r="M17" s="126"/>
      <c r="N17" s="126"/>
      <c r="O17" s="90"/>
      <c r="P17" s="87"/>
    </row>
    <row r="18" spans="1:16" ht="87" customHeight="1" thickBot="1">
      <c r="A18" s="113"/>
      <c r="B18" s="356" t="s">
        <v>126</v>
      </c>
      <c r="C18" s="376"/>
      <c r="D18" s="362" t="s">
        <v>131</v>
      </c>
      <c r="E18" s="560"/>
      <c r="F18" s="561"/>
      <c r="G18" s="561"/>
      <c r="H18" s="561"/>
      <c r="I18" s="561"/>
      <c r="J18" s="562"/>
      <c r="L18" s="126"/>
      <c r="M18" s="122"/>
      <c r="N18" s="121"/>
      <c r="O18" s="66"/>
      <c r="P18" s="95"/>
    </row>
    <row r="19" spans="1:16" ht="74.25" customHeight="1" thickBot="1">
      <c r="A19" s="90"/>
      <c r="B19" s="114"/>
      <c r="C19" s="95"/>
      <c r="D19" s="363" t="s">
        <v>132</v>
      </c>
      <c r="E19" s="560"/>
      <c r="F19" s="561"/>
      <c r="G19" s="561"/>
      <c r="H19" s="561"/>
      <c r="I19" s="561"/>
      <c r="J19" s="562"/>
      <c r="K19" s="151"/>
      <c r="L19" s="137"/>
      <c r="M19" s="122"/>
      <c r="N19" s="121"/>
      <c r="O19" s="123"/>
      <c r="P19" s="86"/>
    </row>
    <row r="20" spans="1:16" ht="108" customHeight="1" thickBot="1">
      <c r="A20" s="87"/>
      <c r="B20" s="98"/>
      <c r="D20" s="362" t="s">
        <v>133</v>
      </c>
      <c r="E20" s="560"/>
      <c r="F20" s="561"/>
      <c r="G20" s="561"/>
      <c r="H20" s="561"/>
      <c r="I20" s="561"/>
      <c r="J20" s="562"/>
      <c r="K20" s="379"/>
      <c r="L20" s="364"/>
      <c r="M20" s="125"/>
      <c r="N20" s="123"/>
      <c r="O20" s="121"/>
    </row>
    <row r="21" spans="1:16" s="261" customFormat="1" ht="81.75" customHeight="1" thickBot="1">
      <c r="B21" s="262"/>
      <c r="C21" s="263"/>
      <c r="D21" s="365" t="s">
        <v>134</v>
      </c>
      <c r="E21" s="560"/>
      <c r="F21" s="561"/>
      <c r="G21" s="561"/>
      <c r="H21" s="561"/>
      <c r="I21" s="561"/>
      <c r="J21" s="562"/>
      <c r="K21" s="380"/>
      <c r="L21" s="66"/>
      <c r="M21" s="123"/>
      <c r="N21" s="123"/>
      <c r="O21" s="128"/>
    </row>
    <row r="22" spans="1:16" ht="98.25" customHeight="1" thickBot="1">
      <c r="A22" s="91"/>
      <c r="B22" s="117"/>
      <c r="C22" s="95"/>
      <c r="D22" s="381" t="s">
        <v>135</v>
      </c>
      <c r="E22" s="560"/>
      <c r="F22" s="561"/>
      <c r="G22" s="561"/>
      <c r="H22" s="561"/>
      <c r="I22" s="561"/>
      <c r="J22" s="562"/>
      <c r="L22" s="123"/>
      <c r="M22" s="126"/>
      <c r="N22" s="126"/>
      <c r="O22" s="123"/>
      <c r="P22" s="66"/>
    </row>
    <row r="23" spans="1:16" ht="23.25" customHeight="1">
      <c r="A23" s="91"/>
      <c r="B23" s="111"/>
      <c r="C23" s="111"/>
      <c r="D23" s="90"/>
      <c r="F23" s="115"/>
      <c r="G23" s="89"/>
      <c r="H23" s="89"/>
      <c r="I23" s="115"/>
      <c r="K23" s="90"/>
      <c r="L23" s="90"/>
      <c r="M23" s="98"/>
      <c r="N23" s="115"/>
      <c r="O23" s="115"/>
    </row>
    <row r="24" spans="1:16" ht="22.5" customHeight="1">
      <c r="A24" s="91"/>
      <c r="B24" s="111"/>
      <c r="C24" s="111"/>
      <c r="D24" s="90"/>
      <c r="E24" s="86"/>
      <c r="F24" s="90"/>
      <c r="G24" s="97"/>
      <c r="H24" s="90"/>
      <c r="I24" s="90"/>
      <c r="J24" s="87"/>
      <c r="K24" s="87"/>
      <c r="L24" s="87"/>
      <c r="M24" s="90"/>
      <c r="N24" s="90"/>
      <c r="O24" s="117"/>
    </row>
    <row r="25" spans="1:16" ht="22.5" customHeight="1">
      <c r="A25" s="91"/>
      <c r="B25" s="90"/>
      <c r="C25" s="98"/>
      <c r="D25" s="98"/>
      <c r="E25" s="90"/>
      <c r="F25" s="90"/>
      <c r="G25" s="91"/>
      <c r="H25" s="90"/>
      <c r="I25" s="90"/>
      <c r="J25" s="89"/>
      <c r="K25" s="115"/>
      <c r="L25" s="106"/>
      <c r="M25" s="90"/>
      <c r="N25" s="115"/>
      <c r="O25" s="117"/>
    </row>
    <row r="26" spans="1:16">
      <c r="A26" s="88"/>
      <c r="B26" s="98"/>
      <c r="C26" s="98"/>
      <c r="D26" s="90"/>
      <c r="E26" s="111"/>
      <c r="F26" s="90"/>
      <c r="G26" s="98"/>
      <c r="H26" s="90"/>
      <c r="I26" s="116"/>
      <c r="J26" s="87"/>
      <c r="K26" s="87"/>
      <c r="L26" s="87"/>
      <c r="M26" s="90"/>
      <c r="N26" s="115"/>
      <c r="O26" s="115"/>
    </row>
    <row r="27" spans="1:16" ht="15.75" thickBot="1">
      <c r="A27" s="91"/>
      <c r="B27" s="90"/>
      <c r="C27" s="115"/>
      <c r="D27" s="115"/>
      <c r="E27" s="90"/>
      <c r="F27" s="117"/>
      <c r="G27" s="98"/>
      <c r="H27" s="98"/>
      <c r="I27" s="98"/>
      <c r="J27" s="98"/>
      <c r="K27" s="91"/>
      <c r="M27" s="98"/>
      <c r="N27" s="98"/>
      <c r="O27" s="117"/>
    </row>
    <row r="28" spans="1:16">
      <c r="A28" s="91"/>
      <c r="B28" s="115"/>
      <c r="C28" s="115"/>
      <c r="D28" s="115"/>
      <c r="E28" s="90"/>
      <c r="F28" s="98"/>
      <c r="G28" s="90"/>
      <c r="H28" s="98"/>
      <c r="I28" s="87"/>
      <c r="J28" s="132"/>
      <c r="K28" s="133"/>
      <c r="L28" s="86"/>
      <c r="M28" s="111"/>
      <c r="N28" s="98"/>
      <c r="O28" s="98"/>
    </row>
    <row r="29" spans="1:16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88"/>
      <c r="M29" s="90"/>
      <c r="N29" s="88"/>
      <c r="O29" s="90"/>
    </row>
    <row r="30" spans="1:16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7"/>
      <c r="M30" s="87"/>
      <c r="N30" s="88"/>
      <c r="O30" s="116"/>
    </row>
    <row r="31" spans="1:16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1"/>
      <c r="M31" s="90"/>
      <c r="N31" s="116"/>
    </row>
    <row r="32" spans="1:16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88"/>
      <c r="M32" s="115"/>
      <c r="N32" s="95"/>
    </row>
    <row r="33" spans="1:14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116"/>
      <c r="M33" s="115"/>
    </row>
    <row r="34" spans="1:14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106"/>
      <c r="M34" s="90"/>
    </row>
    <row r="35" spans="1:14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1"/>
      <c r="M35" s="89"/>
      <c r="N35" s="106"/>
    </row>
    <row r="36" spans="1:14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86"/>
      <c r="M36" s="111"/>
      <c r="N36" s="86"/>
    </row>
    <row r="37" spans="1:14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</row>
    <row r="38" spans="1:14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</row>
    <row r="39" spans="1:14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</row>
    <row r="40" spans="1:14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</row>
    <row r="41" spans="1:14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</row>
    <row r="42" spans="1:14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</row>
    <row r="43" spans="1:14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</row>
    <row r="44" spans="1:1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</row>
    <row r="45" spans="1:14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</row>
    <row r="46" spans="1:14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</row>
    <row r="47" spans="1:14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</row>
    <row r="48" spans="1:14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</row>
    <row r="49" spans="1:1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</row>
    <row r="50" spans="1:1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zoomScale="70" zoomScaleNormal="70" workbookViewId="0">
      <selection activeCell="AA11" sqref="AA11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93"/>
      <c r="B1" s="583" t="s">
        <v>0</v>
      </c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5"/>
      <c r="Z1" s="188"/>
    </row>
    <row r="2" spans="1:28" ht="9" customHeight="1" thickBot="1">
      <c r="A2" s="191"/>
      <c r="B2" s="96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95"/>
      <c r="R2" s="117"/>
      <c r="S2" s="117"/>
      <c r="T2" s="117"/>
      <c r="U2" s="95"/>
      <c r="V2" s="117"/>
      <c r="W2" s="117"/>
      <c r="X2" s="117"/>
      <c r="Y2" s="95"/>
      <c r="Z2" s="90"/>
      <c r="AA2" s="111"/>
    </row>
    <row r="3" spans="1:28" ht="24.75" customHeight="1" thickBot="1">
      <c r="A3" s="194" t="s">
        <v>181</v>
      </c>
      <c r="B3" s="586" t="s">
        <v>224</v>
      </c>
      <c r="C3" s="587"/>
      <c r="D3" s="587"/>
      <c r="E3" s="587"/>
      <c r="F3" s="587"/>
      <c r="G3" s="587"/>
      <c r="H3" s="587"/>
      <c r="I3" s="587"/>
      <c r="J3" s="587"/>
      <c r="K3" s="587"/>
      <c r="L3" s="587"/>
      <c r="M3" s="587"/>
      <c r="N3" s="587"/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8"/>
      <c r="Z3" s="189"/>
      <c r="AA3" s="111"/>
    </row>
    <row r="4" spans="1:28" ht="23.25" customHeight="1" thickBot="1">
      <c r="A4" s="195" t="s">
        <v>182</v>
      </c>
      <c r="B4" s="589" t="s">
        <v>183</v>
      </c>
      <c r="C4" s="590"/>
      <c r="D4" s="590"/>
      <c r="E4" s="590"/>
      <c r="F4" s="590"/>
      <c r="G4" s="590"/>
      <c r="H4" s="590"/>
      <c r="I4" s="590"/>
      <c r="J4" s="590"/>
      <c r="K4" s="590"/>
      <c r="L4" s="590"/>
      <c r="M4" s="590"/>
      <c r="N4" s="590"/>
      <c r="O4" s="590"/>
      <c r="P4" s="590"/>
      <c r="Q4" s="590"/>
      <c r="R4" s="590"/>
      <c r="S4" s="590"/>
      <c r="T4" s="590"/>
      <c r="U4" s="590"/>
      <c r="V4" s="590"/>
      <c r="W4" s="590"/>
      <c r="X4" s="590"/>
      <c r="Y4" s="591"/>
      <c r="Z4" s="190"/>
      <c r="AA4" s="111"/>
    </row>
    <row r="5" spans="1:28" ht="15.75" thickBot="1">
      <c r="A5" s="192"/>
      <c r="B5" s="96"/>
      <c r="C5" s="117"/>
      <c r="D5" s="117"/>
      <c r="E5" s="117"/>
      <c r="F5" s="115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95"/>
      <c r="R5" s="95"/>
      <c r="S5" s="117"/>
      <c r="T5" s="117"/>
      <c r="U5" s="95"/>
      <c r="V5" s="117"/>
      <c r="W5" s="117"/>
      <c r="X5" s="117"/>
      <c r="Y5" s="95"/>
      <c r="Z5" s="90"/>
      <c r="AA5" s="111"/>
    </row>
    <row r="6" spans="1:28" ht="24.75" customHeight="1" thickBot="1">
      <c r="A6" s="196"/>
      <c r="B6" s="595" t="s">
        <v>138</v>
      </c>
      <c r="C6" s="596"/>
      <c r="D6" s="596"/>
      <c r="E6" s="597"/>
      <c r="F6" s="97"/>
      <c r="G6" s="157"/>
      <c r="H6" s="615" t="s">
        <v>143</v>
      </c>
      <c r="I6" s="616"/>
      <c r="J6" s="616"/>
      <c r="K6" s="617"/>
      <c r="L6" s="97"/>
      <c r="M6" s="157"/>
      <c r="N6" s="623" t="s">
        <v>162</v>
      </c>
      <c r="O6" s="624"/>
      <c r="P6" s="625"/>
      <c r="Q6" s="164"/>
      <c r="R6" s="166"/>
      <c r="S6" s="575" t="s">
        <v>144</v>
      </c>
      <c r="T6" s="576"/>
      <c r="U6" s="167"/>
      <c r="V6" s="171"/>
      <c r="W6" s="158"/>
      <c r="X6" s="575" t="s">
        <v>145</v>
      </c>
      <c r="Y6" s="576"/>
      <c r="Z6" s="88"/>
      <c r="AA6" s="111"/>
    </row>
    <row r="7" spans="1:28" ht="30.75" customHeight="1" thickBot="1">
      <c r="A7" s="196"/>
      <c r="B7" s="455" t="s">
        <v>139</v>
      </c>
      <c r="C7" s="456" t="s">
        <v>140</v>
      </c>
      <c r="D7" s="457" t="s">
        <v>141</v>
      </c>
      <c r="E7" s="458" t="s">
        <v>142</v>
      </c>
      <c r="F7" s="97"/>
      <c r="G7" s="127"/>
      <c r="H7" s="611">
        <f>I23</f>
        <v>0</v>
      </c>
      <c r="I7" s="622"/>
      <c r="J7" s="622"/>
      <c r="K7" s="612"/>
      <c r="L7" s="97"/>
      <c r="M7" s="127"/>
      <c r="N7" s="607">
        <f>L23</f>
        <v>0</v>
      </c>
      <c r="O7" s="608"/>
      <c r="P7" s="609"/>
      <c r="Q7" s="165"/>
      <c r="R7" s="167"/>
      <c r="S7" s="611">
        <f>O23</f>
        <v>0</v>
      </c>
      <c r="T7" s="612"/>
      <c r="U7" s="97"/>
      <c r="V7" s="170"/>
      <c r="W7" s="90"/>
      <c r="X7" s="611">
        <f>R23</f>
        <v>0</v>
      </c>
      <c r="Y7" s="612"/>
      <c r="Z7" s="156"/>
      <c r="AA7" s="111"/>
    </row>
    <row r="8" spans="1:28" ht="21.75" customHeight="1" thickBot="1">
      <c r="A8" s="196"/>
      <c r="B8" s="204"/>
      <c r="C8" s="199"/>
      <c r="D8" s="197"/>
      <c r="E8" s="213"/>
      <c r="F8" s="97"/>
      <c r="G8" s="159"/>
      <c r="H8" s="160"/>
      <c r="I8" s="161"/>
      <c r="J8" s="169"/>
      <c r="K8" s="162"/>
      <c r="L8" s="97"/>
      <c r="M8" s="159"/>
      <c r="N8" s="163"/>
      <c r="O8" s="163"/>
      <c r="P8" s="162"/>
      <c r="Q8" s="97"/>
      <c r="R8" s="168"/>
      <c r="S8" s="163"/>
      <c r="T8" s="162"/>
      <c r="U8" s="86"/>
      <c r="V8" s="159"/>
      <c r="W8" s="163"/>
      <c r="X8" s="163"/>
      <c r="Y8" s="162"/>
      <c r="Z8" s="88"/>
      <c r="AA8" s="111"/>
    </row>
    <row r="9" spans="1:28" ht="18" customHeight="1" thickBot="1">
      <c r="A9" s="198"/>
      <c r="B9" s="204"/>
      <c r="C9" s="200"/>
      <c r="D9" s="149"/>
      <c r="E9" s="214"/>
      <c r="F9" s="88"/>
      <c r="G9" s="117"/>
      <c r="H9" s="117"/>
      <c r="I9" s="117"/>
      <c r="J9" s="117"/>
      <c r="K9" s="117"/>
      <c r="L9" s="117"/>
      <c r="M9" s="117"/>
      <c r="N9" s="117"/>
      <c r="O9" s="175"/>
      <c r="P9" s="117"/>
      <c r="Q9" s="95"/>
      <c r="R9" s="95"/>
      <c r="S9" s="117"/>
      <c r="T9" s="117"/>
      <c r="U9" s="98"/>
      <c r="V9" s="117"/>
      <c r="W9" s="117"/>
      <c r="X9" s="117"/>
      <c r="Y9" s="95"/>
      <c r="Z9" s="90"/>
      <c r="AA9" s="111"/>
    </row>
    <row r="10" spans="1:28" ht="21" customHeight="1">
      <c r="A10" s="89"/>
      <c r="B10" s="204"/>
      <c r="C10" s="200"/>
      <c r="D10" s="149"/>
      <c r="E10" s="214"/>
      <c r="F10" s="97"/>
      <c r="G10" s="603" t="s">
        <v>146</v>
      </c>
      <c r="H10" s="604"/>
      <c r="I10" s="604"/>
      <c r="J10" s="604"/>
      <c r="K10" s="604"/>
      <c r="L10" s="604"/>
      <c r="M10" s="604"/>
      <c r="N10" s="604"/>
      <c r="O10" s="604"/>
      <c r="P10" s="604"/>
      <c r="Q10" s="604"/>
      <c r="R10" s="604"/>
      <c r="S10" s="604"/>
      <c r="T10" s="604"/>
      <c r="U10" s="604"/>
      <c r="V10" s="604"/>
      <c r="W10" s="604"/>
      <c r="X10" s="604"/>
      <c r="Y10" s="605"/>
      <c r="Z10" s="88"/>
      <c r="AA10" s="111"/>
    </row>
    <row r="11" spans="1:28" ht="19.5" customHeight="1">
      <c r="A11" s="87"/>
      <c r="B11" s="204"/>
      <c r="C11" s="203"/>
      <c r="D11" s="149"/>
      <c r="E11" s="214"/>
      <c r="F11" s="97"/>
      <c r="G11" s="606" t="s">
        <v>147</v>
      </c>
      <c r="H11" s="601"/>
      <c r="I11" s="601" t="s">
        <v>148</v>
      </c>
      <c r="J11" s="601"/>
      <c r="K11" s="601"/>
      <c r="L11" s="601" t="s">
        <v>149</v>
      </c>
      <c r="M11" s="601"/>
      <c r="N11" s="601"/>
      <c r="O11" s="601" t="s">
        <v>150</v>
      </c>
      <c r="P11" s="601"/>
      <c r="Q11" s="601"/>
      <c r="R11" s="601" t="s">
        <v>145</v>
      </c>
      <c r="S11" s="601"/>
      <c r="T11" s="601"/>
      <c r="U11" s="601"/>
      <c r="V11" s="601"/>
      <c r="W11" s="601"/>
      <c r="X11" s="601"/>
      <c r="Y11" s="602"/>
      <c r="Z11" s="88"/>
      <c r="AA11" s="111"/>
    </row>
    <row r="12" spans="1:28" ht="17.25" customHeight="1">
      <c r="A12" s="87"/>
      <c r="B12" s="205"/>
      <c r="C12" s="207"/>
      <c r="D12" s="200"/>
      <c r="E12" s="214"/>
      <c r="F12" s="97"/>
      <c r="G12" s="606"/>
      <c r="H12" s="601"/>
      <c r="I12" s="601"/>
      <c r="J12" s="601"/>
      <c r="K12" s="601"/>
      <c r="L12" s="601"/>
      <c r="M12" s="601"/>
      <c r="N12" s="601"/>
      <c r="O12" s="601"/>
      <c r="P12" s="601"/>
      <c r="Q12" s="601"/>
      <c r="R12" s="577" t="s">
        <v>151</v>
      </c>
      <c r="S12" s="577"/>
      <c r="T12" s="577" t="s">
        <v>152</v>
      </c>
      <c r="U12" s="577"/>
      <c r="V12" s="577" t="s">
        <v>153</v>
      </c>
      <c r="W12" s="577"/>
      <c r="X12" s="577" t="s">
        <v>154</v>
      </c>
      <c r="Y12" s="598"/>
      <c r="Z12" s="88"/>
      <c r="AA12" s="87"/>
    </row>
    <row r="13" spans="1:28" ht="18.75" customHeight="1">
      <c r="A13" s="87"/>
      <c r="B13" s="204"/>
      <c r="C13" s="199"/>
      <c r="D13" s="149"/>
      <c r="E13" s="214"/>
      <c r="F13" s="97"/>
      <c r="G13" s="606"/>
      <c r="H13" s="601"/>
      <c r="I13" s="601"/>
      <c r="J13" s="601"/>
      <c r="K13" s="601"/>
      <c r="L13" s="601"/>
      <c r="M13" s="601"/>
      <c r="N13" s="601"/>
      <c r="O13" s="601"/>
      <c r="P13" s="601"/>
      <c r="Q13" s="601"/>
      <c r="R13" s="577"/>
      <c r="S13" s="577"/>
      <c r="T13" s="577"/>
      <c r="U13" s="577"/>
      <c r="V13" s="577"/>
      <c r="W13" s="577"/>
      <c r="X13" s="599"/>
      <c r="Y13" s="600"/>
      <c r="Z13" s="88"/>
      <c r="AA13" s="89"/>
    </row>
    <row r="14" spans="1:28" ht="18.75" customHeight="1">
      <c r="A14" s="87"/>
      <c r="B14" s="204"/>
      <c r="C14" s="200"/>
      <c r="D14" s="149"/>
      <c r="E14" s="214"/>
      <c r="F14" s="97"/>
      <c r="G14" s="578"/>
      <c r="H14" s="579"/>
      <c r="I14" s="580"/>
      <c r="J14" s="581"/>
      <c r="K14" s="582"/>
      <c r="L14" s="574"/>
      <c r="M14" s="574"/>
      <c r="N14" s="574"/>
      <c r="O14" s="574"/>
      <c r="P14" s="574"/>
      <c r="Q14" s="574"/>
      <c r="R14" s="574"/>
      <c r="S14" s="574"/>
      <c r="T14" s="574"/>
      <c r="U14" s="574"/>
      <c r="V14" s="574"/>
      <c r="W14" s="580"/>
      <c r="X14" s="574"/>
      <c r="Y14" s="610"/>
      <c r="Z14" s="88"/>
    </row>
    <row r="15" spans="1:28" ht="19.5" customHeight="1" thickBot="1">
      <c r="A15" s="87"/>
      <c r="B15" s="206"/>
      <c r="C15" s="202"/>
      <c r="D15" s="201"/>
      <c r="E15" s="215"/>
      <c r="F15" s="97"/>
      <c r="G15" s="578"/>
      <c r="H15" s="579"/>
      <c r="I15" s="580"/>
      <c r="J15" s="581"/>
      <c r="K15" s="582"/>
      <c r="L15" s="574"/>
      <c r="M15" s="574"/>
      <c r="N15" s="574"/>
      <c r="O15" s="574"/>
      <c r="P15" s="574"/>
      <c r="Q15" s="574"/>
      <c r="R15" s="574"/>
      <c r="S15" s="574"/>
      <c r="T15" s="574"/>
      <c r="U15" s="574"/>
      <c r="V15" s="574"/>
      <c r="W15" s="580"/>
      <c r="X15" s="574"/>
      <c r="Y15" s="610"/>
      <c r="Z15" s="88"/>
      <c r="AA15" s="111"/>
    </row>
    <row r="16" spans="1:28" ht="24" customHeight="1" thickBot="1">
      <c r="A16" s="90"/>
      <c r="B16" s="117"/>
      <c r="C16" s="117"/>
      <c r="D16" s="117"/>
      <c r="E16" s="117"/>
      <c r="F16" s="87"/>
      <c r="G16" s="578"/>
      <c r="H16" s="579"/>
      <c r="I16" s="580"/>
      <c r="J16" s="581"/>
      <c r="K16" s="582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80"/>
      <c r="X16" s="574"/>
      <c r="Y16" s="610"/>
      <c r="Z16" s="88"/>
      <c r="AA16" s="111"/>
      <c r="AB16" s="209"/>
    </row>
    <row r="17" spans="1:27" ht="21" customHeight="1">
      <c r="A17" s="87"/>
      <c r="B17" s="592" t="s">
        <v>156</v>
      </c>
      <c r="C17" s="593"/>
      <c r="D17" s="593"/>
      <c r="E17" s="594"/>
      <c r="F17" s="97"/>
      <c r="G17" s="578"/>
      <c r="H17" s="579"/>
      <c r="I17" s="580"/>
      <c r="J17" s="581"/>
      <c r="K17" s="582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80"/>
      <c r="X17" s="574"/>
      <c r="Y17" s="610"/>
      <c r="Z17" s="88"/>
      <c r="AA17" s="111"/>
    </row>
    <row r="18" spans="1:27" ht="34.5" customHeight="1">
      <c r="A18" s="87"/>
      <c r="B18" s="459" t="s">
        <v>157</v>
      </c>
      <c r="C18" s="460" t="s">
        <v>151</v>
      </c>
      <c r="D18" s="461" t="s">
        <v>137</v>
      </c>
      <c r="E18" s="462" t="s">
        <v>158</v>
      </c>
      <c r="F18" s="97"/>
      <c r="G18" s="578"/>
      <c r="H18" s="579"/>
      <c r="I18" s="580"/>
      <c r="J18" s="581"/>
      <c r="K18" s="582"/>
      <c r="L18" s="574"/>
      <c r="M18" s="574"/>
      <c r="N18" s="574"/>
      <c r="O18" s="574"/>
      <c r="P18" s="574"/>
      <c r="Q18" s="574"/>
      <c r="R18" s="574"/>
      <c r="S18" s="574"/>
      <c r="T18" s="574"/>
      <c r="U18" s="574"/>
      <c r="V18" s="574"/>
      <c r="W18" s="580"/>
      <c r="X18" s="574"/>
      <c r="Y18" s="610"/>
      <c r="Z18" s="88"/>
      <c r="AA18" s="111"/>
    </row>
    <row r="19" spans="1:27" ht="30.75" customHeight="1">
      <c r="A19" s="87"/>
      <c r="B19" s="172"/>
      <c r="C19" s="149"/>
      <c r="D19" s="154"/>
      <c r="E19" s="216"/>
      <c r="F19" s="97"/>
      <c r="G19" s="578"/>
      <c r="H19" s="579"/>
      <c r="I19" s="580"/>
      <c r="J19" s="581"/>
      <c r="K19" s="582"/>
      <c r="L19" s="574"/>
      <c r="M19" s="574"/>
      <c r="N19" s="574"/>
      <c r="O19" s="574"/>
      <c r="P19" s="574"/>
      <c r="Q19" s="574"/>
      <c r="R19" s="574"/>
      <c r="S19" s="574"/>
      <c r="T19" s="574"/>
      <c r="U19" s="574"/>
      <c r="V19" s="574"/>
      <c r="W19" s="580"/>
      <c r="X19" s="574"/>
      <c r="Y19" s="610"/>
      <c r="Z19" s="88"/>
      <c r="AA19" s="111"/>
    </row>
    <row r="20" spans="1:27" ht="30" customHeight="1">
      <c r="A20" s="87"/>
      <c r="B20" s="172"/>
      <c r="C20" s="154"/>
      <c r="D20" s="154"/>
      <c r="E20" s="216"/>
      <c r="F20" s="97"/>
      <c r="G20" s="578"/>
      <c r="H20" s="579"/>
      <c r="I20" s="580"/>
      <c r="J20" s="581"/>
      <c r="K20" s="582"/>
      <c r="L20" s="574"/>
      <c r="M20" s="574"/>
      <c r="N20" s="574"/>
      <c r="O20" s="574"/>
      <c r="P20" s="574"/>
      <c r="Q20" s="574"/>
      <c r="R20" s="574"/>
      <c r="S20" s="574"/>
      <c r="T20" s="574"/>
      <c r="U20" s="574"/>
      <c r="V20" s="574"/>
      <c r="W20" s="580"/>
      <c r="X20" s="574"/>
      <c r="Y20" s="610"/>
      <c r="Z20" s="88"/>
      <c r="AA20" s="111"/>
    </row>
    <row r="21" spans="1:27" ht="30" customHeight="1">
      <c r="A21" s="87"/>
      <c r="B21" s="172"/>
      <c r="C21" s="154"/>
      <c r="D21" s="154"/>
      <c r="E21" s="216"/>
      <c r="F21" s="97"/>
      <c r="G21" s="578"/>
      <c r="H21" s="579"/>
      <c r="I21" s="580"/>
      <c r="J21" s="581"/>
      <c r="K21" s="582"/>
      <c r="L21" s="574"/>
      <c r="M21" s="574"/>
      <c r="N21" s="574"/>
      <c r="O21" s="574"/>
      <c r="P21" s="574"/>
      <c r="Q21" s="574"/>
      <c r="R21" s="574"/>
      <c r="S21" s="574"/>
      <c r="T21" s="574"/>
      <c r="U21" s="574"/>
      <c r="V21" s="574"/>
      <c r="W21" s="580"/>
      <c r="X21" s="574"/>
      <c r="Y21" s="610"/>
      <c r="Z21" s="88"/>
      <c r="AA21" s="111"/>
    </row>
    <row r="22" spans="1:27" ht="32.25" customHeight="1">
      <c r="A22" s="87"/>
      <c r="B22" s="172"/>
      <c r="C22" s="154"/>
      <c r="D22" s="154"/>
      <c r="E22" s="216"/>
      <c r="F22" s="97"/>
      <c r="G22" s="578"/>
      <c r="H22" s="579"/>
      <c r="I22" s="580"/>
      <c r="J22" s="581"/>
      <c r="K22" s="582"/>
      <c r="L22" s="574"/>
      <c r="M22" s="574"/>
      <c r="N22" s="574"/>
      <c r="O22" s="574"/>
      <c r="P22" s="574"/>
      <c r="Q22" s="574"/>
      <c r="R22" s="574"/>
      <c r="S22" s="574"/>
      <c r="T22" s="574"/>
      <c r="U22" s="574"/>
      <c r="V22" s="574"/>
      <c r="W22" s="580"/>
      <c r="X22" s="574"/>
      <c r="Y22" s="610"/>
      <c r="Z22" s="88"/>
      <c r="AA22" s="111"/>
    </row>
    <row r="23" spans="1:27" ht="30.75" customHeight="1" thickBot="1">
      <c r="A23" s="87"/>
      <c r="B23" s="173"/>
      <c r="C23" s="174"/>
      <c r="D23" s="174"/>
      <c r="E23" s="217"/>
      <c r="F23" s="97"/>
      <c r="G23" s="621" t="s">
        <v>155</v>
      </c>
      <c r="H23" s="613"/>
      <c r="I23" s="613">
        <f>SUM(I14:K22)</f>
        <v>0</v>
      </c>
      <c r="J23" s="613"/>
      <c r="K23" s="613"/>
      <c r="L23" s="613">
        <f>SUM(L14:N22)</f>
        <v>0</v>
      </c>
      <c r="M23" s="613"/>
      <c r="N23" s="613"/>
      <c r="O23" s="618">
        <f>SUM(O14:Q22)</f>
        <v>0</v>
      </c>
      <c r="P23" s="619"/>
      <c r="Q23" s="620"/>
      <c r="R23" s="618">
        <f>SUM(R14:S22)</f>
        <v>0</v>
      </c>
      <c r="S23" s="620"/>
      <c r="T23" s="618">
        <f>SUM(T14:U22)</f>
        <v>0</v>
      </c>
      <c r="U23" s="620"/>
      <c r="V23" s="618">
        <f>SUM(V14:W22)</f>
        <v>0</v>
      </c>
      <c r="W23" s="619"/>
      <c r="X23" s="613">
        <f>SUM(X14:Y22)</f>
        <v>0</v>
      </c>
      <c r="Y23" s="614"/>
      <c r="Z23" s="88"/>
      <c r="AA23" s="111"/>
    </row>
    <row r="24" spans="1:27" ht="12" customHeight="1">
      <c r="A24" s="90"/>
      <c r="B24" s="115"/>
      <c r="C24" s="115"/>
      <c r="D24" s="115"/>
      <c r="E24" s="115"/>
      <c r="F24" s="90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89"/>
      <c r="R24" s="89"/>
      <c r="S24" s="115"/>
      <c r="T24" s="115"/>
      <c r="U24" s="89"/>
      <c r="V24" s="115"/>
      <c r="W24" s="115"/>
      <c r="X24" s="115"/>
      <c r="Y24" s="89"/>
      <c r="Z24" s="90"/>
      <c r="AA24" s="111"/>
    </row>
    <row r="25" spans="1:27" ht="9" customHeight="1" thickBot="1">
      <c r="A25" s="90"/>
      <c r="B25" s="90"/>
      <c r="C25" s="90"/>
      <c r="D25" s="90"/>
      <c r="E25" s="90"/>
      <c r="F25" s="90"/>
      <c r="G25" s="98"/>
      <c r="H25" s="98"/>
      <c r="I25" s="98"/>
      <c r="J25" s="98"/>
      <c r="K25" s="90"/>
      <c r="L25" s="98"/>
      <c r="M25" s="98"/>
      <c r="N25" s="98"/>
      <c r="O25" s="98"/>
      <c r="P25" s="98"/>
      <c r="Q25" s="111"/>
      <c r="R25" s="111"/>
      <c r="S25" s="98"/>
      <c r="T25" s="98"/>
      <c r="U25" s="111"/>
      <c r="V25" s="98"/>
      <c r="W25" s="98"/>
      <c r="X25" s="98"/>
      <c r="Y25" s="111"/>
      <c r="Z25" s="90"/>
      <c r="AA25" s="111"/>
    </row>
    <row r="26" spans="1:27" ht="37.5" customHeight="1">
      <c r="A26" s="90"/>
      <c r="B26" s="90"/>
      <c r="C26" s="90"/>
      <c r="D26" s="90"/>
      <c r="E26" s="90"/>
      <c r="F26" s="87"/>
      <c r="G26" s="150"/>
      <c r="H26" s="658" t="s">
        <v>170</v>
      </c>
      <c r="I26" s="659"/>
      <c r="J26" s="660"/>
      <c r="K26" s="97"/>
      <c r="L26" s="664" t="s">
        <v>163</v>
      </c>
      <c r="M26" s="665"/>
      <c r="N26" s="665"/>
      <c r="O26" s="665"/>
      <c r="P26" s="665"/>
      <c r="Q26" s="665"/>
      <c r="R26" s="665"/>
      <c r="S26" s="665"/>
      <c r="T26" s="665"/>
      <c r="U26" s="665"/>
      <c r="V26" s="665"/>
      <c r="W26" s="665"/>
      <c r="X26" s="665"/>
      <c r="Y26" s="666"/>
      <c r="Z26" s="88"/>
      <c r="AA26" s="111"/>
    </row>
    <row r="27" spans="1:27" ht="32.25" customHeight="1">
      <c r="A27" s="90"/>
      <c r="B27" s="90"/>
      <c r="C27" s="90"/>
      <c r="D27" s="90"/>
      <c r="E27" s="90"/>
      <c r="F27" s="87"/>
      <c r="G27" s="151"/>
      <c r="H27" s="655">
        <f>Y38</f>
        <v>0</v>
      </c>
      <c r="I27" s="656"/>
      <c r="J27" s="657"/>
      <c r="K27" s="97"/>
      <c r="L27" s="629" t="s">
        <v>147</v>
      </c>
      <c r="M27" s="577"/>
      <c r="N27" s="577"/>
      <c r="O27" s="577" t="s">
        <v>164</v>
      </c>
      <c r="P27" s="577"/>
      <c r="Q27" s="577" t="s">
        <v>165</v>
      </c>
      <c r="R27" s="577"/>
      <c r="S27" s="577" t="s">
        <v>166</v>
      </c>
      <c r="T27" s="577" t="s">
        <v>167</v>
      </c>
      <c r="U27" s="577"/>
      <c r="V27" s="577" t="s">
        <v>168</v>
      </c>
      <c r="W27" s="577" t="s">
        <v>169</v>
      </c>
      <c r="X27" s="577"/>
      <c r="Y27" s="598" t="s">
        <v>155</v>
      </c>
      <c r="Z27" s="88"/>
      <c r="AA27" s="87"/>
    </row>
    <row r="28" spans="1:27" ht="9.75" customHeight="1">
      <c r="A28" s="90"/>
      <c r="B28" s="90"/>
      <c r="C28" s="90"/>
      <c r="D28" s="90"/>
      <c r="E28" s="90"/>
      <c r="F28" s="87"/>
      <c r="G28" s="151"/>
      <c r="H28" s="90"/>
      <c r="I28" s="90"/>
      <c r="J28" s="180"/>
      <c r="K28" s="97"/>
      <c r="L28" s="629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98"/>
      <c r="Z28" s="88"/>
      <c r="AA28" s="111"/>
    </row>
    <row r="29" spans="1:27" ht="17.25" customHeight="1" thickBot="1">
      <c r="A29" s="90"/>
      <c r="B29" s="90"/>
      <c r="C29" s="90"/>
      <c r="D29" s="90"/>
      <c r="E29" s="90"/>
      <c r="F29" s="87"/>
      <c r="G29" s="152"/>
      <c r="H29" s="181"/>
      <c r="I29" s="181"/>
      <c r="J29" s="153"/>
      <c r="K29" s="97"/>
      <c r="L29" s="626"/>
      <c r="M29" s="627"/>
      <c r="N29" s="627"/>
      <c r="O29" s="627"/>
      <c r="P29" s="627"/>
      <c r="Q29" s="627"/>
      <c r="R29" s="627"/>
      <c r="S29" s="79"/>
      <c r="T29" s="627"/>
      <c r="U29" s="627"/>
      <c r="V29" s="79"/>
      <c r="W29" s="627"/>
      <c r="X29" s="628"/>
      <c r="Y29" s="210"/>
      <c r="Z29" s="88"/>
      <c r="AA29" s="111"/>
    </row>
    <row r="30" spans="1:27" ht="15.75" thickBot="1">
      <c r="A30" s="90"/>
      <c r="B30" s="90"/>
      <c r="C30" s="90"/>
      <c r="D30" s="90"/>
      <c r="E30" s="90"/>
      <c r="F30" s="90"/>
      <c r="G30" s="117"/>
      <c r="H30" s="117"/>
      <c r="I30" s="117"/>
      <c r="J30" s="117"/>
      <c r="K30" s="87"/>
      <c r="L30" s="626"/>
      <c r="M30" s="627"/>
      <c r="N30" s="627"/>
      <c r="O30" s="627"/>
      <c r="P30" s="627"/>
      <c r="Q30" s="627"/>
      <c r="R30" s="627"/>
      <c r="S30" s="79"/>
      <c r="T30" s="627"/>
      <c r="U30" s="627"/>
      <c r="V30" s="79"/>
      <c r="W30" s="627"/>
      <c r="X30" s="628"/>
      <c r="Y30" s="210"/>
      <c r="Z30" s="88"/>
      <c r="AA30" s="87"/>
    </row>
    <row r="31" spans="1:27" ht="21">
      <c r="A31" s="90"/>
      <c r="B31" s="90"/>
      <c r="C31" s="90"/>
      <c r="D31" s="90"/>
      <c r="E31" s="90"/>
      <c r="F31" s="87"/>
      <c r="G31" s="150"/>
      <c r="H31" s="661" t="s">
        <v>160</v>
      </c>
      <c r="I31" s="662"/>
      <c r="J31" s="663"/>
      <c r="K31" s="97"/>
      <c r="L31" s="626"/>
      <c r="M31" s="627"/>
      <c r="N31" s="627"/>
      <c r="O31" s="627"/>
      <c r="P31" s="627"/>
      <c r="Q31" s="627"/>
      <c r="R31" s="627"/>
      <c r="S31" s="79"/>
      <c r="T31" s="627"/>
      <c r="U31" s="627"/>
      <c r="V31" s="79"/>
      <c r="W31" s="627"/>
      <c r="X31" s="628"/>
      <c r="Y31" s="210"/>
      <c r="Z31" s="88"/>
      <c r="AA31" s="87"/>
    </row>
    <row r="32" spans="1:27" ht="17.25" customHeight="1">
      <c r="A32" s="90"/>
      <c r="B32" s="90"/>
      <c r="C32" s="90"/>
      <c r="D32" s="90"/>
      <c r="E32" s="90"/>
      <c r="F32" s="87"/>
      <c r="G32" s="151"/>
      <c r="H32" s="90"/>
      <c r="I32" s="90"/>
      <c r="J32" s="180"/>
      <c r="K32" s="97"/>
      <c r="L32" s="626"/>
      <c r="M32" s="627"/>
      <c r="N32" s="627"/>
      <c r="O32" s="627"/>
      <c r="P32" s="627"/>
      <c r="Q32" s="627"/>
      <c r="R32" s="627"/>
      <c r="S32" s="79"/>
      <c r="T32" s="627"/>
      <c r="U32" s="627"/>
      <c r="V32" s="79"/>
      <c r="W32" s="627"/>
      <c r="X32" s="628"/>
      <c r="Y32" s="210"/>
      <c r="Z32" s="88"/>
      <c r="AA32" s="87"/>
    </row>
    <row r="33" spans="1:27" ht="31.5" customHeight="1">
      <c r="A33" s="90"/>
      <c r="B33" s="90"/>
      <c r="C33" s="90"/>
      <c r="D33" s="90"/>
      <c r="E33" s="90"/>
      <c r="F33" s="87"/>
      <c r="G33" s="151"/>
      <c r="H33" s="655">
        <f>O38</f>
        <v>0</v>
      </c>
      <c r="I33" s="656"/>
      <c r="J33" s="657"/>
      <c r="K33" s="97"/>
      <c r="L33" s="626"/>
      <c r="M33" s="627"/>
      <c r="N33" s="627"/>
      <c r="O33" s="627"/>
      <c r="P33" s="627"/>
      <c r="Q33" s="627"/>
      <c r="R33" s="627"/>
      <c r="S33" s="79"/>
      <c r="T33" s="627"/>
      <c r="U33" s="627"/>
      <c r="V33" s="79"/>
      <c r="W33" s="627"/>
      <c r="X33" s="628"/>
      <c r="Y33" s="210"/>
      <c r="Z33" s="88"/>
      <c r="AA33" s="208"/>
    </row>
    <row r="34" spans="1:27" ht="18" customHeight="1">
      <c r="A34" s="90"/>
      <c r="B34" s="90"/>
      <c r="C34" s="90"/>
      <c r="D34" s="90"/>
      <c r="E34" s="90"/>
      <c r="F34" s="87"/>
      <c r="G34" s="151"/>
      <c r="H34" s="90"/>
      <c r="I34" s="90"/>
      <c r="J34" s="180"/>
      <c r="K34" s="97"/>
      <c r="L34" s="626"/>
      <c r="M34" s="627"/>
      <c r="N34" s="627"/>
      <c r="O34" s="627"/>
      <c r="P34" s="627"/>
      <c r="Q34" s="627"/>
      <c r="R34" s="627"/>
      <c r="S34" s="79"/>
      <c r="T34" s="627"/>
      <c r="U34" s="627"/>
      <c r="V34" s="79"/>
      <c r="W34" s="627"/>
      <c r="X34" s="628"/>
      <c r="Y34" s="210"/>
      <c r="Z34" s="88"/>
      <c r="AA34" s="87"/>
    </row>
    <row r="35" spans="1:27" ht="15.75" customHeight="1" thickBot="1">
      <c r="A35" s="90"/>
      <c r="B35" s="90"/>
      <c r="C35" s="90"/>
      <c r="D35" s="90"/>
      <c r="E35" s="90"/>
      <c r="F35" s="87"/>
      <c r="G35" s="152"/>
      <c r="H35" s="181"/>
      <c r="I35" s="181"/>
      <c r="J35" s="153"/>
      <c r="K35" s="97"/>
      <c r="L35" s="626"/>
      <c r="M35" s="627"/>
      <c r="N35" s="627"/>
      <c r="O35" s="630"/>
      <c r="P35" s="630"/>
      <c r="Q35" s="630"/>
      <c r="R35" s="630"/>
      <c r="S35" s="177"/>
      <c r="T35" s="630"/>
      <c r="U35" s="630"/>
      <c r="V35" s="177"/>
      <c r="W35" s="630"/>
      <c r="X35" s="631"/>
      <c r="Y35" s="210"/>
      <c r="Z35" s="88"/>
      <c r="AA35" s="111"/>
    </row>
    <row r="36" spans="1:27" ht="21" customHeight="1" thickBot="1">
      <c r="A36" s="90"/>
      <c r="B36" s="90"/>
      <c r="C36" s="90"/>
      <c r="D36" s="90"/>
      <c r="E36" s="90"/>
      <c r="F36" s="90"/>
      <c r="G36" s="117"/>
      <c r="H36" s="117"/>
      <c r="I36" s="117"/>
      <c r="J36" s="117"/>
      <c r="K36" s="87"/>
      <c r="L36" s="626"/>
      <c r="M36" s="627"/>
      <c r="N36" s="628"/>
      <c r="O36" s="632"/>
      <c r="P36" s="632"/>
      <c r="Q36" s="632"/>
      <c r="R36" s="632"/>
      <c r="S36" s="178"/>
      <c r="T36" s="632"/>
      <c r="U36" s="632"/>
      <c r="V36" s="178"/>
      <c r="W36" s="632"/>
      <c r="X36" s="633"/>
      <c r="Y36" s="210"/>
      <c r="Z36" s="88"/>
      <c r="AA36" s="87"/>
    </row>
    <row r="37" spans="1:27" ht="19.5" customHeight="1">
      <c r="A37" s="90"/>
      <c r="B37" s="90"/>
      <c r="C37" s="90"/>
      <c r="D37" s="90"/>
      <c r="E37" s="90"/>
      <c r="F37" s="87"/>
      <c r="G37" s="150"/>
      <c r="H37" s="661" t="s">
        <v>159</v>
      </c>
      <c r="I37" s="662"/>
      <c r="J37" s="663"/>
      <c r="K37" s="97"/>
      <c r="L37" s="626"/>
      <c r="M37" s="627"/>
      <c r="N37" s="628"/>
      <c r="O37" s="632"/>
      <c r="P37" s="632"/>
      <c r="Q37" s="632"/>
      <c r="R37" s="632"/>
      <c r="S37" s="178"/>
      <c r="T37" s="632"/>
      <c r="U37" s="632"/>
      <c r="V37" s="178"/>
      <c r="W37" s="632"/>
      <c r="X37" s="633"/>
      <c r="Y37" s="210"/>
      <c r="Z37" s="88"/>
    </row>
    <row r="38" spans="1:27" ht="14.25" customHeight="1" thickBot="1">
      <c r="A38" s="90"/>
      <c r="B38" s="90"/>
      <c r="C38" s="90"/>
      <c r="D38" s="90"/>
      <c r="E38" s="90"/>
      <c r="F38" s="87"/>
      <c r="G38" s="151"/>
      <c r="H38" s="90"/>
      <c r="I38" s="90"/>
      <c r="J38" s="180"/>
      <c r="K38" s="97"/>
      <c r="L38" s="645" t="s">
        <v>155</v>
      </c>
      <c r="M38" s="646"/>
      <c r="N38" s="647"/>
      <c r="O38" s="634">
        <f>SUM(O29:P37)</f>
        <v>0</v>
      </c>
      <c r="P38" s="634"/>
      <c r="Q38" s="634">
        <f>SUM(Q29:R37)</f>
        <v>0</v>
      </c>
      <c r="R38" s="634"/>
      <c r="S38" s="211">
        <f>SUM(S29:S37)</f>
        <v>0</v>
      </c>
      <c r="T38" s="634">
        <f>SUM(T29:U37)</f>
        <v>0</v>
      </c>
      <c r="U38" s="634"/>
      <c r="V38" s="211">
        <f>SUM(V29:V37)</f>
        <v>0</v>
      </c>
      <c r="W38" s="634">
        <f>SUM(W29:X37)</f>
        <v>0</v>
      </c>
      <c r="X38" s="634"/>
      <c r="Y38" s="212">
        <f>SUM(Y29:Y37)</f>
        <v>0</v>
      </c>
      <c r="Z38" s="88"/>
      <c r="AA38" s="111"/>
    </row>
    <row r="39" spans="1:27" ht="25.5" customHeight="1">
      <c r="A39" s="90"/>
      <c r="B39" s="90"/>
      <c r="C39" s="90"/>
      <c r="D39" s="90"/>
      <c r="E39" s="90"/>
      <c r="F39" s="87"/>
      <c r="G39" s="151"/>
      <c r="H39" s="655">
        <f>S38</f>
        <v>0</v>
      </c>
      <c r="I39" s="656"/>
      <c r="J39" s="657"/>
      <c r="K39" s="97"/>
      <c r="L39" s="640"/>
      <c r="M39" s="648"/>
      <c r="N39" s="649"/>
      <c r="O39" s="640"/>
      <c r="P39" s="641"/>
      <c r="Q39" s="653"/>
      <c r="R39" s="654"/>
      <c r="S39" s="115"/>
      <c r="T39" s="681"/>
      <c r="U39" s="681"/>
      <c r="V39" s="115"/>
      <c r="W39" s="681"/>
      <c r="X39" s="681"/>
      <c r="Y39" s="146"/>
      <c r="Z39" s="90"/>
      <c r="AA39" s="87"/>
    </row>
    <row r="40" spans="1:27" ht="12" customHeight="1">
      <c r="A40" s="90"/>
      <c r="B40" s="90"/>
      <c r="C40" s="90"/>
      <c r="D40" s="90"/>
      <c r="E40" s="90"/>
      <c r="F40" s="87"/>
      <c r="G40" s="151"/>
      <c r="H40" s="90"/>
      <c r="I40" s="90"/>
      <c r="J40" s="180"/>
      <c r="K40" s="97"/>
      <c r="L40" s="650"/>
      <c r="M40" s="651"/>
      <c r="N40" s="652"/>
      <c r="O40" s="642"/>
      <c r="P40" s="639"/>
      <c r="Q40" s="638"/>
      <c r="R40" s="639"/>
      <c r="S40" s="90"/>
      <c r="T40" s="682"/>
      <c r="U40" s="682"/>
      <c r="V40" s="90"/>
      <c r="W40" s="682"/>
      <c r="X40" s="682"/>
      <c r="Y40" s="155"/>
      <c r="Z40" s="90"/>
    </row>
    <row r="41" spans="1:27" ht="9" customHeight="1" thickBot="1">
      <c r="A41" s="90"/>
      <c r="B41" s="90"/>
      <c r="C41" s="90"/>
      <c r="D41" s="90"/>
      <c r="E41" s="90"/>
      <c r="F41" s="87"/>
      <c r="G41" s="152"/>
      <c r="H41" s="181"/>
      <c r="I41" s="181"/>
      <c r="J41" s="153"/>
      <c r="K41" s="97"/>
      <c r="L41" s="650"/>
      <c r="M41" s="651"/>
      <c r="N41" s="652"/>
      <c r="O41" s="643"/>
      <c r="P41" s="644"/>
      <c r="Q41" s="650"/>
      <c r="R41" s="652"/>
      <c r="S41" s="90"/>
      <c r="T41" s="650"/>
      <c r="U41" s="652"/>
      <c r="V41" s="90"/>
      <c r="W41" s="650"/>
      <c r="X41" s="652"/>
      <c r="Y41" s="155"/>
      <c r="Z41" s="90"/>
      <c r="AA41" s="111"/>
    </row>
    <row r="42" spans="1:27" ht="24" thickBot="1">
      <c r="A42" s="90"/>
      <c r="B42" s="90"/>
      <c r="C42" s="90"/>
      <c r="D42" s="90"/>
      <c r="E42" s="90"/>
      <c r="F42" s="90"/>
      <c r="G42" s="117"/>
      <c r="H42" s="117"/>
      <c r="I42" s="117"/>
      <c r="J42" s="117"/>
      <c r="K42" s="87"/>
      <c r="L42" s="635"/>
      <c r="M42" s="636"/>
      <c r="N42" s="637"/>
      <c r="O42" s="653"/>
      <c r="P42" s="654"/>
      <c r="Q42" s="90"/>
      <c r="R42" s="679" t="s">
        <v>217</v>
      </c>
      <c r="S42" s="680"/>
      <c r="T42" s="116"/>
      <c r="U42" s="683"/>
      <c r="V42" s="684"/>
      <c r="W42" s="683"/>
      <c r="X42" s="684"/>
      <c r="Y42" s="155"/>
      <c r="Z42" s="90"/>
      <c r="AA42" s="87"/>
    </row>
    <row r="43" spans="1:27" ht="26.25" customHeight="1">
      <c r="A43" s="90"/>
      <c r="B43" s="90"/>
      <c r="C43" s="90"/>
      <c r="D43" s="90"/>
      <c r="E43" s="90"/>
      <c r="F43" s="87"/>
      <c r="G43" s="150"/>
      <c r="H43" s="686" t="s">
        <v>171</v>
      </c>
      <c r="I43" s="686"/>
      <c r="J43" s="687"/>
      <c r="K43" s="97"/>
      <c r="L43" s="150"/>
      <c r="M43" s="179"/>
      <c r="N43" s="670" t="s">
        <v>161</v>
      </c>
      <c r="O43" s="671"/>
      <c r="P43" s="672"/>
      <c r="Q43" s="151"/>
      <c r="R43" s="327" t="s">
        <v>218</v>
      </c>
      <c r="S43" s="340"/>
      <c r="T43" s="337" t="s">
        <v>221</v>
      </c>
      <c r="U43" s="328"/>
      <c r="V43" s="328"/>
      <c r="W43" s="328"/>
      <c r="X43" s="341"/>
      <c r="Y43" s="334"/>
      <c r="Z43" s="330"/>
      <c r="AA43" s="335"/>
    </row>
    <row r="44" spans="1:27" ht="12" customHeight="1">
      <c r="A44" s="90"/>
      <c r="B44" s="90"/>
      <c r="C44" s="90"/>
      <c r="D44" s="90"/>
      <c r="E44" s="90"/>
      <c r="F44" s="87"/>
      <c r="G44" s="151"/>
      <c r="H44" s="90"/>
      <c r="I44" s="90"/>
      <c r="J44" s="180"/>
      <c r="K44" s="97"/>
      <c r="L44" s="151"/>
      <c r="M44" s="90"/>
      <c r="N44" s="90"/>
      <c r="O44" s="90"/>
      <c r="P44" s="180"/>
      <c r="Q44" s="347"/>
      <c r="R44" s="329"/>
      <c r="S44" s="344"/>
      <c r="T44" s="345"/>
      <c r="U44" s="342"/>
      <c r="V44" s="343"/>
      <c r="W44" s="343"/>
      <c r="X44" s="343"/>
      <c r="Y44" s="349"/>
      <c r="Z44" s="343"/>
      <c r="AA44" s="344"/>
    </row>
    <row r="45" spans="1:27" ht="27" customHeight="1">
      <c r="A45" s="90"/>
      <c r="B45" s="90"/>
      <c r="C45" s="90"/>
      <c r="D45" s="90"/>
      <c r="E45" s="90"/>
      <c r="F45" s="87"/>
      <c r="G45" s="151"/>
      <c r="H45" s="655">
        <f>SUM(V38)</f>
        <v>0</v>
      </c>
      <c r="I45" s="656"/>
      <c r="J45" s="657"/>
      <c r="K45" s="97"/>
      <c r="L45" s="151"/>
      <c r="M45" s="90"/>
      <c r="N45" s="90"/>
      <c r="O45" s="673">
        <f>SUM(Q38,T38,W38)</f>
        <v>0</v>
      </c>
      <c r="P45" s="674"/>
      <c r="Q45" s="151"/>
      <c r="R45" s="328" t="s">
        <v>219</v>
      </c>
      <c r="S45" s="338"/>
      <c r="T45" s="336" t="s">
        <v>222</v>
      </c>
      <c r="U45" s="337"/>
      <c r="V45" s="330"/>
      <c r="W45" s="330"/>
      <c r="X45" s="335"/>
      <c r="Y45" s="348"/>
      <c r="Z45" s="330"/>
      <c r="AA45" s="335"/>
    </row>
    <row r="46" spans="1:27" ht="17.25" customHeight="1">
      <c r="A46" s="90"/>
      <c r="B46" s="90"/>
      <c r="C46" s="90"/>
      <c r="D46" s="90"/>
      <c r="E46" s="90"/>
      <c r="F46" s="87"/>
      <c r="G46" s="151"/>
      <c r="H46" s="90"/>
      <c r="I46" s="90"/>
      <c r="J46" s="180"/>
      <c r="K46" s="97"/>
      <c r="L46" s="151"/>
      <c r="M46" s="90"/>
      <c r="N46" s="90"/>
      <c r="O46" s="675"/>
      <c r="P46" s="676"/>
      <c r="Q46" s="151"/>
      <c r="R46" s="329"/>
      <c r="S46" s="344"/>
      <c r="T46" s="345"/>
      <c r="U46" s="342"/>
      <c r="V46" s="343"/>
      <c r="W46" s="343"/>
      <c r="X46" s="343"/>
      <c r="Y46" s="350"/>
      <c r="Z46" s="343"/>
      <c r="AA46" s="346"/>
    </row>
    <row r="47" spans="1:27" ht="19.5" customHeight="1" thickBot="1">
      <c r="A47" s="90"/>
      <c r="B47" s="90"/>
      <c r="C47" s="90"/>
      <c r="D47" s="90"/>
      <c r="E47" s="90"/>
      <c r="F47" s="87"/>
      <c r="G47" s="152"/>
      <c r="H47" s="181"/>
      <c r="I47" s="181"/>
      <c r="J47" s="153"/>
      <c r="K47" s="97"/>
      <c r="L47" s="152"/>
      <c r="M47" s="181"/>
      <c r="N47" s="181"/>
      <c r="O47" s="181"/>
      <c r="P47" s="153"/>
      <c r="R47" s="336" t="s">
        <v>220</v>
      </c>
      <c r="S47" s="335"/>
      <c r="T47" s="336" t="s">
        <v>223</v>
      </c>
      <c r="U47" s="337"/>
      <c r="V47" s="330"/>
      <c r="W47" s="330"/>
      <c r="X47" s="335"/>
      <c r="Y47" s="351"/>
      <c r="Z47" s="330"/>
      <c r="AA47" s="339"/>
    </row>
    <row r="48" spans="1:27" ht="18.75" customHeight="1">
      <c r="A48" s="90"/>
      <c r="B48" s="90"/>
      <c r="C48" s="90"/>
      <c r="D48" s="90"/>
      <c r="E48" s="98"/>
      <c r="F48" s="111"/>
      <c r="G48" s="115"/>
      <c r="H48" s="117"/>
      <c r="I48" s="117"/>
      <c r="J48" s="115"/>
      <c r="K48" s="86"/>
      <c r="L48" s="179"/>
      <c r="M48" s="179"/>
      <c r="N48" s="179"/>
      <c r="O48" s="179"/>
      <c r="P48" s="95"/>
      <c r="Q48" s="90"/>
      <c r="R48" s="87"/>
      <c r="S48" s="90"/>
      <c r="T48" s="90"/>
      <c r="U48" s="87"/>
      <c r="V48" s="90"/>
      <c r="W48" s="90"/>
      <c r="X48" s="90"/>
      <c r="Y48" s="87"/>
      <c r="Z48" s="90"/>
      <c r="AA48" s="111"/>
    </row>
    <row r="49" spans="1:28" ht="28.5" customHeight="1">
      <c r="A49" s="90"/>
      <c r="B49" s="90"/>
      <c r="C49" s="90"/>
      <c r="D49" s="90"/>
      <c r="E49" s="90"/>
      <c r="F49" s="87"/>
      <c r="G49" s="90"/>
      <c r="H49" s="98"/>
      <c r="I49" s="98"/>
      <c r="J49" s="90"/>
      <c r="K49" s="90"/>
      <c r="L49" s="115"/>
      <c r="M49" s="115"/>
      <c r="N49" s="115"/>
      <c r="O49" s="115"/>
      <c r="P49" s="90"/>
      <c r="Q49" s="90"/>
      <c r="R49" s="87"/>
      <c r="S49" s="90"/>
      <c r="T49" s="90"/>
      <c r="U49" s="87"/>
      <c r="V49" s="90"/>
      <c r="W49" s="90"/>
      <c r="X49" s="90"/>
      <c r="Y49" s="87"/>
      <c r="Z49" s="90"/>
      <c r="AA49" s="111"/>
    </row>
    <row r="50" spans="1:28" ht="16.5" thickBot="1">
      <c r="A50" s="90"/>
      <c r="B50" s="90"/>
      <c r="C50" s="90"/>
      <c r="D50" s="90"/>
      <c r="E50" s="90"/>
      <c r="F50" s="87"/>
      <c r="G50" s="182"/>
      <c r="H50" s="677"/>
      <c r="I50" s="677"/>
      <c r="J50" s="678"/>
      <c r="K50" s="88"/>
      <c r="L50" s="115"/>
      <c r="M50" s="115"/>
      <c r="N50" s="115"/>
      <c r="O50" s="115"/>
      <c r="P50" s="90"/>
      <c r="Q50" s="87"/>
      <c r="R50" s="87"/>
      <c r="S50" s="90"/>
      <c r="T50" s="90"/>
      <c r="U50" s="87"/>
      <c r="V50" s="90"/>
      <c r="W50" s="90"/>
      <c r="X50" s="90"/>
      <c r="Y50" s="87"/>
      <c r="Z50" s="90"/>
      <c r="AA50" s="111"/>
    </row>
    <row r="51" spans="1:28">
      <c r="A51" s="90"/>
      <c r="B51" s="90"/>
      <c r="C51" s="90"/>
      <c r="D51" s="90"/>
      <c r="E51" s="90"/>
      <c r="F51" s="90"/>
      <c r="G51" s="115"/>
      <c r="H51" s="115"/>
      <c r="I51" s="115"/>
      <c r="J51" s="115"/>
      <c r="K51" s="90"/>
      <c r="L51" s="90"/>
      <c r="M51" s="90"/>
      <c r="N51" s="90"/>
      <c r="O51" s="90"/>
      <c r="P51" s="90"/>
      <c r="Q51" s="87"/>
      <c r="R51" s="87"/>
      <c r="S51" s="90"/>
      <c r="T51" s="90"/>
      <c r="U51" s="87"/>
      <c r="V51" s="90"/>
      <c r="W51" s="90"/>
      <c r="X51" s="90"/>
      <c r="Y51" s="87"/>
      <c r="Z51" s="90"/>
    </row>
    <row r="52" spans="1:28" ht="36">
      <c r="A52" s="90"/>
      <c r="B52" s="90"/>
      <c r="C52" s="90"/>
      <c r="D52" s="90"/>
      <c r="E52" s="90"/>
      <c r="F52" s="90"/>
      <c r="G52" s="90"/>
      <c r="H52" s="685"/>
      <c r="I52" s="685"/>
      <c r="J52" s="685"/>
      <c r="K52" s="90"/>
      <c r="L52" s="90"/>
      <c r="M52" s="90"/>
      <c r="N52" s="90"/>
      <c r="O52" s="90"/>
      <c r="P52" s="90"/>
      <c r="Q52" s="87"/>
      <c r="R52" s="87"/>
      <c r="S52" s="90"/>
      <c r="T52" s="90"/>
      <c r="U52" s="87"/>
      <c r="V52" s="90"/>
      <c r="W52" s="90"/>
      <c r="X52" s="90"/>
      <c r="Y52" s="87"/>
      <c r="Z52" s="90"/>
      <c r="AA52" s="111"/>
    </row>
    <row r="53" spans="1:28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87"/>
      <c r="R53" s="87"/>
      <c r="S53" s="90"/>
      <c r="T53" s="90"/>
      <c r="U53" s="87"/>
      <c r="V53" s="90"/>
      <c r="W53" s="90"/>
      <c r="X53" s="90"/>
      <c r="Y53" s="87"/>
      <c r="Z53" s="90"/>
      <c r="AA53" s="111"/>
    </row>
    <row r="54" spans="1:28" ht="3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87"/>
      <c r="R54" s="87"/>
      <c r="S54" s="90"/>
      <c r="T54" s="90"/>
      <c r="U54" s="87"/>
      <c r="V54" s="90"/>
      <c r="W54" s="90"/>
      <c r="X54" s="90"/>
      <c r="Y54" s="87"/>
      <c r="Z54" s="90"/>
      <c r="AA54" s="111"/>
    </row>
    <row r="55" spans="1:28" ht="5.2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87"/>
      <c r="R55" s="87"/>
      <c r="S55" s="90"/>
      <c r="T55" s="90"/>
      <c r="U55" s="87"/>
      <c r="V55" s="90"/>
      <c r="W55" s="90"/>
      <c r="X55" s="667"/>
      <c r="Y55" s="668"/>
      <c r="Z55" s="668"/>
      <c r="AA55" s="668"/>
      <c r="AB55" s="669"/>
    </row>
    <row r="56" spans="1:28" ht="23.25" hidden="1">
      <c r="A56" s="90"/>
      <c r="B56" s="90"/>
      <c r="C56" s="90"/>
      <c r="D56" s="90"/>
      <c r="E56" s="115"/>
      <c r="F56" s="115"/>
      <c r="G56" s="115"/>
      <c r="H56" s="115"/>
      <c r="I56" s="115"/>
      <c r="J56" s="115"/>
      <c r="K56" s="115"/>
      <c r="L56" s="90"/>
      <c r="M56" s="90"/>
      <c r="N56" s="90"/>
      <c r="O56" s="90"/>
      <c r="P56" s="90"/>
      <c r="Q56" s="87"/>
      <c r="R56" s="87"/>
      <c r="S56" s="90"/>
      <c r="T56" s="90"/>
      <c r="U56" s="87"/>
      <c r="V56" s="90"/>
      <c r="W56" s="90"/>
      <c r="X56" s="331"/>
      <c r="Y56" s="332"/>
      <c r="Z56" s="90"/>
      <c r="AA56" s="90"/>
      <c r="AB56" s="87"/>
    </row>
    <row r="57" spans="1:28" ht="23.25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87"/>
      <c r="R57" s="87"/>
      <c r="S57" s="90"/>
      <c r="T57" s="90"/>
      <c r="U57" s="87"/>
      <c r="V57" s="90"/>
      <c r="W57" s="90"/>
      <c r="X57" s="333"/>
      <c r="Y57" s="332"/>
      <c r="Z57" s="90"/>
      <c r="AA57" s="90"/>
      <c r="AB57" s="87"/>
    </row>
    <row r="58" spans="1:28" ht="23.25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87"/>
      <c r="R58" s="87"/>
      <c r="S58" s="90"/>
      <c r="T58" s="90"/>
      <c r="U58" s="87"/>
      <c r="V58" s="90"/>
      <c r="W58" s="90"/>
      <c r="X58" s="331"/>
      <c r="Y58" s="332"/>
      <c r="Z58" s="90"/>
      <c r="AA58" s="90"/>
      <c r="AB58" s="87"/>
    </row>
    <row r="59" spans="1:28" ht="23.25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87"/>
      <c r="R59" s="87"/>
      <c r="S59" s="90"/>
      <c r="T59" s="90"/>
      <c r="U59" s="87"/>
      <c r="V59" s="90"/>
      <c r="W59" s="90"/>
      <c r="X59" s="333"/>
      <c r="Y59" s="332"/>
      <c r="Z59" s="90"/>
      <c r="AA59" s="90"/>
      <c r="AB59" s="87"/>
    </row>
    <row r="60" spans="1:28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87"/>
      <c r="R60" s="87"/>
      <c r="S60" s="90"/>
      <c r="T60" s="90"/>
      <c r="U60" s="87"/>
      <c r="V60" s="90"/>
      <c r="W60" s="90"/>
      <c r="X60" s="90"/>
      <c r="Y60" s="87"/>
      <c r="Z60" s="90"/>
      <c r="AA60" s="111"/>
    </row>
    <row r="61" spans="1:28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87"/>
      <c r="R61" s="87"/>
      <c r="X61" s="90"/>
      <c r="Y61" s="87"/>
      <c r="Z61" s="90"/>
    </row>
    <row r="62" spans="1:28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87"/>
      <c r="R62" s="87"/>
      <c r="X62" s="90"/>
      <c r="Y62" s="87"/>
      <c r="Z62" s="90"/>
    </row>
    <row r="63" spans="1:28" ht="23.2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87"/>
      <c r="R63" s="87"/>
      <c r="U63" s="667"/>
      <c r="V63" s="668"/>
      <c r="W63" s="668"/>
      <c r="X63" s="668"/>
      <c r="Y63" s="669"/>
      <c r="Z63" s="90"/>
    </row>
    <row r="64" spans="1:28" ht="23.25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87"/>
      <c r="R64" s="87"/>
      <c r="U64" s="331"/>
      <c r="V64" s="332"/>
      <c r="W64" s="90"/>
      <c r="X64" s="90"/>
      <c r="Y64" s="87"/>
      <c r="Z64" s="90"/>
    </row>
    <row r="65" spans="1:26" ht="23.2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87"/>
      <c r="R65" s="87"/>
      <c r="U65" s="333"/>
      <c r="V65" s="332"/>
      <c r="W65" s="90"/>
      <c r="X65" s="90"/>
      <c r="Y65" s="87"/>
      <c r="Z65" s="90"/>
    </row>
    <row r="66" spans="1:26" ht="23.25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87"/>
      <c r="R66" s="87"/>
      <c r="U66" s="331"/>
      <c r="V66" s="332"/>
      <c r="W66" s="90"/>
      <c r="X66" s="90"/>
      <c r="Y66" s="87"/>
      <c r="Z66" s="90"/>
    </row>
    <row r="67" spans="1:26" ht="23.25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87"/>
      <c r="R67" s="87"/>
      <c r="S67" s="90"/>
      <c r="T67" s="90"/>
      <c r="U67" s="333"/>
      <c r="V67" s="332"/>
      <c r="W67" s="90"/>
      <c r="X67" s="90"/>
      <c r="Y67" s="87"/>
      <c r="Z67" s="90"/>
    </row>
    <row r="68" spans="1:26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87"/>
      <c r="R68" s="87"/>
      <c r="S68" s="90"/>
      <c r="T68" s="90"/>
      <c r="U68" s="87"/>
      <c r="V68" s="90"/>
      <c r="W68" s="90"/>
      <c r="X68" s="90"/>
      <c r="Y68" s="87"/>
      <c r="Z68" s="90"/>
    </row>
    <row r="69" spans="1:26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87"/>
      <c r="R69" s="87"/>
      <c r="S69" s="90"/>
      <c r="T69" s="90"/>
      <c r="U69" s="87"/>
      <c r="V69" s="90"/>
      <c r="W69" s="90"/>
      <c r="X69" s="90"/>
      <c r="Y69" s="87"/>
      <c r="Z69" s="90"/>
    </row>
    <row r="70" spans="1:26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87"/>
      <c r="R70" s="87"/>
      <c r="S70" s="90"/>
      <c r="T70" s="90"/>
      <c r="U70" s="87"/>
      <c r="V70" s="90"/>
      <c r="W70" s="90"/>
      <c r="X70" s="90"/>
      <c r="Y70" s="87"/>
      <c r="Z70" s="90"/>
    </row>
    <row r="71" spans="1:26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87"/>
      <c r="R71" s="87"/>
      <c r="S71" s="90"/>
      <c r="T71" s="90"/>
      <c r="U71" s="87"/>
      <c r="V71" s="90"/>
      <c r="W71" s="90"/>
      <c r="X71" s="90"/>
      <c r="Y71" s="87"/>
      <c r="Z71" s="90"/>
    </row>
    <row r="72" spans="1:26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87"/>
      <c r="R72" s="87"/>
      <c r="S72" s="90"/>
      <c r="T72" s="90"/>
      <c r="U72" s="87"/>
      <c r="V72" s="90"/>
      <c r="W72" s="90"/>
      <c r="X72" s="90"/>
      <c r="Y72" s="87"/>
      <c r="Z72" s="90"/>
    </row>
    <row r="73" spans="1:26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87"/>
      <c r="R73" s="87"/>
      <c r="S73" s="90"/>
      <c r="T73" s="90"/>
      <c r="U73" s="87"/>
      <c r="V73" s="90"/>
      <c r="W73" s="90"/>
      <c r="X73" s="90"/>
      <c r="Y73" s="87"/>
      <c r="Z73" s="90"/>
    </row>
    <row r="74" spans="1:26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87"/>
      <c r="R74" s="87"/>
      <c r="S74" s="90"/>
      <c r="T74" s="90"/>
      <c r="U74" s="87"/>
      <c r="V74" s="90"/>
      <c r="W74" s="90"/>
      <c r="X74" s="90"/>
      <c r="Y74" s="87"/>
      <c r="Z74" s="90"/>
    </row>
    <row r="75" spans="1:26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R75" s="87"/>
      <c r="S75" s="90"/>
      <c r="T75" s="90"/>
      <c r="U75" s="87"/>
      <c r="V75" s="90"/>
      <c r="W75" s="90"/>
      <c r="X75" s="90"/>
      <c r="Y75" s="87"/>
      <c r="Z75" s="90"/>
    </row>
    <row r="76" spans="1:2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87"/>
      <c r="R76" s="87"/>
      <c r="S76" s="90"/>
      <c r="T76" s="90"/>
      <c r="U76" s="87"/>
      <c r="V76" s="90"/>
      <c r="W76" s="90"/>
      <c r="X76" s="90"/>
      <c r="Y76" s="87"/>
      <c r="Z76" s="90"/>
    </row>
    <row r="77" spans="1:26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87"/>
      <c r="R77" s="87"/>
      <c r="S77" s="90"/>
      <c r="T77" s="90"/>
      <c r="U77" s="87"/>
      <c r="V77" s="90"/>
      <c r="W77" s="90"/>
      <c r="X77" s="90"/>
      <c r="Y77" s="87"/>
      <c r="Z77" s="90"/>
    </row>
    <row r="78" spans="1:26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87"/>
      <c r="R78" s="87"/>
      <c r="S78" s="90"/>
      <c r="T78" s="90"/>
      <c r="U78" s="87"/>
      <c r="V78" s="90"/>
      <c r="W78" s="90"/>
      <c r="X78" s="90"/>
      <c r="Y78" s="87"/>
      <c r="Z78" s="90"/>
    </row>
    <row r="79" spans="1:26">
      <c r="R79" s="87"/>
      <c r="S79" s="90"/>
      <c r="T79" s="90"/>
      <c r="U79" s="87"/>
      <c r="V79" s="90"/>
      <c r="W79" s="90"/>
      <c r="X79" s="90"/>
      <c r="Y79" s="87"/>
      <c r="Z79" s="90"/>
    </row>
    <row r="80" spans="1:26">
      <c r="V80" s="90"/>
      <c r="W80" s="90"/>
      <c r="X80" s="90"/>
      <c r="Y80" s="87"/>
      <c r="Z80" s="90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9" priority="10">
      <formula>SEARCH("No actualizado",$C8)&gt;0</formula>
    </cfRule>
    <cfRule type="expression" dxfId="38" priority="11">
      <formula>SEARCH("Actualizado",$C8)&gt;0</formula>
    </cfRule>
    <cfRule type="expression" dxfId="37" priority="12">
      <formula>SEARCH("Pendiente Actualizar",$C8)&gt;0</formula>
    </cfRule>
  </conditionalFormatting>
  <conditionalFormatting sqref="E19:E23">
    <cfRule type="expression" dxfId="36" priority="1">
      <formula>SEARCH("No monitoreado",$D19)&gt;0</formula>
    </cfRule>
    <cfRule type="expression" dxfId="35" priority="2">
      <formula>SEARCH("Monitoreo pendiente",$D19)&gt;0</formula>
    </cfRule>
    <cfRule type="expression" dxfId="34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90" t="s">
        <v>172</v>
      </c>
      <c r="C2" s="690"/>
      <c r="D2" s="690"/>
      <c r="E2" s="690"/>
      <c r="F2" s="690"/>
    </row>
    <row r="3" spans="1:6">
      <c r="B3" s="691" t="s">
        <v>173</v>
      </c>
      <c r="C3" s="691"/>
      <c r="D3" s="691"/>
      <c r="E3" s="691"/>
      <c r="F3" s="691"/>
    </row>
    <row r="4" spans="1:6">
      <c r="B4" s="81" t="s">
        <v>174</v>
      </c>
      <c r="C4" s="81" t="s">
        <v>175</v>
      </c>
      <c r="D4" s="81" t="s">
        <v>176</v>
      </c>
      <c r="E4" s="81" t="s">
        <v>177</v>
      </c>
      <c r="F4" s="81" t="s">
        <v>178</v>
      </c>
    </row>
    <row r="5" spans="1:6">
      <c r="A5" s="176"/>
      <c r="B5" s="81">
        <v>1</v>
      </c>
      <c r="C5" s="81">
        <v>2</v>
      </c>
      <c r="D5" s="81">
        <v>3</v>
      </c>
      <c r="E5" s="81">
        <v>4</v>
      </c>
      <c r="F5" s="81">
        <v>5</v>
      </c>
    </row>
    <row r="6" spans="1:6">
      <c r="A6" s="81">
        <v>5</v>
      </c>
      <c r="B6" s="183">
        <v>0</v>
      </c>
      <c r="C6" s="183">
        <v>0</v>
      </c>
      <c r="D6" s="184">
        <v>2</v>
      </c>
      <c r="E6" s="184">
        <v>0</v>
      </c>
      <c r="F6" s="184">
        <v>0</v>
      </c>
    </row>
    <row r="7" spans="1:6">
      <c r="A7" s="81">
        <v>4</v>
      </c>
      <c r="B7" s="185">
        <v>2</v>
      </c>
      <c r="C7" s="183">
        <v>12</v>
      </c>
      <c r="D7" s="183">
        <v>22</v>
      </c>
      <c r="E7" s="184">
        <v>19</v>
      </c>
      <c r="F7" s="184">
        <v>0</v>
      </c>
    </row>
    <row r="8" spans="1:6">
      <c r="A8" s="81">
        <v>3</v>
      </c>
      <c r="B8" s="186">
        <v>3</v>
      </c>
      <c r="C8" s="185">
        <v>32</v>
      </c>
      <c r="D8" s="183">
        <v>86</v>
      </c>
      <c r="E8" s="184">
        <v>48</v>
      </c>
      <c r="F8" s="184">
        <v>2</v>
      </c>
    </row>
    <row r="9" spans="1:6">
      <c r="A9" s="81">
        <v>2</v>
      </c>
      <c r="B9" s="186">
        <v>12</v>
      </c>
      <c r="C9" s="186">
        <v>58</v>
      </c>
      <c r="D9" s="185">
        <v>70</v>
      </c>
      <c r="E9" s="183">
        <v>31</v>
      </c>
      <c r="F9" s="184">
        <v>11</v>
      </c>
    </row>
    <row r="10" spans="1:6">
      <c r="A10" s="81">
        <v>1</v>
      </c>
      <c r="B10" s="186">
        <v>35</v>
      </c>
      <c r="C10" s="186">
        <v>19</v>
      </c>
      <c r="D10" s="185">
        <v>25</v>
      </c>
      <c r="E10" s="183">
        <v>21</v>
      </c>
      <c r="F10" s="183">
        <v>16</v>
      </c>
    </row>
    <row r="14" spans="1:6" ht="15.75">
      <c r="C14" s="242" t="s">
        <v>179</v>
      </c>
      <c r="D14" s="242" t="s">
        <v>173</v>
      </c>
      <c r="E14" s="243" t="s">
        <v>155</v>
      </c>
    </row>
    <row r="15" spans="1:6">
      <c r="C15" s="81"/>
      <c r="D15" s="81"/>
      <c r="E15" s="2"/>
    </row>
    <row r="16" spans="1:6">
      <c r="C16" s="81"/>
      <c r="D16" s="81"/>
      <c r="E16" s="2"/>
    </row>
    <row r="17" spans="3:8">
      <c r="C17" s="81"/>
      <c r="D17" s="81"/>
      <c r="E17" s="2"/>
    </row>
    <row r="18" spans="3:8">
      <c r="C18" s="81"/>
      <c r="D18" s="81"/>
      <c r="E18" s="2"/>
    </row>
    <row r="19" spans="3:8">
      <c r="C19" s="81"/>
      <c r="D19" s="81"/>
      <c r="E19" s="2"/>
    </row>
    <row r="20" spans="3:8">
      <c r="C20" s="81"/>
      <c r="D20" s="81"/>
      <c r="E20" s="2"/>
    </row>
    <row r="21" spans="3:8">
      <c r="C21" s="81"/>
      <c r="D21" s="81"/>
      <c r="E21" s="2"/>
    </row>
    <row r="22" spans="3:8">
      <c r="C22" s="81"/>
      <c r="D22" s="81"/>
      <c r="E22" s="2"/>
    </row>
    <row r="23" spans="3:8">
      <c r="C23" s="81"/>
      <c r="D23" s="81"/>
      <c r="E23" s="2"/>
    </row>
    <row r="24" spans="3:8">
      <c r="C24" s="81"/>
      <c r="D24" s="81"/>
      <c r="E24" s="2"/>
    </row>
    <row r="25" spans="3:8">
      <c r="C25" s="81"/>
      <c r="D25" s="81"/>
      <c r="E25" s="2"/>
    </row>
    <row r="26" spans="3:8">
      <c r="C26" s="81"/>
      <c r="D26" s="81"/>
      <c r="E26" s="2"/>
      <c r="G26" s="688" t="s">
        <v>179</v>
      </c>
      <c r="H26" s="689">
        <v>5</v>
      </c>
    </row>
    <row r="27" spans="3:8">
      <c r="C27" s="81"/>
      <c r="D27" s="81"/>
      <c r="E27" s="2"/>
      <c r="G27" s="688"/>
      <c r="H27" s="689"/>
    </row>
    <row r="28" spans="3:8">
      <c r="C28" s="81"/>
      <c r="D28" s="81"/>
      <c r="E28" s="2"/>
      <c r="G28" s="688"/>
      <c r="H28" s="689"/>
    </row>
    <row r="29" spans="3:8">
      <c r="C29" s="81"/>
      <c r="D29" s="81"/>
      <c r="E29" s="2"/>
      <c r="G29" s="688"/>
      <c r="H29" s="689"/>
    </row>
    <row r="30" spans="3:8">
      <c r="C30" s="81"/>
      <c r="D30" s="81"/>
      <c r="E30" s="2"/>
      <c r="G30" s="688"/>
      <c r="H30" s="689"/>
    </row>
    <row r="31" spans="3:8">
      <c r="C31" s="81"/>
      <c r="D31" s="81"/>
      <c r="E31" s="2"/>
      <c r="G31" s="688"/>
      <c r="H31" s="689">
        <v>4</v>
      </c>
    </row>
    <row r="32" spans="3:8">
      <c r="C32" s="81"/>
      <c r="D32" s="81"/>
      <c r="E32" s="2"/>
      <c r="G32" s="688"/>
      <c r="H32" s="689"/>
    </row>
    <row r="33" spans="3:8">
      <c r="C33" s="81"/>
      <c r="D33" s="81"/>
      <c r="E33" s="2"/>
      <c r="G33" s="688"/>
      <c r="H33" s="689"/>
    </row>
    <row r="34" spans="3:8">
      <c r="C34" s="81"/>
      <c r="D34" s="81"/>
      <c r="E34" s="2"/>
      <c r="G34" s="688"/>
      <c r="H34" s="689"/>
    </row>
    <row r="35" spans="3:8">
      <c r="C35" s="81"/>
      <c r="D35" s="81"/>
      <c r="E35" s="2"/>
      <c r="G35" s="688"/>
      <c r="H35" s="689"/>
    </row>
    <row r="36" spans="3:8">
      <c r="C36" s="81"/>
      <c r="D36" s="81"/>
      <c r="E36" s="2"/>
      <c r="G36" s="688"/>
      <c r="H36" s="689">
        <v>3</v>
      </c>
    </row>
    <row r="37" spans="3:8">
      <c r="C37" s="81"/>
      <c r="D37" s="81"/>
      <c r="E37" s="2"/>
      <c r="G37" s="688"/>
      <c r="H37" s="689"/>
    </row>
    <row r="38" spans="3:8">
      <c r="C38" s="81"/>
      <c r="D38" s="81"/>
      <c r="E38" s="2"/>
      <c r="G38" s="688"/>
      <c r="H38" s="689"/>
    </row>
    <row r="39" spans="3:8">
      <c r="C39" s="81"/>
      <c r="D39" s="81"/>
      <c r="E39" s="2"/>
      <c r="G39" s="688"/>
      <c r="H39" s="689"/>
    </row>
    <row r="40" spans="3:8">
      <c r="G40" s="688"/>
      <c r="H40" s="689"/>
    </row>
    <row r="41" spans="3:8">
      <c r="G41" s="688"/>
      <c r="H41" s="689">
        <v>2</v>
      </c>
    </row>
    <row r="42" spans="3:8">
      <c r="G42" s="688"/>
      <c r="H42" s="689"/>
    </row>
    <row r="43" spans="3:8">
      <c r="G43" s="688"/>
      <c r="H43" s="689"/>
    </row>
    <row r="44" spans="3:8">
      <c r="G44" s="688"/>
      <c r="H44" s="689"/>
    </row>
    <row r="45" spans="3:8">
      <c r="G45" s="688"/>
      <c r="H45" s="689"/>
    </row>
    <row r="46" spans="3:8">
      <c r="G46" s="688"/>
      <c r="H46" s="689">
        <v>1</v>
      </c>
    </row>
    <row r="47" spans="3:8">
      <c r="G47" s="688"/>
      <c r="H47" s="689"/>
    </row>
    <row r="48" spans="3:8">
      <c r="G48" s="688"/>
      <c r="H48" s="689"/>
    </row>
    <row r="49" spans="7:10">
      <c r="G49" s="688"/>
      <c r="H49" s="689"/>
    </row>
    <row r="50" spans="7:10">
      <c r="G50" s="688"/>
      <c r="H50" s="689"/>
    </row>
    <row r="55" spans="7:10">
      <c r="H55" s="187"/>
      <c r="I55" s="689"/>
      <c r="J55" s="688"/>
    </row>
    <row r="56" spans="7:10">
      <c r="H56" s="187"/>
      <c r="I56" s="689"/>
      <c r="J56" s="688"/>
    </row>
    <row r="57" spans="7:10">
      <c r="H57" s="187"/>
      <c r="I57" s="689"/>
      <c r="J57" s="688"/>
    </row>
    <row r="58" spans="7:10">
      <c r="H58" s="187"/>
      <c r="I58" s="689"/>
      <c r="J58" s="688"/>
    </row>
    <row r="59" spans="7:10">
      <c r="H59" s="187"/>
      <c r="I59" s="689"/>
      <c r="J59" s="688"/>
    </row>
    <row r="60" spans="7:10">
      <c r="H60" s="187"/>
      <c r="I60" s="689"/>
      <c r="J60" s="688"/>
    </row>
    <row r="61" spans="7:10">
      <c r="H61" s="187"/>
      <c r="I61" s="689"/>
      <c r="J61" s="688"/>
    </row>
    <row r="62" spans="7:10">
      <c r="H62" s="187"/>
      <c r="I62" s="689"/>
      <c r="J62" s="688"/>
    </row>
    <row r="63" spans="7:10">
      <c r="H63" s="187"/>
      <c r="I63" s="689"/>
      <c r="J63" s="688"/>
    </row>
    <row r="64" spans="7:10">
      <c r="H64" s="187"/>
      <c r="I64" s="689"/>
      <c r="J64" s="688"/>
    </row>
    <row r="65" spans="8:11">
      <c r="H65" s="187"/>
      <c r="I65" s="689"/>
      <c r="J65" s="688"/>
    </row>
    <row r="66" spans="8:11">
      <c r="H66" s="187"/>
      <c r="I66" s="689"/>
      <c r="J66" s="688"/>
    </row>
    <row r="67" spans="8:11">
      <c r="H67" s="187"/>
      <c r="I67" s="689"/>
      <c r="J67" s="688"/>
    </row>
    <row r="68" spans="8:11">
      <c r="H68" s="187"/>
      <c r="I68" s="689"/>
      <c r="J68" s="688"/>
    </row>
    <row r="69" spans="8:11">
      <c r="H69" s="187"/>
      <c r="I69" s="689"/>
      <c r="J69" s="688"/>
    </row>
    <row r="70" spans="8:11">
      <c r="H70" s="187"/>
      <c r="I70" s="689"/>
      <c r="J70" s="688"/>
      <c r="K70" s="688" t="s">
        <v>180</v>
      </c>
    </row>
    <row r="71" spans="8:11">
      <c r="H71" s="187"/>
      <c r="I71" s="689"/>
      <c r="J71" s="688"/>
      <c r="K71" s="688"/>
    </row>
    <row r="72" spans="8:11">
      <c r="H72" s="187"/>
      <c r="I72" s="689"/>
      <c r="J72" s="688"/>
      <c r="K72" s="688"/>
    </row>
    <row r="73" spans="8:11">
      <c r="H73" s="187"/>
      <c r="I73" s="689"/>
      <c r="J73" s="688"/>
      <c r="K73" s="688"/>
    </row>
    <row r="74" spans="8:11">
      <c r="H74" s="187"/>
      <c r="I74" s="689"/>
      <c r="J74" s="688"/>
      <c r="K74" s="688"/>
    </row>
    <row r="75" spans="8:11">
      <c r="H75" s="187"/>
      <c r="I75" s="689"/>
      <c r="J75" s="688"/>
      <c r="K75" s="688"/>
    </row>
    <row r="76" spans="8:11">
      <c r="H76" s="187"/>
      <c r="I76" s="689"/>
      <c r="J76" s="688"/>
      <c r="K76" s="688"/>
    </row>
    <row r="77" spans="8:11">
      <c r="H77" s="187"/>
      <c r="I77" s="689"/>
      <c r="J77" s="688"/>
      <c r="K77" s="688"/>
    </row>
    <row r="78" spans="8:11">
      <c r="H78" s="187"/>
      <c r="I78" s="689"/>
      <c r="J78" s="688"/>
      <c r="K78" s="688"/>
    </row>
    <row r="79" spans="8:11">
      <c r="H79" s="187"/>
      <c r="I79" s="689"/>
      <c r="J79" s="688"/>
      <c r="K79" s="688"/>
    </row>
    <row r="80" spans="8:11">
      <c r="K80" s="688"/>
    </row>
    <row r="81" spans="11:11">
      <c r="K81" s="688"/>
    </row>
    <row r="82" spans="11:11">
      <c r="K82" s="688"/>
    </row>
    <row r="83" spans="11:11">
      <c r="K83" s="688"/>
    </row>
    <row r="84" spans="11:11">
      <c r="K84" s="688"/>
    </row>
    <row r="85" spans="11:11">
      <c r="K85" s="688"/>
    </row>
    <row r="86" spans="11:11">
      <c r="K86" s="688"/>
    </row>
    <row r="87" spans="11:11">
      <c r="K87" s="688"/>
    </row>
    <row r="88" spans="11:11">
      <c r="K88" s="688"/>
    </row>
    <row r="89" spans="11:11">
      <c r="K89" s="688"/>
    </row>
    <row r="90" spans="11:11">
      <c r="K90" s="688"/>
    </row>
    <row r="91" spans="11:11">
      <c r="K91" s="688"/>
    </row>
    <row r="92" spans="11:11">
      <c r="K92" s="688"/>
    </row>
    <row r="93" spans="11:11">
      <c r="K93" s="688"/>
    </row>
    <row r="94" spans="11:11">
      <c r="K94" s="688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opLeftCell="A9" zoomScale="55" zoomScaleNormal="55" workbookViewId="0">
      <selection activeCell="H29" sqref="H29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0"/>
      <c r="B1" s="696" t="s">
        <v>188</v>
      </c>
      <c r="C1" s="697"/>
      <c r="D1" s="697"/>
      <c r="E1" s="697"/>
      <c r="F1" s="697"/>
      <c r="G1" s="697"/>
      <c r="H1" s="697"/>
      <c r="I1" s="697"/>
      <c r="J1" s="697"/>
      <c r="K1" s="697"/>
      <c r="L1" s="697"/>
      <c r="M1" s="697"/>
      <c r="N1" s="697"/>
      <c r="O1" s="697"/>
      <c r="P1" s="698"/>
      <c r="Q1" s="90"/>
      <c r="R1" s="90"/>
      <c r="S1" s="90"/>
      <c r="T1" s="90"/>
      <c r="U1" s="90"/>
    </row>
    <row r="2" spans="1:21" ht="18.75" customHeight="1">
      <c r="A2" s="90"/>
      <c r="B2" s="692" t="s">
        <v>189</v>
      </c>
      <c r="C2" s="693"/>
      <c r="D2" s="693"/>
      <c r="E2" s="693"/>
      <c r="F2" s="693"/>
      <c r="G2" s="694" t="s">
        <v>234</v>
      </c>
      <c r="H2" s="694"/>
      <c r="I2" s="694"/>
      <c r="J2" s="694"/>
      <c r="K2" s="694"/>
      <c r="L2" s="694"/>
      <c r="M2" s="694"/>
      <c r="N2" s="694"/>
      <c r="O2" s="694"/>
      <c r="P2" s="695"/>
      <c r="Q2" s="90"/>
      <c r="R2" s="90"/>
      <c r="S2" s="90"/>
      <c r="T2" s="90"/>
      <c r="U2" s="90"/>
    </row>
    <row r="3" spans="1:21" ht="6" customHeight="1">
      <c r="A3" s="90"/>
      <c r="B3" s="223"/>
      <c r="C3" s="227"/>
      <c r="D3" s="226"/>
      <c r="E3" s="227"/>
      <c r="F3" s="226"/>
      <c r="G3" s="226"/>
      <c r="H3" s="226"/>
      <c r="I3" s="227"/>
      <c r="J3" s="228"/>
      <c r="K3" s="225"/>
      <c r="L3" s="223"/>
      <c r="M3" s="223"/>
      <c r="N3" s="223"/>
      <c r="O3" s="223"/>
      <c r="P3" s="224"/>
      <c r="Q3" s="90"/>
      <c r="R3" s="90"/>
      <c r="S3" s="90"/>
      <c r="T3" s="90"/>
      <c r="U3" s="90"/>
    </row>
    <row r="4" spans="1:21" ht="27.75" customHeight="1">
      <c r="A4" s="90"/>
      <c r="B4" s="111"/>
      <c r="C4" s="98"/>
      <c r="D4" s="98"/>
      <c r="E4" s="91"/>
      <c r="F4" s="91"/>
      <c r="G4" s="91"/>
      <c r="H4" s="88"/>
      <c r="I4" s="96"/>
      <c r="J4" s="229"/>
      <c r="K4" s="711" t="s">
        <v>230</v>
      </c>
      <c r="L4" s="711"/>
      <c r="M4" s="711"/>
      <c r="N4" s="711"/>
      <c r="O4" s="711"/>
      <c r="P4" s="711"/>
      <c r="Q4" s="90"/>
      <c r="R4" s="90"/>
      <c r="S4" s="90"/>
      <c r="T4" s="90"/>
      <c r="U4" s="90"/>
    </row>
    <row r="5" spans="1:21" ht="36" customHeight="1" thickBot="1">
      <c r="A5" s="90"/>
      <c r="B5" s="111"/>
      <c r="H5" s="87"/>
      <c r="I5" s="90"/>
      <c r="J5" s="230"/>
      <c r="K5" s="707" t="s">
        <v>191</v>
      </c>
      <c r="L5" s="707"/>
      <c r="M5" s="707" t="s">
        <v>194</v>
      </c>
      <c r="N5" s="707"/>
      <c r="O5" s="707" t="s">
        <v>195</v>
      </c>
      <c r="P5" s="707"/>
      <c r="Q5" s="88"/>
      <c r="R5" s="90"/>
      <c r="S5" s="90"/>
      <c r="T5" s="90"/>
      <c r="U5" s="90"/>
    </row>
    <row r="6" spans="1:21" ht="58.5" customHeight="1">
      <c r="A6" s="90"/>
      <c r="B6" s="87"/>
      <c r="H6" s="87"/>
      <c r="I6" s="90"/>
      <c r="J6" s="87"/>
      <c r="K6" s="722"/>
      <c r="L6" s="703"/>
      <c r="M6" s="702"/>
      <c r="N6" s="703"/>
      <c r="O6" s="702"/>
      <c r="P6" s="708"/>
      <c r="Q6" s="88"/>
      <c r="R6" s="90"/>
      <c r="S6" s="90"/>
      <c r="T6" s="90"/>
      <c r="U6" s="90"/>
    </row>
    <row r="7" spans="1:21" ht="50.25" customHeight="1">
      <c r="A7" s="90"/>
      <c r="C7" s="90"/>
      <c r="D7" s="90"/>
      <c r="E7" s="709"/>
      <c r="F7" s="710"/>
      <c r="G7" s="710"/>
      <c r="H7" s="710"/>
      <c r="I7" s="90"/>
      <c r="J7" s="111"/>
      <c r="K7" s="712"/>
      <c r="L7" s="705"/>
      <c r="M7" s="704"/>
      <c r="N7" s="705"/>
      <c r="O7" s="704"/>
      <c r="P7" s="706"/>
      <c r="Q7" s="88"/>
      <c r="R7" s="90"/>
      <c r="S7" s="90"/>
      <c r="T7" s="90"/>
      <c r="U7" s="90"/>
    </row>
    <row r="8" spans="1:21" ht="50.25" customHeight="1">
      <c r="A8" s="87"/>
      <c r="B8" s="90"/>
      <c r="C8" s="90"/>
      <c r="D8" s="90"/>
      <c r="I8" s="90"/>
      <c r="J8" s="87"/>
      <c r="K8" s="712"/>
      <c r="L8" s="705"/>
      <c r="M8" s="704"/>
      <c r="N8" s="705"/>
      <c r="O8" s="704"/>
      <c r="P8" s="706"/>
      <c r="Q8" s="88"/>
      <c r="R8" s="90"/>
      <c r="S8" s="90"/>
      <c r="T8" s="90"/>
      <c r="U8" s="90"/>
    </row>
    <row r="9" spans="1:21" ht="55.5" customHeight="1">
      <c r="A9" s="87"/>
      <c r="B9" s="90"/>
      <c r="C9" s="90"/>
      <c r="D9" s="90"/>
      <c r="I9" s="90"/>
      <c r="J9" s="111"/>
      <c r="K9" s="712"/>
      <c r="L9" s="705"/>
      <c r="M9" s="704"/>
      <c r="N9" s="705"/>
      <c r="O9" s="704"/>
      <c r="P9" s="706"/>
      <c r="Q9" s="88"/>
      <c r="R9" s="90"/>
      <c r="S9" s="90"/>
      <c r="T9" s="90"/>
      <c r="U9" s="90"/>
    </row>
    <row r="10" spans="1:21" ht="88.5" customHeight="1" thickBot="1">
      <c r="A10" s="87"/>
      <c r="B10" s="90"/>
      <c r="C10" s="90"/>
      <c r="D10" s="90"/>
      <c r="I10" s="90"/>
      <c r="J10" s="87"/>
      <c r="K10" s="712"/>
      <c r="L10" s="705"/>
      <c r="M10" s="704"/>
      <c r="N10" s="705"/>
      <c r="O10" s="704"/>
      <c r="P10" s="706"/>
      <c r="Q10" s="88"/>
      <c r="R10" s="90"/>
      <c r="S10" s="90"/>
      <c r="T10" s="90"/>
      <c r="U10" s="90"/>
    </row>
    <row r="11" spans="1:21" ht="44.25" customHeight="1">
      <c r="A11" s="87"/>
      <c r="B11" s="90"/>
      <c r="C11" s="90"/>
      <c r="D11" s="87"/>
      <c r="E11" s="699" t="s">
        <v>193</v>
      </c>
      <c r="F11" s="700"/>
      <c r="G11" s="700"/>
      <c r="H11" s="701"/>
      <c r="I11" s="88"/>
      <c r="J11" s="111"/>
      <c r="K11" s="712"/>
      <c r="L11" s="705"/>
      <c r="M11" s="704"/>
      <c r="N11" s="705"/>
      <c r="O11" s="704"/>
      <c r="P11" s="706"/>
      <c r="Q11" s="88"/>
      <c r="R11" s="90"/>
      <c r="S11" s="90"/>
      <c r="T11" s="90"/>
      <c r="U11" s="90"/>
    </row>
    <row r="12" spans="1:21" ht="47.25" customHeight="1" thickBot="1">
      <c r="A12" s="87"/>
      <c r="B12" s="90"/>
      <c r="C12" s="90"/>
      <c r="D12" s="87"/>
      <c r="E12" s="713" t="s">
        <v>191</v>
      </c>
      <c r="F12" s="714"/>
      <c r="G12" s="715"/>
      <c r="H12" s="452" t="s">
        <v>192</v>
      </c>
      <c r="I12" s="88"/>
      <c r="J12" s="111"/>
      <c r="K12" s="712"/>
      <c r="L12" s="705"/>
      <c r="M12" s="704"/>
      <c r="N12" s="705"/>
      <c r="O12" s="704"/>
      <c r="P12" s="706"/>
      <c r="Q12" s="88"/>
      <c r="R12" s="90"/>
      <c r="S12" s="90"/>
      <c r="T12" s="90"/>
      <c r="U12" s="90"/>
    </row>
    <row r="13" spans="1:21" ht="42" customHeight="1">
      <c r="A13" s="87"/>
      <c r="B13" s="90"/>
      <c r="C13" s="90"/>
      <c r="D13" s="87"/>
      <c r="E13" s="716" t="s">
        <v>209</v>
      </c>
      <c r="F13" s="717"/>
      <c r="G13" s="718"/>
      <c r="H13" s="295">
        <v>2</v>
      </c>
      <c r="I13" s="88"/>
      <c r="J13" s="87"/>
      <c r="K13" s="712"/>
      <c r="L13" s="705"/>
      <c r="M13" s="704"/>
      <c r="N13" s="705"/>
      <c r="O13" s="704"/>
      <c r="P13" s="706"/>
      <c r="Q13" s="88"/>
      <c r="R13" s="90"/>
      <c r="S13" s="90"/>
      <c r="T13" s="90"/>
      <c r="U13" s="90"/>
    </row>
    <row r="14" spans="1:21" ht="60.75" customHeight="1">
      <c r="A14" s="87"/>
      <c r="B14" s="90"/>
      <c r="C14" s="90"/>
      <c r="D14" s="87"/>
      <c r="E14" s="719" t="s">
        <v>207</v>
      </c>
      <c r="F14" s="720"/>
      <c r="G14" s="721"/>
      <c r="H14" s="296">
        <v>26</v>
      </c>
      <c r="I14" s="88"/>
      <c r="J14" s="95"/>
      <c r="K14" s="712"/>
      <c r="L14" s="705"/>
      <c r="M14" s="704"/>
      <c r="N14" s="705"/>
      <c r="O14" s="704"/>
      <c r="P14" s="706"/>
      <c r="Q14" s="88"/>
      <c r="R14" s="90"/>
      <c r="S14" s="90"/>
      <c r="T14" s="90"/>
      <c r="U14" s="90"/>
    </row>
    <row r="15" spans="1:21" ht="42" customHeight="1">
      <c r="A15" s="87"/>
      <c r="B15" s="90"/>
      <c r="C15" s="90"/>
      <c r="D15" s="87"/>
      <c r="E15" s="719" t="s">
        <v>208</v>
      </c>
      <c r="F15" s="720"/>
      <c r="G15" s="721"/>
      <c r="H15" s="296">
        <v>5</v>
      </c>
      <c r="I15" s="88"/>
      <c r="J15" s="87"/>
      <c r="K15" s="712"/>
      <c r="L15" s="705"/>
      <c r="M15" s="704"/>
      <c r="N15" s="705"/>
      <c r="O15" s="704"/>
      <c r="P15" s="706"/>
      <c r="Q15" s="88"/>
      <c r="R15" s="90"/>
      <c r="S15" s="90"/>
      <c r="T15" s="90"/>
      <c r="U15" s="90"/>
    </row>
    <row r="16" spans="1:21" ht="45.75" customHeight="1">
      <c r="A16" s="87"/>
      <c r="B16" s="90"/>
      <c r="C16" s="90"/>
      <c r="D16" s="87"/>
      <c r="E16" s="719" t="s">
        <v>210</v>
      </c>
      <c r="F16" s="720"/>
      <c r="G16" s="721"/>
      <c r="H16" s="296">
        <v>29</v>
      </c>
      <c r="I16" s="88"/>
      <c r="J16" s="111"/>
      <c r="K16" s="712"/>
      <c r="L16" s="705"/>
      <c r="M16" s="704"/>
      <c r="N16" s="705"/>
      <c r="O16" s="704"/>
      <c r="P16" s="706"/>
      <c r="Q16" s="88"/>
      <c r="R16" s="90"/>
      <c r="S16" s="90"/>
      <c r="T16" s="90"/>
      <c r="U16" s="90"/>
    </row>
    <row r="17" spans="1:21" ht="66" customHeight="1">
      <c r="A17" s="87"/>
      <c r="D17" s="106"/>
      <c r="E17" s="719" t="s">
        <v>211</v>
      </c>
      <c r="F17" s="720"/>
      <c r="G17" s="721"/>
      <c r="H17" s="296">
        <v>6</v>
      </c>
      <c r="I17" s="88"/>
      <c r="J17" s="111"/>
      <c r="K17" s="712"/>
      <c r="L17" s="705"/>
      <c r="M17" s="704"/>
      <c r="N17" s="705"/>
      <c r="O17" s="704"/>
      <c r="P17" s="706"/>
      <c r="Q17" s="88"/>
      <c r="R17" s="90"/>
      <c r="S17" s="90"/>
      <c r="T17" s="90"/>
      <c r="U17" s="90"/>
    </row>
    <row r="18" spans="1:21" ht="44.25" customHeight="1" thickBot="1">
      <c r="A18" s="87"/>
      <c r="C18" s="115"/>
      <c r="D18" s="87"/>
      <c r="E18" s="731" t="s">
        <v>212</v>
      </c>
      <c r="F18" s="732"/>
      <c r="G18" s="733"/>
      <c r="H18" s="297">
        <v>25</v>
      </c>
      <c r="I18" s="88"/>
      <c r="J18" s="87"/>
      <c r="K18" s="739"/>
      <c r="L18" s="738"/>
      <c r="M18" s="723"/>
      <c r="N18" s="738"/>
      <c r="O18" s="723"/>
      <c r="P18" s="724"/>
      <c r="Q18" s="88"/>
      <c r="R18" s="90"/>
      <c r="S18" s="87"/>
      <c r="T18" s="90"/>
      <c r="U18" s="90"/>
    </row>
    <row r="19" spans="1:21" ht="11.25" customHeight="1" thickBot="1">
      <c r="A19" s="87"/>
      <c r="B19" s="91"/>
      <c r="C19" s="111"/>
      <c r="D19" s="98"/>
      <c r="E19" s="238"/>
      <c r="F19" s="222"/>
      <c r="G19" s="222"/>
      <c r="H19" s="222"/>
      <c r="I19" s="98"/>
      <c r="J19" s="87"/>
      <c r="K19" s="265"/>
      <c r="L19" s="95"/>
      <c r="M19" s="117"/>
      <c r="O19" s="115"/>
      <c r="P19" s="287"/>
      <c r="Q19" s="88"/>
      <c r="R19" s="90"/>
      <c r="S19" s="87"/>
      <c r="T19" s="90"/>
      <c r="U19" s="90"/>
    </row>
    <row r="20" spans="1:21" ht="56.25" customHeight="1" thickBot="1">
      <c r="A20" s="87"/>
      <c r="B20" s="453" t="s">
        <v>190</v>
      </c>
      <c r="C20" s="454" t="s">
        <v>225</v>
      </c>
      <c r="D20" s="232"/>
      <c r="E20" s="98"/>
      <c r="F20" s="98"/>
      <c r="G20" s="98"/>
      <c r="H20" s="98"/>
      <c r="I20" s="98"/>
      <c r="J20" s="95"/>
      <c r="K20" s="288"/>
      <c r="L20" s="284"/>
      <c r="M20" s="90"/>
      <c r="N20" s="90"/>
      <c r="O20" s="88"/>
      <c r="P20" s="180"/>
      <c r="Q20" s="88"/>
      <c r="R20" s="90"/>
      <c r="T20" s="90"/>
      <c r="U20" s="90"/>
    </row>
    <row r="21" spans="1:21" ht="3.75" customHeight="1" thickBot="1">
      <c r="A21" s="87"/>
      <c r="B21" s="425"/>
      <c r="C21" s="426"/>
      <c r="D21" s="266"/>
      <c r="E21" s="264"/>
      <c r="F21" s="276"/>
      <c r="G21" s="273"/>
      <c r="H21" s="264"/>
      <c r="I21" s="270"/>
      <c r="J21" s="282"/>
      <c r="K21" s="289"/>
      <c r="L21" s="271"/>
      <c r="M21" s="87"/>
      <c r="N21" s="90"/>
      <c r="O21" s="88"/>
      <c r="P21" s="180"/>
      <c r="Q21" s="88"/>
      <c r="R21" s="90"/>
      <c r="T21" s="90"/>
      <c r="U21" s="90"/>
    </row>
    <row r="22" spans="1:21" ht="35.25" customHeight="1" thickBot="1">
      <c r="A22" s="87"/>
      <c r="B22" s="285"/>
      <c r="C22" s="286"/>
      <c r="D22" s="266"/>
      <c r="E22" s="275"/>
      <c r="F22" s="294" t="s">
        <v>193</v>
      </c>
      <c r="G22" s="274"/>
      <c r="H22" s="734" t="s">
        <v>196</v>
      </c>
      <c r="I22" s="735"/>
      <c r="J22" s="283"/>
      <c r="K22" s="290"/>
      <c r="L22" s="271"/>
      <c r="M22" s="115"/>
      <c r="N22" s="90"/>
      <c r="O22" s="88"/>
      <c r="P22" s="180"/>
      <c r="Q22" s="88"/>
      <c r="R22" s="90"/>
      <c r="T22" s="90"/>
      <c r="U22" s="90"/>
    </row>
    <row r="23" spans="1:21" ht="35.25" customHeight="1" thickBot="1">
      <c r="A23" s="87"/>
      <c r="B23" s="234"/>
      <c r="C23" s="235"/>
      <c r="D23" s="266"/>
      <c r="E23" s="268"/>
      <c r="F23" s="277">
        <f>SUM(H13:H18)</f>
        <v>93</v>
      </c>
      <c r="G23" s="267"/>
      <c r="H23" s="278">
        <f>SUM(C22:C27)</f>
        <v>0</v>
      </c>
      <c r="I23" s="269"/>
      <c r="J23" s="283"/>
      <c r="K23" s="291"/>
      <c r="L23" s="272"/>
      <c r="M23" s="292"/>
      <c r="N23" s="292"/>
      <c r="O23" s="88"/>
      <c r="P23" s="180"/>
      <c r="Q23" s="88"/>
      <c r="R23" s="90"/>
      <c r="T23" s="90"/>
      <c r="U23" s="90"/>
    </row>
    <row r="24" spans="1:21" ht="35.25" customHeight="1" thickBot="1">
      <c r="A24" s="87"/>
      <c r="B24" s="236"/>
      <c r="C24" s="237"/>
      <c r="D24" s="232"/>
      <c r="E24" s="117"/>
      <c r="F24" s="117"/>
      <c r="G24" s="90"/>
      <c r="H24" s="115"/>
      <c r="I24" s="115"/>
      <c r="J24" s="89"/>
      <c r="K24" s="265"/>
      <c r="L24" s="135"/>
      <c r="M24" s="136"/>
      <c r="N24" s="134"/>
      <c r="O24" s="91"/>
      <c r="P24" s="366"/>
      <c r="Q24" s="88"/>
      <c r="R24" s="90"/>
      <c r="T24" s="90"/>
      <c r="U24" s="90"/>
    </row>
    <row r="25" spans="1:21" ht="33" customHeight="1" thickBot="1">
      <c r="A25" s="87"/>
      <c r="B25" s="236"/>
      <c r="C25" s="237"/>
      <c r="D25" s="266"/>
      <c r="E25" s="181"/>
      <c r="F25" s="181"/>
      <c r="G25" s="98"/>
      <c r="I25" s="163"/>
      <c r="J25" s="87"/>
      <c r="K25" s="369" t="s">
        <v>227</v>
      </c>
      <c r="L25" s="179"/>
      <c r="M25" s="368"/>
      <c r="N25" s="371"/>
      <c r="O25" s="370"/>
      <c r="P25" s="270"/>
      <c r="Q25" s="88"/>
      <c r="R25" s="90"/>
      <c r="T25" s="90"/>
      <c r="U25" s="90"/>
    </row>
    <row r="26" spans="1:21" ht="44.25" customHeight="1">
      <c r="A26" s="87"/>
      <c r="B26" s="236"/>
      <c r="C26" s="237"/>
      <c r="D26" s="266"/>
      <c r="E26" s="280"/>
      <c r="F26" s="293" t="s">
        <v>197</v>
      </c>
      <c r="H26" s="736" t="s">
        <v>226</v>
      </c>
      <c r="I26" s="737"/>
      <c r="J26" s="367"/>
      <c r="K26" s="725" t="s">
        <v>229</v>
      </c>
      <c r="L26" s="726"/>
      <c r="M26" s="726"/>
      <c r="N26" s="727"/>
      <c r="O26" s="88"/>
      <c r="P26" s="180"/>
      <c r="Q26" s="88"/>
      <c r="R26" s="90"/>
      <c r="T26" s="90"/>
      <c r="U26" s="90"/>
    </row>
    <row r="27" spans="1:21" ht="36.75" customHeight="1" thickBot="1">
      <c r="A27" s="87"/>
      <c r="B27" s="239"/>
      <c r="C27" s="240"/>
      <c r="D27" s="232"/>
      <c r="E27" s="279"/>
      <c r="F27" s="281">
        <v>45657</v>
      </c>
      <c r="G27" s="86"/>
      <c r="H27" s="241">
        <f>COUNTA(O6:P27)</f>
        <v>0</v>
      </c>
      <c r="I27" s="233"/>
      <c r="J27" s="231"/>
      <c r="K27" s="728" t="s">
        <v>228</v>
      </c>
      <c r="L27" s="729"/>
      <c r="M27" s="729"/>
      <c r="N27" s="730"/>
      <c r="O27" s="181"/>
      <c r="P27" s="153"/>
      <c r="Q27" s="88"/>
      <c r="R27" s="90"/>
      <c r="T27" s="90"/>
      <c r="U27" s="90"/>
    </row>
    <row r="28" spans="1:21" ht="44.25" customHeight="1">
      <c r="A28" s="90"/>
      <c r="B28" s="117"/>
      <c r="C28" s="117"/>
      <c r="D28" s="117"/>
      <c r="E28" s="117"/>
      <c r="F28" s="95"/>
      <c r="G28" s="95"/>
      <c r="H28" s="95"/>
      <c r="I28" s="98"/>
      <c r="J28" s="111"/>
      <c r="K28" s="135"/>
      <c r="L28" s="117"/>
      <c r="M28" s="117"/>
      <c r="N28" s="299"/>
      <c r="O28" s="96"/>
      <c r="P28" s="115"/>
      <c r="Q28" s="90"/>
      <c r="R28" s="90"/>
      <c r="S28" s="87"/>
      <c r="T28" s="90"/>
      <c r="U28" s="90"/>
    </row>
    <row r="29" spans="1:21" ht="43.5" customHeight="1">
      <c r="A29" s="87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88"/>
      <c r="R29" s="90"/>
      <c r="S29" s="87"/>
      <c r="T29" s="90"/>
      <c r="U29" s="90"/>
    </row>
    <row r="30" spans="1:21" ht="45" customHeight="1">
      <c r="A30" s="87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88"/>
      <c r="R30" s="90"/>
      <c r="S30" s="90"/>
      <c r="T30" s="90"/>
      <c r="U30" s="90"/>
    </row>
    <row r="31" spans="1:21">
      <c r="A31" s="87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88"/>
      <c r="R31" s="90"/>
      <c r="S31" s="90"/>
      <c r="T31" s="90"/>
      <c r="U31" s="90"/>
    </row>
    <row r="32" spans="1:21">
      <c r="A32" s="87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88"/>
      <c r="R32" s="90"/>
      <c r="S32" s="90"/>
      <c r="T32" s="90"/>
      <c r="U32" s="90"/>
    </row>
    <row r="33" spans="1:21">
      <c r="A33" s="87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88"/>
      <c r="R33" s="90"/>
      <c r="S33" s="90"/>
      <c r="T33" s="90"/>
      <c r="U33" s="90"/>
    </row>
    <row r="34" spans="1:21">
      <c r="A34" s="87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88"/>
      <c r="R34" s="90"/>
      <c r="S34" s="90"/>
      <c r="T34" s="90"/>
      <c r="U34" s="90"/>
    </row>
    <row r="35" spans="1:21">
      <c r="A35" s="87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88"/>
      <c r="R35" s="90"/>
      <c r="S35" s="90"/>
      <c r="T35" s="90"/>
      <c r="U35" s="90"/>
    </row>
    <row r="36" spans="1:21">
      <c r="A36" s="87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88"/>
      <c r="R36" s="90"/>
      <c r="S36" s="90"/>
      <c r="T36" s="90"/>
      <c r="U36" s="90"/>
    </row>
    <row r="37" spans="1:21">
      <c r="A37" s="87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88"/>
      <c r="R37" s="90"/>
      <c r="S37" s="90"/>
      <c r="T37" s="90"/>
      <c r="U37" s="90"/>
    </row>
    <row r="38" spans="1:21">
      <c r="A38" s="87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88"/>
      <c r="R38" s="90"/>
      <c r="S38" s="90"/>
      <c r="T38" s="90"/>
      <c r="U38" s="90"/>
    </row>
    <row r="39" spans="1:21">
      <c r="A39" s="87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88"/>
      <c r="R39" s="90"/>
      <c r="S39" s="90"/>
      <c r="T39" s="90"/>
      <c r="U39" s="90"/>
    </row>
    <row r="40" spans="1:21">
      <c r="A40" s="87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88"/>
      <c r="R40" s="90"/>
      <c r="S40" s="90"/>
      <c r="T40" s="90"/>
      <c r="U40" s="90"/>
    </row>
    <row r="41" spans="1:21">
      <c r="A41" s="87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88"/>
      <c r="R41" s="90"/>
      <c r="S41" s="90"/>
      <c r="T41" s="90"/>
      <c r="U41" s="90"/>
    </row>
    <row r="42" spans="1:21">
      <c r="A42" s="87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88"/>
      <c r="R42" s="90"/>
      <c r="S42" s="90"/>
      <c r="T42" s="90"/>
      <c r="U42" s="90"/>
    </row>
    <row r="43" spans="1:21">
      <c r="A43" s="87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88"/>
      <c r="R43" s="90"/>
      <c r="S43" s="90"/>
      <c r="T43" s="90"/>
      <c r="U43" s="90"/>
    </row>
    <row r="44" spans="1:21">
      <c r="A44" s="87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88"/>
      <c r="R44" s="90"/>
      <c r="S44" s="90"/>
      <c r="T44" s="90"/>
      <c r="U44" s="90"/>
    </row>
    <row r="45" spans="1:21">
      <c r="A45" s="87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88"/>
      <c r="R45" s="90"/>
      <c r="S45" s="90"/>
      <c r="T45" s="90"/>
      <c r="U45" s="90"/>
    </row>
    <row r="46" spans="1:21">
      <c r="A46" s="87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88"/>
      <c r="R46" s="90"/>
      <c r="S46" s="90"/>
      <c r="T46" s="90"/>
      <c r="U46" s="90"/>
    </row>
  </sheetData>
  <mergeCells count="59"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K15:L15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6:L6"/>
    <mergeCell ref="K7:L7"/>
    <mergeCell ref="K8:L8"/>
    <mergeCell ref="K9:L9"/>
    <mergeCell ref="K10:L10"/>
    <mergeCell ref="M11:N11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B2:F2"/>
    <mergeCell ref="G2:P2"/>
    <mergeCell ref="B1:P1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abSelected="1"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830" t="s">
        <v>0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831"/>
      <c r="O1" s="831"/>
      <c r="P1" s="831"/>
      <c r="Q1" s="831"/>
      <c r="R1" s="831"/>
      <c r="S1" s="831"/>
      <c r="T1" s="831"/>
      <c r="U1" s="831"/>
      <c r="V1" s="831"/>
      <c r="W1" s="831"/>
      <c r="X1" s="831"/>
      <c r="Y1" s="831"/>
      <c r="Z1" s="831"/>
      <c r="AA1" s="831"/>
      <c r="AB1" s="831"/>
      <c r="AC1" s="831"/>
      <c r="AD1" s="831"/>
      <c r="AE1" s="831"/>
      <c r="AF1" s="831"/>
      <c r="AG1" s="831"/>
      <c r="AH1" s="831"/>
      <c r="AI1" s="832"/>
    </row>
    <row r="2" spans="1:36" ht="4.5" customHeight="1" thickBot="1">
      <c r="A2" s="848"/>
      <c r="B2" s="849"/>
      <c r="C2" s="849"/>
      <c r="D2" s="849"/>
      <c r="E2" s="849"/>
      <c r="F2" s="849"/>
      <c r="G2" s="849"/>
      <c r="H2" s="849"/>
      <c r="I2" s="849"/>
      <c r="J2" s="849"/>
      <c r="K2" s="849"/>
      <c r="L2" s="849"/>
      <c r="M2" s="849"/>
      <c r="N2" s="849"/>
      <c r="O2" s="849"/>
      <c r="P2" s="849"/>
      <c r="Q2" s="849"/>
      <c r="R2" s="849"/>
      <c r="S2" s="849"/>
      <c r="T2" s="849"/>
      <c r="U2" s="849"/>
      <c r="V2" s="849"/>
      <c r="W2" s="849"/>
      <c r="X2" s="849"/>
      <c r="Y2" s="849"/>
      <c r="Z2" s="849"/>
      <c r="AA2" s="849"/>
      <c r="AB2" s="849"/>
      <c r="AC2" s="849"/>
      <c r="AD2" s="849"/>
      <c r="AE2" s="849"/>
      <c r="AF2" s="849"/>
      <c r="AG2" s="849"/>
      <c r="AH2" s="849"/>
      <c r="AI2" s="850"/>
    </row>
    <row r="3" spans="1:36" ht="15.75">
      <c r="A3" s="866" t="s">
        <v>235</v>
      </c>
      <c r="B3" s="867"/>
      <c r="C3" s="867"/>
      <c r="D3" s="867"/>
      <c r="E3" s="867"/>
      <c r="F3" s="867"/>
      <c r="G3" s="867"/>
      <c r="H3" s="867"/>
      <c r="I3" s="867"/>
      <c r="J3" s="867"/>
      <c r="K3" s="867"/>
      <c r="L3" s="867"/>
      <c r="M3" s="867"/>
      <c r="N3" s="867"/>
      <c r="O3" s="867"/>
      <c r="P3" s="867"/>
      <c r="Q3" s="867"/>
      <c r="R3" s="867"/>
      <c r="S3" s="867"/>
      <c r="T3" s="867"/>
      <c r="U3" s="867"/>
      <c r="V3" s="867"/>
      <c r="W3" s="867"/>
      <c r="X3" s="867"/>
      <c r="Y3" s="867"/>
      <c r="Z3" s="867"/>
      <c r="AA3" s="867"/>
      <c r="AB3" s="867"/>
      <c r="AC3" s="867"/>
      <c r="AD3" s="867"/>
      <c r="AE3" s="867"/>
      <c r="AF3" s="867"/>
      <c r="AG3" s="867"/>
      <c r="AH3" s="867"/>
      <c r="AI3" s="868"/>
      <c r="AJ3" s="106"/>
    </row>
    <row r="4" spans="1:36" ht="19.5" customHeight="1" thickBot="1">
      <c r="A4" s="863" t="s">
        <v>236</v>
      </c>
      <c r="B4" s="864"/>
      <c r="C4" s="864"/>
      <c r="D4" s="864"/>
      <c r="E4" s="864"/>
      <c r="F4" s="864"/>
      <c r="G4" s="864"/>
      <c r="H4" s="864"/>
      <c r="I4" s="864"/>
      <c r="J4" s="864"/>
      <c r="K4" s="864"/>
      <c r="L4" s="864"/>
      <c r="M4" s="864"/>
      <c r="N4" s="864"/>
      <c r="O4" s="864"/>
      <c r="P4" s="864"/>
      <c r="Q4" s="864"/>
      <c r="R4" s="864"/>
      <c r="S4" s="864"/>
      <c r="T4" s="864"/>
      <c r="U4" s="864"/>
      <c r="V4" s="864"/>
      <c r="W4" s="864"/>
      <c r="X4" s="864"/>
      <c r="Y4" s="864"/>
      <c r="Z4" s="864"/>
      <c r="AA4" s="864"/>
      <c r="AB4" s="864"/>
      <c r="AC4" s="864"/>
      <c r="AD4" s="864"/>
      <c r="AE4" s="864"/>
      <c r="AF4" s="864"/>
      <c r="AG4" s="864"/>
      <c r="AH4" s="864"/>
      <c r="AI4" s="865"/>
    </row>
    <row r="5" spans="1:36" ht="11.25" customHeight="1" thickBot="1">
      <c r="A5" s="265"/>
      <c r="B5" s="115"/>
      <c r="D5" s="440"/>
      <c r="E5" s="440"/>
      <c r="F5" s="440"/>
      <c r="G5" s="440"/>
      <c r="H5" s="95"/>
      <c r="I5" s="442"/>
      <c r="J5" s="443"/>
      <c r="L5" s="442"/>
      <c r="M5" s="115"/>
      <c r="N5" s="443"/>
      <c r="P5" s="442"/>
      <c r="Q5" s="442"/>
      <c r="R5" s="442"/>
      <c r="S5" s="115"/>
      <c r="U5" s="442"/>
      <c r="V5" s="442"/>
      <c r="W5" s="443"/>
      <c r="X5" s="443"/>
      <c r="Y5" s="443"/>
      <c r="Z5" s="443"/>
      <c r="AA5" s="117"/>
      <c r="AB5" s="117"/>
      <c r="AC5" s="117"/>
      <c r="AD5" s="117"/>
      <c r="AE5" s="115"/>
      <c r="AF5" s="443"/>
      <c r="AH5" s="95"/>
      <c r="AI5" s="493"/>
    </row>
    <row r="6" spans="1:36" ht="9.75" customHeight="1">
      <c r="A6" s="151"/>
      <c r="C6" s="166"/>
      <c r="D6" s="138"/>
      <c r="E6" s="879" t="s">
        <v>242</v>
      </c>
      <c r="F6" s="880"/>
      <c r="G6" s="881"/>
      <c r="H6" s="441"/>
      <c r="I6" s="264"/>
      <c r="J6" s="851" t="s">
        <v>159</v>
      </c>
      <c r="K6" s="852"/>
      <c r="L6" s="853"/>
      <c r="M6" s="444"/>
      <c r="N6" s="264"/>
      <c r="O6" s="447"/>
      <c r="P6" s="447"/>
      <c r="Q6" s="872" t="s">
        <v>160</v>
      </c>
      <c r="R6" s="873"/>
      <c r="S6" s="445"/>
      <c r="T6" s="264"/>
      <c r="U6" s="447"/>
      <c r="V6" s="447"/>
      <c r="W6" s="851" t="s">
        <v>171</v>
      </c>
      <c r="X6" s="852"/>
      <c r="Y6" s="852"/>
      <c r="Z6" s="853"/>
      <c r="AA6" s="486"/>
      <c r="AB6" s="264"/>
      <c r="AC6" s="447"/>
      <c r="AD6" s="842" t="s">
        <v>161</v>
      </c>
      <c r="AE6" s="843"/>
      <c r="AF6" s="844"/>
      <c r="AG6" s="151"/>
      <c r="AH6" s="474"/>
      <c r="AI6" s="494"/>
    </row>
    <row r="7" spans="1:36" ht="15.75" customHeight="1">
      <c r="A7" s="151"/>
      <c r="B7" s="108"/>
      <c r="C7" s="29"/>
      <c r="E7" s="882"/>
      <c r="F7" s="883"/>
      <c r="G7" s="884"/>
      <c r="H7" s="441"/>
      <c r="I7" s="282"/>
      <c r="J7" s="869"/>
      <c r="K7" s="870"/>
      <c r="L7" s="871"/>
      <c r="M7" s="444"/>
      <c r="N7" s="282"/>
      <c r="O7" s="439"/>
      <c r="P7" s="446"/>
      <c r="Q7" s="874"/>
      <c r="R7" s="875"/>
      <c r="S7" s="445"/>
      <c r="T7" s="282"/>
      <c r="U7" s="439"/>
      <c r="V7" s="446"/>
      <c r="W7" s="854"/>
      <c r="X7" s="855"/>
      <c r="Y7" s="855"/>
      <c r="Z7" s="856"/>
      <c r="AA7" s="486"/>
      <c r="AB7" s="282"/>
      <c r="AC7" s="439"/>
      <c r="AD7" s="845"/>
      <c r="AE7" s="846"/>
      <c r="AF7" s="847"/>
      <c r="AG7" s="151"/>
      <c r="AH7" s="474"/>
      <c r="AI7" s="494"/>
    </row>
    <row r="8" spans="1:36" ht="12.75" customHeight="1">
      <c r="A8" s="151"/>
      <c r="B8" s="448"/>
      <c r="C8" s="221"/>
      <c r="E8" s="857">
        <v>64</v>
      </c>
      <c r="F8" s="858"/>
      <c r="G8" s="885"/>
      <c r="H8" s="167"/>
      <c r="I8" s="151"/>
      <c r="J8" s="87"/>
      <c r="K8" s="889">
        <v>16</v>
      </c>
      <c r="L8" s="890"/>
      <c r="M8" s="444"/>
      <c r="N8" s="151"/>
      <c r="O8" s="87"/>
      <c r="P8" s="857">
        <v>10</v>
      </c>
      <c r="Q8" s="858"/>
      <c r="R8" s="859"/>
      <c r="S8" s="445"/>
      <c r="T8" s="151"/>
      <c r="U8" s="87"/>
      <c r="V8" s="857">
        <v>38</v>
      </c>
      <c r="W8" s="858"/>
      <c r="X8" s="858"/>
      <c r="Y8" s="858"/>
      <c r="Z8" s="859"/>
      <c r="AA8" s="487"/>
      <c r="AB8" s="151"/>
      <c r="AC8" s="87"/>
      <c r="AD8" s="857">
        <v>20</v>
      </c>
      <c r="AE8" s="858"/>
      <c r="AF8" s="859"/>
      <c r="AG8" s="151"/>
      <c r="AH8" s="475"/>
      <c r="AI8" s="273"/>
    </row>
    <row r="9" spans="1:36" ht="13.5" customHeight="1" thickBot="1">
      <c r="A9" s="265"/>
      <c r="B9" s="108"/>
      <c r="C9" s="159"/>
      <c r="D9" s="437"/>
      <c r="E9" s="886"/>
      <c r="F9" s="887"/>
      <c r="G9" s="888"/>
      <c r="I9" s="152"/>
      <c r="J9" s="438"/>
      <c r="K9" s="891"/>
      <c r="L9" s="892"/>
      <c r="M9" s="445"/>
      <c r="N9" s="152"/>
      <c r="O9" s="438"/>
      <c r="P9" s="860"/>
      <c r="Q9" s="861"/>
      <c r="R9" s="862"/>
      <c r="S9" s="445"/>
      <c r="T9" s="152"/>
      <c r="U9" s="438"/>
      <c r="V9" s="860"/>
      <c r="W9" s="861"/>
      <c r="X9" s="861"/>
      <c r="Y9" s="861"/>
      <c r="Z9" s="862"/>
      <c r="AA9" s="487"/>
      <c r="AB9" s="152"/>
      <c r="AC9" s="438"/>
      <c r="AD9" s="860"/>
      <c r="AE9" s="861"/>
      <c r="AF9" s="862"/>
      <c r="AG9" s="488"/>
      <c r="AH9" s="475"/>
      <c r="AI9" s="180"/>
    </row>
    <row r="10" spans="1:36" ht="13.5" customHeight="1" thickBot="1">
      <c r="A10" s="151"/>
      <c r="B10" s="111"/>
      <c r="C10" s="118"/>
      <c r="D10" s="117"/>
      <c r="E10" s="953"/>
      <c r="F10" s="953"/>
      <c r="G10" s="953"/>
      <c r="H10" s="90"/>
      <c r="I10" s="179"/>
      <c r="J10" s="920"/>
      <c r="K10" s="952"/>
      <c r="L10" s="952"/>
      <c r="M10" s="88"/>
      <c r="N10" s="951"/>
      <c r="O10" s="179"/>
      <c r="P10" s="949"/>
      <c r="Q10" s="947"/>
      <c r="R10" s="957"/>
      <c r="S10" s="111"/>
      <c r="T10" s="918"/>
      <c r="U10" s="450"/>
      <c r="V10" s="958"/>
      <c r="W10" s="947"/>
      <c r="X10" s="957"/>
      <c r="Y10" s="958"/>
      <c r="Z10" s="958"/>
      <c r="AA10" s="948"/>
      <c r="AB10" s="450"/>
      <c r="AC10" s="920"/>
      <c r="AD10" s="958"/>
      <c r="AE10" s="958"/>
      <c r="AF10" s="947"/>
      <c r="AG10" s="98"/>
      <c r="AH10" s="959"/>
      <c r="AI10" s="180"/>
    </row>
    <row r="11" spans="1:36" ht="26.25" customHeight="1" thickBot="1">
      <c r="A11" s="378"/>
      <c r="B11" s="163"/>
      <c r="C11" s="163"/>
      <c r="D11" s="163"/>
      <c r="E11" s="437"/>
      <c r="F11" s="163"/>
      <c r="G11" s="437"/>
      <c r="H11" s="163"/>
      <c r="I11" s="437"/>
      <c r="J11" s="163"/>
      <c r="K11" s="163"/>
      <c r="L11" s="163"/>
      <c r="M11" s="163"/>
      <c r="N11" s="163"/>
      <c r="O11" s="90"/>
      <c r="P11" s="920"/>
      <c r="Q11" s="960" t="s">
        <v>250</v>
      </c>
      <c r="R11" s="961"/>
      <c r="S11" s="961"/>
      <c r="T11" s="961"/>
      <c r="U11" s="961"/>
      <c r="V11" s="961"/>
      <c r="W11" s="961"/>
      <c r="X11" s="961"/>
      <c r="Y11" s="961"/>
      <c r="Z11" s="961"/>
      <c r="AA11" s="961"/>
      <c r="AB11" s="961"/>
      <c r="AC11" s="961"/>
      <c r="AD11" s="961"/>
      <c r="AE11" s="961"/>
      <c r="AF11" s="956">
        <v>2025</v>
      </c>
      <c r="AG11" s="969"/>
      <c r="AH11" s="950"/>
      <c r="AI11" s="494"/>
    </row>
    <row r="12" spans="1:36" ht="15" customHeight="1">
      <c r="A12" s="495"/>
      <c r="B12" s="907" t="s">
        <v>237</v>
      </c>
      <c r="C12" s="908"/>
      <c r="D12" s="908"/>
      <c r="E12" s="909"/>
      <c r="F12" s="900" t="s">
        <v>238</v>
      </c>
      <c r="G12" s="901"/>
      <c r="H12" s="901"/>
      <c r="I12" s="901"/>
      <c r="J12" s="901"/>
      <c r="K12" s="901"/>
      <c r="L12" s="901"/>
      <c r="M12" s="900" t="s">
        <v>155</v>
      </c>
      <c r="N12" s="904"/>
      <c r="O12" s="451"/>
      <c r="P12" s="87"/>
      <c r="Q12" s="954"/>
      <c r="R12" s="955"/>
      <c r="S12" s="945">
        <v>0</v>
      </c>
      <c r="T12" s="946">
        <v>1</v>
      </c>
      <c r="U12" s="946">
        <v>2</v>
      </c>
      <c r="V12" s="945">
        <v>3</v>
      </c>
      <c r="W12" s="946">
        <v>4</v>
      </c>
      <c r="X12" s="946">
        <v>5</v>
      </c>
      <c r="Y12" s="945">
        <v>6</v>
      </c>
      <c r="Z12" s="946">
        <v>7</v>
      </c>
      <c r="AA12" s="946">
        <v>8</v>
      </c>
      <c r="AB12" s="945">
        <v>9</v>
      </c>
      <c r="AC12" s="946">
        <v>10</v>
      </c>
      <c r="AD12" s="946">
        <v>11</v>
      </c>
      <c r="AE12" s="945">
        <v>12</v>
      </c>
      <c r="AF12" s="965">
        <v>13</v>
      </c>
      <c r="AG12" s="931"/>
      <c r="AH12" s="970"/>
      <c r="AI12" s="273"/>
    </row>
    <row r="13" spans="1:36" ht="15.75" customHeight="1" thickBot="1">
      <c r="A13" s="265"/>
      <c r="B13" s="910"/>
      <c r="C13" s="911"/>
      <c r="D13" s="911"/>
      <c r="E13" s="912"/>
      <c r="F13" s="902"/>
      <c r="G13" s="903"/>
      <c r="H13" s="903"/>
      <c r="I13" s="903"/>
      <c r="J13" s="903"/>
      <c r="K13" s="903"/>
      <c r="L13" s="903"/>
      <c r="M13" s="905"/>
      <c r="N13" s="906"/>
      <c r="O13" s="451"/>
      <c r="P13" s="87"/>
      <c r="Q13" s="939"/>
      <c r="R13" s="917"/>
      <c r="S13" s="944">
        <f>IF(INT($J$18*14/64 - S$12) = 0,$J$18, INT($J$18*14/64 - S$12))</f>
        <v>5</v>
      </c>
      <c r="T13" s="944">
        <f t="shared" ref="T13:AF13" si="0">IF(INT($J$18*14/64 - T$12) = 0,$J$18, INT($J$18*14/64 - T$12))</f>
        <v>4</v>
      </c>
      <c r="U13" s="944">
        <f t="shared" si="0"/>
        <v>3</v>
      </c>
      <c r="V13" s="944">
        <f t="shared" si="0"/>
        <v>2</v>
      </c>
      <c r="W13" s="944">
        <f t="shared" si="0"/>
        <v>1</v>
      </c>
      <c r="X13" s="944">
        <f t="shared" si="0"/>
        <v>25</v>
      </c>
      <c r="Y13" s="944">
        <f t="shared" si="0"/>
        <v>-1</v>
      </c>
      <c r="Z13" s="944">
        <f t="shared" si="0"/>
        <v>-2</v>
      </c>
      <c r="AA13" s="944">
        <f t="shared" si="0"/>
        <v>-3</v>
      </c>
      <c r="AB13" s="944">
        <f t="shared" si="0"/>
        <v>-4</v>
      </c>
      <c r="AC13" s="944">
        <f t="shared" si="0"/>
        <v>-5</v>
      </c>
      <c r="AD13" s="944">
        <f t="shared" si="0"/>
        <v>-6</v>
      </c>
      <c r="AE13" s="944">
        <f t="shared" si="0"/>
        <v>-7</v>
      </c>
      <c r="AF13" s="964">
        <f t="shared" si="0"/>
        <v>-8</v>
      </c>
      <c r="AG13" s="917"/>
      <c r="AH13" s="970"/>
      <c r="AI13" s="494"/>
    </row>
    <row r="14" spans="1:36" ht="13.5" customHeight="1">
      <c r="A14" s="495"/>
      <c r="B14" s="910"/>
      <c r="C14" s="911"/>
      <c r="D14" s="911"/>
      <c r="E14" s="912"/>
      <c r="F14" s="921" t="s">
        <v>239</v>
      </c>
      <c r="G14" s="922"/>
      <c r="H14" s="923" t="s">
        <v>240</v>
      </c>
      <c r="I14" s="924"/>
      <c r="J14" s="925" t="s">
        <v>241</v>
      </c>
      <c r="K14" s="926"/>
      <c r="L14" s="926"/>
      <c r="M14" s="905"/>
      <c r="N14" s="906"/>
      <c r="O14" s="451"/>
      <c r="P14" s="87"/>
      <c r="Q14" s="939"/>
      <c r="R14" s="932" t="s">
        <v>171</v>
      </c>
      <c r="S14" s="942">
        <f>IF(INT($H$18*14/64 - S$12) = 0,$H$18, INT($H$18*14/64 - S$12))</f>
        <v>8</v>
      </c>
      <c r="T14" s="942">
        <f t="shared" ref="T14:AF14" si="1">IF(INT($H$18*14/64 - T$12) = 0,$H$18, INT($H$18*14/64 - T$12))</f>
        <v>7</v>
      </c>
      <c r="U14" s="942">
        <f t="shared" si="1"/>
        <v>6</v>
      </c>
      <c r="V14" s="942">
        <f t="shared" si="1"/>
        <v>5</v>
      </c>
      <c r="W14" s="942">
        <f t="shared" si="1"/>
        <v>4</v>
      </c>
      <c r="X14" s="942">
        <f t="shared" si="1"/>
        <v>3</v>
      </c>
      <c r="Y14" s="942">
        <f t="shared" si="1"/>
        <v>2</v>
      </c>
      <c r="Z14" s="942">
        <f t="shared" si="1"/>
        <v>1</v>
      </c>
      <c r="AA14" s="942">
        <f t="shared" si="1"/>
        <v>38</v>
      </c>
      <c r="AB14" s="942">
        <f t="shared" si="1"/>
        <v>-1</v>
      </c>
      <c r="AC14" s="942">
        <f t="shared" si="1"/>
        <v>-2</v>
      </c>
      <c r="AD14" s="942">
        <f t="shared" si="1"/>
        <v>-3</v>
      </c>
      <c r="AE14" s="942">
        <f t="shared" si="1"/>
        <v>-4</v>
      </c>
      <c r="AF14" s="942">
        <f t="shared" si="1"/>
        <v>-5</v>
      </c>
      <c r="AG14" s="917"/>
      <c r="AH14" s="970"/>
      <c r="AI14" s="494"/>
    </row>
    <row r="15" spans="1:36" ht="15" customHeight="1">
      <c r="A15" s="495"/>
      <c r="B15" s="913"/>
      <c r="C15" s="914"/>
      <c r="D15" s="914"/>
      <c r="E15" s="915"/>
      <c r="F15" s="927"/>
      <c r="G15" s="928"/>
      <c r="H15" s="929"/>
      <c r="I15" s="930"/>
      <c r="J15" s="925"/>
      <c r="K15" s="926"/>
      <c r="L15" s="926"/>
      <c r="M15" s="905"/>
      <c r="N15" s="906"/>
      <c r="P15" s="87"/>
      <c r="Q15" s="939"/>
      <c r="R15" s="917"/>
      <c r="S15" s="944">
        <f>IF(INT($F$18*14/64 - S$12) = 0,$F$18, INT($F$18*14/64 - S$12))</f>
        <v>2</v>
      </c>
      <c r="T15" s="944">
        <f t="shared" ref="T15:AF15" si="2">IF(INT($F$18*14/64 - T$12) = 0,$F$18, INT($F$18*14/64 - T$12))</f>
        <v>1</v>
      </c>
      <c r="U15" s="944">
        <f t="shared" si="2"/>
        <v>10</v>
      </c>
      <c r="V15" s="944">
        <f t="shared" si="2"/>
        <v>-1</v>
      </c>
      <c r="W15" s="944">
        <f t="shared" si="2"/>
        <v>-2</v>
      </c>
      <c r="X15" s="944">
        <f t="shared" si="2"/>
        <v>-3</v>
      </c>
      <c r="Y15" s="944">
        <f t="shared" si="2"/>
        <v>-4</v>
      </c>
      <c r="Z15" s="944">
        <f t="shared" si="2"/>
        <v>-5</v>
      </c>
      <c r="AA15" s="944">
        <f t="shared" si="2"/>
        <v>-6</v>
      </c>
      <c r="AB15" s="944">
        <f t="shared" si="2"/>
        <v>-7</v>
      </c>
      <c r="AC15" s="944">
        <f t="shared" si="2"/>
        <v>-8</v>
      </c>
      <c r="AD15" s="944">
        <f t="shared" si="2"/>
        <v>-9</v>
      </c>
      <c r="AE15" s="944">
        <f t="shared" si="2"/>
        <v>-10</v>
      </c>
      <c r="AF15" s="964">
        <f t="shared" si="2"/>
        <v>-11</v>
      </c>
      <c r="AG15" s="917"/>
      <c r="AH15" s="970"/>
      <c r="AI15" s="273"/>
    </row>
    <row r="16" spans="1:36" ht="15.75">
      <c r="A16" s="265"/>
      <c r="B16" s="893" t="s">
        <v>159</v>
      </c>
      <c r="C16" s="894"/>
      <c r="D16" s="894"/>
      <c r="E16" s="894"/>
      <c r="F16" s="691">
        <v>2</v>
      </c>
      <c r="G16" s="691"/>
      <c r="H16" s="691">
        <v>14</v>
      </c>
      <c r="I16" s="691"/>
      <c r="J16" s="691">
        <v>0</v>
      </c>
      <c r="K16" s="691"/>
      <c r="L16" s="691"/>
      <c r="M16" s="691">
        <v>16</v>
      </c>
      <c r="N16" s="898"/>
      <c r="O16" s="451"/>
      <c r="P16" s="87"/>
      <c r="Q16" s="939"/>
      <c r="R16" s="917"/>
      <c r="S16" s="933"/>
      <c r="T16" s="917"/>
      <c r="U16" s="917"/>
      <c r="V16" s="917"/>
      <c r="W16" s="934"/>
      <c r="X16" s="917"/>
      <c r="Y16" s="917"/>
      <c r="Z16" s="917"/>
      <c r="AA16" s="917"/>
      <c r="AB16" s="917"/>
      <c r="AC16" s="917"/>
      <c r="AD16" s="917"/>
      <c r="AE16" s="917"/>
      <c r="AF16" s="963"/>
      <c r="AG16" s="917"/>
      <c r="AH16" s="970"/>
      <c r="AI16" s="494"/>
    </row>
    <row r="17" spans="1:36" ht="15.75">
      <c r="A17" s="495"/>
      <c r="B17" s="893" t="s">
        <v>160</v>
      </c>
      <c r="C17" s="894"/>
      <c r="D17" s="894"/>
      <c r="E17" s="894"/>
      <c r="F17" s="691">
        <v>0</v>
      </c>
      <c r="G17" s="691"/>
      <c r="H17" s="691">
        <v>10</v>
      </c>
      <c r="I17" s="691"/>
      <c r="J17" s="691">
        <v>0</v>
      </c>
      <c r="K17" s="691"/>
      <c r="L17" s="691"/>
      <c r="M17" s="691">
        <v>10</v>
      </c>
      <c r="N17" s="898"/>
      <c r="O17" s="127"/>
      <c r="P17" s="87"/>
      <c r="Q17" s="935"/>
      <c r="R17" s="941"/>
      <c r="S17" s="944">
        <f>IF(INT($J$17*14/64 - S$12) = 0,$J$17, INT($J$17*14/64 - S$12))</f>
        <v>0</v>
      </c>
      <c r="T17" s="944">
        <f t="shared" ref="T17:AF17" si="3">IF(INT($J$17*14/64 - T$12) = 0,$J$17, INT($J$17*14/64 - T$12))</f>
        <v>-1</v>
      </c>
      <c r="U17" s="944">
        <f t="shared" si="3"/>
        <v>-2</v>
      </c>
      <c r="V17" s="944">
        <f t="shared" si="3"/>
        <v>-3</v>
      </c>
      <c r="W17" s="944">
        <f t="shared" si="3"/>
        <v>-4</v>
      </c>
      <c r="X17" s="944">
        <f t="shared" si="3"/>
        <v>-5</v>
      </c>
      <c r="Y17" s="944">
        <f t="shared" si="3"/>
        <v>-6</v>
      </c>
      <c r="Z17" s="944">
        <f t="shared" si="3"/>
        <v>-7</v>
      </c>
      <c r="AA17" s="944">
        <f t="shared" si="3"/>
        <v>-8</v>
      </c>
      <c r="AB17" s="944">
        <f t="shared" si="3"/>
        <v>-9</v>
      </c>
      <c r="AC17" s="944">
        <f t="shared" si="3"/>
        <v>-10</v>
      </c>
      <c r="AD17" s="944">
        <f t="shared" si="3"/>
        <v>-11</v>
      </c>
      <c r="AE17" s="944">
        <f t="shared" si="3"/>
        <v>-12</v>
      </c>
      <c r="AF17" s="964">
        <f t="shared" si="3"/>
        <v>-13</v>
      </c>
      <c r="AG17" s="917"/>
      <c r="AH17" s="970"/>
      <c r="AI17" s="273"/>
    </row>
    <row r="18" spans="1:36" ht="16.5" thickBot="1">
      <c r="A18" s="265"/>
      <c r="B18" s="895" t="s">
        <v>171</v>
      </c>
      <c r="C18" s="896"/>
      <c r="D18" s="896"/>
      <c r="E18" s="896"/>
      <c r="F18" s="897">
        <v>10</v>
      </c>
      <c r="G18" s="897"/>
      <c r="H18" s="897">
        <v>38</v>
      </c>
      <c r="I18" s="897"/>
      <c r="J18" s="876">
        <v>25</v>
      </c>
      <c r="K18" s="877"/>
      <c r="L18" s="878"/>
      <c r="M18" s="897">
        <v>38</v>
      </c>
      <c r="N18" s="899"/>
      <c r="O18" s="170"/>
      <c r="P18" s="89"/>
      <c r="Q18" s="939"/>
      <c r="R18" s="940" t="s">
        <v>160</v>
      </c>
      <c r="S18" s="942">
        <f>IF(INT($H$17*14/64 - S$12) = 0,$H$17, INT($H$17*14/64 - S$12))</f>
        <v>2</v>
      </c>
      <c r="T18" s="942">
        <f t="shared" ref="T18:AF18" si="4">IF(INT($H$17*14/64 - T$12) = 0,$H$17, INT($H$17*14/64 - T$12))</f>
        <v>1</v>
      </c>
      <c r="U18" s="942">
        <f t="shared" si="4"/>
        <v>10</v>
      </c>
      <c r="V18" s="942">
        <f t="shared" si="4"/>
        <v>-1</v>
      </c>
      <c r="W18" s="942">
        <f t="shared" si="4"/>
        <v>-2</v>
      </c>
      <c r="X18" s="942">
        <f t="shared" si="4"/>
        <v>-3</v>
      </c>
      <c r="Y18" s="942">
        <f t="shared" si="4"/>
        <v>-4</v>
      </c>
      <c r="Z18" s="942">
        <f t="shared" si="4"/>
        <v>-5</v>
      </c>
      <c r="AA18" s="942">
        <f t="shared" si="4"/>
        <v>-6</v>
      </c>
      <c r="AB18" s="942">
        <f t="shared" si="4"/>
        <v>-7</v>
      </c>
      <c r="AC18" s="942">
        <f t="shared" si="4"/>
        <v>-8</v>
      </c>
      <c r="AD18" s="942">
        <f t="shared" si="4"/>
        <v>-9</v>
      </c>
      <c r="AE18" s="942">
        <f t="shared" si="4"/>
        <v>-10</v>
      </c>
      <c r="AF18" s="942">
        <f t="shared" si="4"/>
        <v>-11</v>
      </c>
      <c r="AG18" s="917"/>
      <c r="AH18" s="970"/>
      <c r="AI18" s="273"/>
    </row>
    <row r="19" spans="1:36" ht="14.25" customHeight="1">
      <c r="A19" s="282"/>
      <c r="B19" s="139"/>
      <c r="C19" s="449"/>
      <c r="D19" s="449"/>
      <c r="E19" s="449"/>
      <c r="F19" s="118"/>
      <c r="G19" s="118"/>
      <c r="I19" s="449"/>
      <c r="J19" s="118"/>
      <c r="K19" s="449"/>
      <c r="L19" s="449"/>
      <c r="M19" s="118"/>
      <c r="N19" s="138"/>
      <c r="O19" s="90"/>
      <c r="P19" s="87"/>
      <c r="Q19" s="939"/>
      <c r="R19" s="936"/>
      <c r="S19" s="944">
        <f>IF(INT($F$17*14/64 - S$12) = 0,$F$17, INT($F$17*14/64 - S$12))</f>
        <v>0</v>
      </c>
      <c r="T19" s="944">
        <f t="shared" ref="T19:AF19" si="5">IF(INT($F$17*14/64 - T$12) = 0,$F$17, INT($F$17*14/64 - T$12))</f>
        <v>-1</v>
      </c>
      <c r="U19" s="944">
        <f t="shared" si="5"/>
        <v>-2</v>
      </c>
      <c r="V19" s="944">
        <f t="shared" si="5"/>
        <v>-3</v>
      </c>
      <c r="W19" s="944">
        <f t="shared" si="5"/>
        <v>-4</v>
      </c>
      <c r="X19" s="944">
        <f t="shared" si="5"/>
        <v>-5</v>
      </c>
      <c r="Y19" s="944">
        <f t="shared" si="5"/>
        <v>-6</v>
      </c>
      <c r="Z19" s="944">
        <f t="shared" si="5"/>
        <v>-7</v>
      </c>
      <c r="AA19" s="944">
        <f t="shared" si="5"/>
        <v>-8</v>
      </c>
      <c r="AB19" s="944">
        <f t="shared" si="5"/>
        <v>-9</v>
      </c>
      <c r="AC19" s="944">
        <f t="shared" si="5"/>
        <v>-10</v>
      </c>
      <c r="AD19" s="944">
        <f t="shared" si="5"/>
        <v>-11</v>
      </c>
      <c r="AE19" s="944">
        <f t="shared" si="5"/>
        <v>-12</v>
      </c>
      <c r="AF19" s="964">
        <f t="shared" si="5"/>
        <v>-13</v>
      </c>
      <c r="AG19" s="917"/>
      <c r="AH19" s="970"/>
      <c r="AI19" s="494"/>
    </row>
    <row r="20" spans="1:36">
      <c r="A20" s="265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88"/>
      <c r="P20" s="87"/>
      <c r="Q20" s="935"/>
      <c r="R20" s="936"/>
      <c r="S20" s="917"/>
      <c r="T20" s="917"/>
      <c r="U20" s="917"/>
      <c r="V20" s="917"/>
      <c r="W20" s="917"/>
      <c r="X20" s="917"/>
      <c r="Y20" s="917"/>
      <c r="Z20" s="917"/>
      <c r="AA20" s="917"/>
      <c r="AB20" s="917"/>
      <c r="AC20" s="917"/>
      <c r="AD20" s="917"/>
      <c r="AE20" s="917"/>
      <c r="AF20" s="963"/>
      <c r="AG20" s="917"/>
      <c r="AH20" s="970"/>
      <c r="AI20" s="496"/>
    </row>
    <row r="21" spans="1:36">
      <c r="A21" s="151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1"/>
      <c r="P21" s="111"/>
      <c r="Q21" s="938"/>
      <c r="R21" s="916"/>
      <c r="S21" s="943">
        <f>IF(INT($J$16*14/64 - S$12) = 0,$J$16, INT($J$16*14/64 - S$12))</f>
        <v>0</v>
      </c>
      <c r="T21" s="943">
        <f t="shared" ref="T21:AF21" si="6">IF(INT($J$16*14/64 - T$12) = 0,$J$16, INT($J$16*14/64 - T$12))</f>
        <v>-1</v>
      </c>
      <c r="U21" s="943">
        <f t="shared" si="6"/>
        <v>-2</v>
      </c>
      <c r="V21" s="943">
        <f t="shared" si="6"/>
        <v>-3</v>
      </c>
      <c r="W21" s="943">
        <f t="shared" si="6"/>
        <v>-4</v>
      </c>
      <c r="X21" s="943">
        <f t="shared" si="6"/>
        <v>-5</v>
      </c>
      <c r="Y21" s="943">
        <f t="shared" si="6"/>
        <v>-6</v>
      </c>
      <c r="Z21" s="943">
        <f t="shared" si="6"/>
        <v>-7</v>
      </c>
      <c r="AA21" s="943">
        <f t="shared" si="6"/>
        <v>-8</v>
      </c>
      <c r="AB21" s="943">
        <f t="shared" si="6"/>
        <v>-9</v>
      </c>
      <c r="AC21" s="943">
        <f t="shared" si="6"/>
        <v>-10</v>
      </c>
      <c r="AD21" s="943">
        <f t="shared" si="6"/>
        <v>-11</v>
      </c>
      <c r="AE21" s="943">
        <f t="shared" si="6"/>
        <v>-12</v>
      </c>
      <c r="AF21" s="966">
        <f t="shared" si="6"/>
        <v>-13</v>
      </c>
      <c r="AG21" s="917"/>
      <c r="AH21" s="970"/>
      <c r="AI21" s="436"/>
    </row>
    <row r="22" spans="1:36" ht="15.75">
      <c r="A22" s="379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88"/>
      <c r="P22" s="87"/>
      <c r="Q22" s="939"/>
      <c r="R22" s="940" t="s">
        <v>159</v>
      </c>
      <c r="S22" s="942">
        <f>IF(INT($H$16*14/64 - S$12) = 0,$H$16, INT($H$16*14/64 - S$12))</f>
        <v>3</v>
      </c>
      <c r="T22" s="942">
        <f t="shared" ref="T22:AF22" si="7">IF(INT($H$16*14/64 - T$12) = 0,$H$16, INT($H$16*14/64 - T$12))</f>
        <v>2</v>
      </c>
      <c r="U22" s="942">
        <f t="shared" si="7"/>
        <v>1</v>
      </c>
      <c r="V22" s="942">
        <f t="shared" si="7"/>
        <v>14</v>
      </c>
      <c r="W22" s="942">
        <f t="shared" si="7"/>
        <v>-1</v>
      </c>
      <c r="X22" s="942">
        <f t="shared" si="7"/>
        <v>-2</v>
      </c>
      <c r="Y22" s="942">
        <f t="shared" si="7"/>
        <v>-3</v>
      </c>
      <c r="Z22" s="942">
        <f t="shared" si="7"/>
        <v>-4</v>
      </c>
      <c r="AA22" s="942">
        <f t="shared" si="7"/>
        <v>-5</v>
      </c>
      <c r="AB22" s="942">
        <f t="shared" si="7"/>
        <v>-6</v>
      </c>
      <c r="AC22" s="942">
        <f t="shared" si="7"/>
        <v>-7</v>
      </c>
      <c r="AD22" s="942">
        <f t="shared" si="7"/>
        <v>-8</v>
      </c>
      <c r="AE22" s="942">
        <f t="shared" si="7"/>
        <v>-9</v>
      </c>
      <c r="AF22" s="942">
        <f t="shared" si="7"/>
        <v>-10</v>
      </c>
      <c r="AG22" s="917"/>
      <c r="AH22" s="970"/>
      <c r="AI22" s="273"/>
    </row>
    <row r="23" spans="1:36" ht="15.75">
      <c r="A23" s="151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88"/>
      <c r="P23" s="87"/>
      <c r="Q23" s="939"/>
      <c r="R23" s="917"/>
      <c r="S23" s="944">
        <f>IF(INT($F$16*14/64 - S$12) = 0,$F$16, INT($F$16*14/64 - S$12))</f>
        <v>2</v>
      </c>
      <c r="T23" s="944">
        <f t="shared" ref="T23:AF23" si="8">IF(INT($F$16*14/64 - T$12) = 0,$F$16, INT($F$16*14/64 - T$12))</f>
        <v>-1</v>
      </c>
      <c r="U23" s="944">
        <f t="shared" si="8"/>
        <v>-2</v>
      </c>
      <c r="V23" s="944">
        <f t="shared" si="8"/>
        <v>-3</v>
      </c>
      <c r="W23" s="944">
        <f t="shared" si="8"/>
        <v>-4</v>
      </c>
      <c r="X23" s="944">
        <f t="shared" si="8"/>
        <v>-5</v>
      </c>
      <c r="Y23" s="944">
        <f t="shared" si="8"/>
        <v>-6</v>
      </c>
      <c r="Z23" s="944">
        <f t="shared" si="8"/>
        <v>-7</v>
      </c>
      <c r="AA23" s="944">
        <f t="shared" si="8"/>
        <v>-8</v>
      </c>
      <c r="AB23" s="944">
        <f t="shared" si="8"/>
        <v>-9</v>
      </c>
      <c r="AC23" s="944">
        <f t="shared" si="8"/>
        <v>-10</v>
      </c>
      <c r="AD23" s="944">
        <f t="shared" si="8"/>
        <v>-11</v>
      </c>
      <c r="AE23" s="944">
        <f t="shared" si="8"/>
        <v>-12</v>
      </c>
      <c r="AF23" s="944">
        <f t="shared" si="8"/>
        <v>-13</v>
      </c>
      <c r="AG23" s="917"/>
      <c r="AH23" s="970"/>
      <c r="AI23" s="273"/>
    </row>
    <row r="24" spans="1:36">
      <c r="A24" s="151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88"/>
      <c r="P24" s="111"/>
      <c r="Q24" s="939"/>
      <c r="R24" s="917"/>
      <c r="S24" s="968"/>
      <c r="T24" s="968"/>
      <c r="U24" s="968"/>
      <c r="V24" s="968"/>
      <c r="W24" s="968"/>
      <c r="X24" s="968"/>
      <c r="Y24" s="968"/>
      <c r="Z24" s="968"/>
      <c r="AA24" s="968"/>
      <c r="AB24" s="968"/>
      <c r="AC24" s="968"/>
      <c r="AD24" s="968"/>
      <c r="AE24" s="968"/>
      <c r="AF24" s="933"/>
      <c r="AG24" s="917"/>
      <c r="AH24" s="970"/>
      <c r="AI24" s="494"/>
    </row>
    <row r="25" spans="1:36" ht="15.75" thickBot="1">
      <c r="A25" s="151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116"/>
      <c r="P25" s="111"/>
      <c r="Q25" s="962"/>
      <c r="R25" s="937"/>
      <c r="S25" s="937"/>
      <c r="T25" s="937"/>
      <c r="U25" s="937"/>
      <c r="V25" s="937"/>
      <c r="W25" s="937"/>
      <c r="X25" s="937"/>
      <c r="Y25" s="937"/>
      <c r="Z25" s="937"/>
      <c r="AA25" s="937"/>
      <c r="AB25" s="937"/>
      <c r="AC25" s="937"/>
      <c r="AD25" s="937"/>
      <c r="AE25" s="937"/>
      <c r="AF25" s="967"/>
      <c r="AG25" s="971"/>
      <c r="AH25" s="972"/>
      <c r="AI25" s="494"/>
    </row>
    <row r="26" spans="1:36" ht="11.25" customHeight="1" thickBot="1">
      <c r="A26" s="151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116"/>
      <c r="P26" s="90"/>
      <c r="Q26" s="485"/>
      <c r="S26" s="485"/>
      <c r="T26" s="485"/>
      <c r="U26" s="485"/>
      <c r="V26" s="485"/>
      <c r="W26" s="919"/>
      <c r="X26" s="115"/>
      <c r="Z26" s="89"/>
      <c r="AA26" s="89"/>
      <c r="AB26" s="89"/>
      <c r="AC26" s="89"/>
      <c r="AD26" s="89"/>
      <c r="AE26" s="89"/>
      <c r="AF26" s="115"/>
      <c r="AG26" s="115"/>
      <c r="AH26" s="115"/>
      <c r="AI26" s="180"/>
    </row>
    <row r="27" spans="1:36" ht="24" customHeight="1" thickBot="1">
      <c r="A27" s="265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P27" s="480"/>
      <c r="Q27" s="833" t="s">
        <v>244</v>
      </c>
      <c r="R27" s="834"/>
      <c r="S27" s="834"/>
      <c r="T27" s="834"/>
      <c r="U27" s="834"/>
      <c r="V27" s="834"/>
      <c r="W27" s="835"/>
      <c r="X27" s="484"/>
      <c r="Y27" s="476"/>
      <c r="Z27" s="262"/>
      <c r="AA27" s="262"/>
      <c r="AB27" s="262"/>
      <c r="AC27" s="262"/>
      <c r="AD27" s="262"/>
      <c r="AE27" s="90"/>
      <c r="AF27" s="90"/>
      <c r="AG27" s="90"/>
      <c r="AH27" s="90"/>
      <c r="AI27" s="180"/>
    </row>
    <row r="28" spans="1:36" ht="10.5" customHeight="1" thickBot="1">
      <c r="A28" s="151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88"/>
      <c r="P28" s="111"/>
      <c r="Q28" s="482"/>
      <c r="R28" s="483"/>
      <c r="S28" s="481"/>
      <c r="T28" s="482"/>
      <c r="U28" s="261"/>
      <c r="V28" s="482"/>
      <c r="W28" s="482"/>
      <c r="X28" s="262"/>
      <c r="Y28" s="262"/>
      <c r="Z28" s="262"/>
      <c r="AA28" s="262"/>
      <c r="AB28" s="262"/>
      <c r="AC28" s="262"/>
      <c r="AD28" s="262"/>
      <c r="AE28" s="90"/>
      <c r="AF28" s="90"/>
      <c r="AG28" s="90"/>
      <c r="AH28" s="90"/>
      <c r="AI28" s="180"/>
      <c r="AJ28" s="489"/>
    </row>
    <row r="29" spans="1:36" ht="15.75" thickBot="1">
      <c r="A29" s="347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88"/>
      <c r="P29" s="90"/>
      <c r="Q29" s="477"/>
      <c r="R29" s="208"/>
      <c r="S29" s="208"/>
      <c r="T29" s="836" t="s">
        <v>243</v>
      </c>
      <c r="U29" s="837"/>
      <c r="V29" s="838"/>
      <c r="W29" s="490"/>
      <c r="X29" s="477"/>
      <c r="Y29" s="208"/>
      <c r="Z29" s="477"/>
      <c r="AA29" s="261"/>
      <c r="AB29" s="208"/>
      <c r="AC29" s="477"/>
      <c r="AD29" s="261"/>
      <c r="AE29" s="477"/>
      <c r="AF29" s="115"/>
      <c r="AG29" s="115"/>
      <c r="AH29" s="90"/>
      <c r="AI29" s="180"/>
    </row>
    <row r="30" spans="1:36" ht="33" customHeight="1" thickBot="1">
      <c r="A30" s="282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6"/>
      <c r="Q30" s="798" t="s">
        <v>99</v>
      </c>
      <c r="R30" s="783"/>
      <c r="S30" s="783"/>
      <c r="T30" s="839"/>
      <c r="U30" s="840"/>
      <c r="V30" s="841"/>
      <c r="W30" s="798" t="s">
        <v>100</v>
      </c>
      <c r="X30" s="783"/>
      <c r="Y30" s="783"/>
      <c r="Z30" s="782" t="s">
        <v>101</v>
      </c>
      <c r="AA30" s="783"/>
      <c r="AB30" s="791"/>
      <c r="AC30" s="782" t="s">
        <v>102</v>
      </c>
      <c r="AD30" s="783"/>
      <c r="AE30" s="784"/>
      <c r="AF30" s="478"/>
      <c r="AG30" s="262"/>
      <c r="AH30" s="90"/>
      <c r="AI30" s="180"/>
    </row>
    <row r="31" spans="1:36" ht="15" customHeight="1">
      <c r="A31" s="265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1"/>
      <c r="P31" s="111"/>
      <c r="Q31" s="824"/>
      <c r="R31" s="825"/>
      <c r="S31" s="826"/>
      <c r="T31" s="827"/>
      <c r="U31" s="828"/>
      <c r="V31" s="829"/>
      <c r="W31" s="799"/>
      <c r="X31" s="800"/>
      <c r="Y31" s="800"/>
      <c r="Z31" s="785"/>
      <c r="AA31" s="786"/>
      <c r="AB31" s="792"/>
      <c r="AC31" s="785"/>
      <c r="AD31" s="786"/>
      <c r="AE31" s="787"/>
      <c r="AF31" s="479"/>
      <c r="AG31" s="90"/>
      <c r="AH31" s="90"/>
      <c r="AI31" s="180"/>
    </row>
    <row r="32" spans="1:36" ht="14.25" customHeight="1" thickBot="1">
      <c r="A32" s="151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1"/>
      <c r="P32" s="87"/>
      <c r="Q32" s="821"/>
      <c r="R32" s="822"/>
      <c r="S32" s="823"/>
      <c r="T32" s="801"/>
      <c r="U32" s="802"/>
      <c r="V32" s="803"/>
      <c r="W32" s="795"/>
      <c r="X32" s="796"/>
      <c r="Y32" s="796"/>
      <c r="Z32" s="769"/>
      <c r="AA32" s="770"/>
      <c r="AB32" s="788"/>
      <c r="AC32" s="769"/>
      <c r="AD32" s="770"/>
      <c r="AE32" s="771"/>
      <c r="AF32" s="88"/>
      <c r="AG32" s="90"/>
      <c r="AH32" s="90"/>
      <c r="AI32" s="180"/>
    </row>
    <row r="33" spans="1:35" ht="19.5" thickBot="1">
      <c r="A33" s="265"/>
      <c r="B33" s="745" t="s">
        <v>245</v>
      </c>
      <c r="C33" s="762"/>
      <c r="D33" s="762"/>
      <c r="E33" s="746"/>
      <c r="F33" s="742" t="s">
        <v>246</v>
      </c>
      <c r="G33" s="743"/>
      <c r="H33" s="743"/>
      <c r="I33" s="743"/>
      <c r="J33" s="743"/>
      <c r="K33" s="743"/>
      <c r="L33" s="744"/>
      <c r="M33" s="745" t="s">
        <v>155</v>
      </c>
      <c r="N33" s="746"/>
      <c r="O33" s="86"/>
      <c r="P33" s="111"/>
      <c r="Q33" s="821"/>
      <c r="R33" s="822"/>
      <c r="S33" s="823"/>
      <c r="T33" s="801"/>
      <c r="U33" s="802"/>
      <c r="V33" s="803"/>
      <c r="W33" s="795"/>
      <c r="X33" s="796"/>
      <c r="Y33" s="796"/>
      <c r="Z33" s="769"/>
      <c r="AA33" s="770"/>
      <c r="AB33" s="788"/>
      <c r="AC33" s="769"/>
      <c r="AD33" s="770"/>
      <c r="AE33" s="771"/>
      <c r="AF33" s="88"/>
      <c r="AG33" s="90"/>
      <c r="AH33" s="90"/>
      <c r="AI33" s="180"/>
    </row>
    <row r="34" spans="1:35" ht="30.75" customHeight="1" thickBot="1">
      <c r="A34" s="282"/>
      <c r="B34" s="747"/>
      <c r="C34" s="763"/>
      <c r="D34" s="763"/>
      <c r="E34" s="748"/>
      <c r="F34" s="764" t="s">
        <v>247</v>
      </c>
      <c r="G34" s="765"/>
      <c r="H34" s="766"/>
      <c r="I34" s="767" t="s">
        <v>248</v>
      </c>
      <c r="J34" s="768"/>
      <c r="K34" s="740" t="s">
        <v>249</v>
      </c>
      <c r="L34" s="741"/>
      <c r="M34" s="747"/>
      <c r="N34" s="748"/>
      <c r="O34" s="86"/>
      <c r="P34" s="111"/>
      <c r="Q34" s="821"/>
      <c r="R34" s="822"/>
      <c r="S34" s="823"/>
      <c r="T34" s="801"/>
      <c r="U34" s="802"/>
      <c r="V34" s="803"/>
      <c r="W34" s="795"/>
      <c r="X34" s="796"/>
      <c r="Y34" s="796"/>
      <c r="Z34" s="769"/>
      <c r="AA34" s="770"/>
      <c r="AB34" s="788"/>
      <c r="AC34" s="769"/>
      <c r="AD34" s="770"/>
      <c r="AE34" s="771"/>
      <c r="AF34" s="88"/>
      <c r="AG34" s="90"/>
      <c r="AH34" s="90"/>
      <c r="AI34" s="180"/>
    </row>
    <row r="35" spans="1:35" ht="22.5" customHeight="1">
      <c r="A35" s="497"/>
      <c r="B35" s="749" t="s">
        <v>161</v>
      </c>
      <c r="C35" s="749"/>
      <c r="D35" s="749"/>
      <c r="E35" s="749"/>
      <c r="F35" s="749">
        <v>4</v>
      </c>
      <c r="G35" s="749"/>
      <c r="H35" s="749"/>
      <c r="I35" s="749">
        <v>10</v>
      </c>
      <c r="J35" s="749"/>
      <c r="K35" s="749">
        <v>0</v>
      </c>
      <c r="L35" s="749"/>
      <c r="M35" s="749">
        <v>20</v>
      </c>
      <c r="N35" s="749"/>
      <c r="O35" s="91"/>
      <c r="P35" s="87"/>
      <c r="Q35" s="818"/>
      <c r="R35" s="819"/>
      <c r="S35" s="820"/>
      <c r="T35" s="804"/>
      <c r="U35" s="805"/>
      <c r="V35" s="806"/>
      <c r="W35" s="793"/>
      <c r="X35" s="794"/>
      <c r="Y35" s="794"/>
      <c r="Z35" s="772"/>
      <c r="AA35" s="773"/>
      <c r="AB35" s="780"/>
      <c r="AC35" s="772"/>
      <c r="AD35" s="773"/>
      <c r="AE35" s="774"/>
      <c r="AF35" s="88"/>
      <c r="AG35" s="90"/>
      <c r="AH35" s="90"/>
      <c r="AI35" s="180"/>
    </row>
    <row r="36" spans="1:35">
      <c r="A36" s="488"/>
      <c r="C36" s="491"/>
      <c r="E36" s="491"/>
      <c r="F36" s="491"/>
      <c r="H36" s="491"/>
      <c r="I36" s="491"/>
      <c r="K36" s="491"/>
      <c r="L36" s="492"/>
      <c r="M36" s="492"/>
      <c r="N36" s="491"/>
      <c r="O36" s="98"/>
      <c r="Q36" s="818"/>
      <c r="R36" s="819"/>
      <c r="S36" s="820"/>
      <c r="T36" s="804"/>
      <c r="U36" s="805"/>
      <c r="V36" s="806"/>
      <c r="W36" s="793"/>
      <c r="X36" s="794"/>
      <c r="Y36" s="794"/>
      <c r="Z36" s="772"/>
      <c r="AA36" s="773"/>
      <c r="AB36" s="780"/>
      <c r="AC36" s="772"/>
      <c r="AD36" s="773"/>
      <c r="AE36" s="774"/>
      <c r="AF36" s="88"/>
      <c r="AG36" s="90"/>
      <c r="AH36" s="90"/>
      <c r="AI36" s="180"/>
    </row>
    <row r="37" spans="1:35">
      <c r="A37" s="151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88"/>
      <c r="P37" s="87"/>
      <c r="Q37" s="818"/>
      <c r="R37" s="819"/>
      <c r="S37" s="820"/>
      <c r="T37" s="804"/>
      <c r="U37" s="805"/>
      <c r="V37" s="806"/>
      <c r="W37" s="793"/>
      <c r="X37" s="794"/>
      <c r="Y37" s="794"/>
      <c r="Z37" s="772"/>
      <c r="AA37" s="773"/>
      <c r="AB37" s="780"/>
      <c r="AC37" s="772"/>
      <c r="AD37" s="773"/>
      <c r="AE37" s="774"/>
      <c r="AF37" s="88"/>
      <c r="AG37" s="90"/>
      <c r="AH37" s="90"/>
      <c r="AI37" s="180"/>
    </row>
    <row r="38" spans="1:35">
      <c r="A38" s="151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88"/>
      <c r="P38" s="87"/>
      <c r="Q38" s="818"/>
      <c r="R38" s="819"/>
      <c r="S38" s="820"/>
      <c r="T38" s="804"/>
      <c r="U38" s="805"/>
      <c r="V38" s="806"/>
      <c r="W38" s="793"/>
      <c r="X38" s="794"/>
      <c r="Y38" s="794"/>
      <c r="Z38" s="772"/>
      <c r="AA38" s="773"/>
      <c r="AB38" s="780"/>
      <c r="AC38" s="772"/>
      <c r="AD38" s="773"/>
      <c r="AE38" s="774"/>
      <c r="AF38" s="116"/>
      <c r="AG38" s="115"/>
      <c r="AH38" s="90"/>
      <c r="AI38" s="180"/>
    </row>
    <row r="39" spans="1:35">
      <c r="A39" s="151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P39" s="87"/>
      <c r="Q39" s="818"/>
      <c r="R39" s="819"/>
      <c r="S39" s="820"/>
      <c r="T39" s="804"/>
      <c r="U39" s="805"/>
      <c r="V39" s="806"/>
      <c r="W39" s="793"/>
      <c r="X39" s="794"/>
      <c r="Y39" s="794"/>
      <c r="Z39" s="772"/>
      <c r="AA39" s="773"/>
      <c r="AB39" s="780"/>
      <c r="AC39" s="772"/>
      <c r="AD39" s="773"/>
      <c r="AE39" s="774"/>
      <c r="AF39" s="88"/>
      <c r="AG39" s="90"/>
      <c r="AH39" s="90"/>
      <c r="AI39" s="180"/>
    </row>
    <row r="40" spans="1:35">
      <c r="A40" s="151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1"/>
      <c r="P40" s="95"/>
      <c r="Q40" s="818"/>
      <c r="R40" s="819"/>
      <c r="S40" s="820"/>
      <c r="T40" s="804"/>
      <c r="U40" s="805"/>
      <c r="V40" s="806"/>
      <c r="W40" s="793"/>
      <c r="X40" s="794"/>
      <c r="Y40" s="794"/>
      <c r="Z40" s="772"/>
      <c r="AA40" s="773"/>
      <c r="AB40" s="780"/>
      <c r="AC40" s="772"/>
      <c r="AD40" s="773"/>
      <c r="AE40" s="774"/>
      <c r="AF40" s="88"/>
      <c r="AG40" s="90"/>
      <c r="AH40" s="90"/>
      <c r="AI40" s="180"/>
    </row>
    <row r="41" spans="1:35">
      <c r="A41" s="151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86"/>
      <c r="P41" s="87"/>
      <c r="Q41" s="821"/>
      <c r="R41" s="822"/>
      <c r="S41" s="823"/>
      <c r="T41" s="801"/>
      <c r="U41" s="802"/>
      <c r="V41" s="803"/>
      <c r="W41" s="795"/>
      <c r="X41" s="796"/>
      <c r="Y41" s="796"/>
      <c r="Z41" s="769"/>
      <c r="AA41" s="770"/>
      <c r="AB41" s="788"/>
      <c r="AC41" s="769"/>
      <c r="AD41" s="770"/>
      <c r="AE41" s="771"/>
      <c r="AF41" s="88"/>
      <c r="AG41" s="90"/>
      <c r="AH41" s="90"/>
      <c r="AI41" s="180"/>
    </row>
    <row r="42" spans="1:35">
      <c r="A42" s="151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88"/>
      <c r="P42" s="87"/>
      <c r="Q42" s="821"/>
      <c r="R42" s="822"/>
      <c r="S42" s="823"/>
      <c r="T42" s="801"/>
      <c r="U42" s="802"/>
      <c r="V42" s="803"/>
      <c r="W42" s="795"/>
      <c r="X42" s="796"/>
      <c r="Y42" s="796"/>
      <c r="Z42" s="769"/>
      <c r="AA42" s="770"/>
      <c r="AB42" s="788"/>
      <c r="AC42" s="769"/>
      <c r="AD42" s="770"/>
      <c r="AE42" s="771"/>
      <c r="AF42" s="88"/>
      <c r="AG42" s="90"/>
      <c r="AH42" s="90"/>
      <c r="AI42" s="180"/>
    </row>
    <row r="43" spans="1:35">
      <c r="A43" s="151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P43" s="87"/>
      <c r="Q43" s="810"/>
      <c r="R43" s="811"/>
      <c r="S43" s="812"/>
      <c r="T43" s="804"/>
      <c r="U43" s="805"/>
      <c r="V43" s="806"/>
      <c r="W43" s="793"/>
      <c r="X43" s="794"/>
      <c r="Y43" s="794"/>
      <c r="Z43" s="772"/>
      <c r="AA43" s="773"/>
      <c r="AB43" s="780"/>
      <c r="AC43" s="772"/>
      <c r="AD43" s="773"/>
      <c r="AE43" s="774"/>
      <c r="AF43" s="88"/>
      <c r="AG43" s="90"/>
      <c r="AH43" s="90"/>
      <c r="AI43" s="180"/>
    </row>
    <row r="44" spans="1:35">
      <c r="A44" s="151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86"/>
      <c r="P44" s="111"/>
      <c r="Q44" s="810"/>
      <c r="R44" s="811"/>
      <c r="S44" s="812"/>
      <c r="T44" s="804"/>
      <c r="U44" s="805"/>
      <c r="V44" s="806"/>
      <c r="W44" s="793"/>
      <c r="X44" s="794"/>
      <c r="Y44" s="794"/>
      <c r="Z44" s="772"/>
      <c r="AA44" s="773"/>
      <c r="AB44" s="780"/>
      <c r="AC44" s="772"/>
      <c r="AD44" s="773"/>
      <c r="AE44" s="774"/>
      <c r="AF44" s="88"/>
      <c r="AG44" s="90"/>
      <c r="AH44" s="90"/>
      <c r="AI44" s="180"/>
    </row>
    <row r="45" spans="1:35">
      <c r="A45" s="151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1"/>
      <c r="P45" s="111"/>
      <c r="Q45" s="813"/>
      <c r="R45" s="814"/>
      <c r="S45" s="815"/>
      <c r="T45" s="807"/>
      <c r="U45" s="808"/>
      <c r="V45" s="809"/>
      <c r="W45" s="789"/>
      <c r="X45" s="790"/>
      <c r="Y45" s="790"/>
      <c r="Z45" s="775"/>
      <c r="AA45" s="776"/>
      <c r="AB45" s="781"/>
      <c r="AC45" s="775"/>
      <c r="AD45" s="776"/>
      <c r="AE45" s="777"/>
      <c r="AF45" s="88"/>
      <c r="AG45" s="90"/>
      <c r="AH45" s="90"/>
      <c r="AI45" s="180"/>
    </row>
    <row r="46" spans="1:35">
      <c r="A46" s="151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1"/>
      <c r="P46" s="111"/>
      <c r="Q46" s="816"/>
      <c r="R46" s="817"/>
      <c r="S46" s="817"/>
      <c r="T46" s="797"/>
      <c r="U46" s="797"/>
      <c r="V46" s="797"/>
      <c r="W46" s="778"/>
      <c r="X46" s="778"/>
      <c r="Y46" s="778"/>
      <c r="Z46" s="778"/>
      <c r="AA46" s="778"/>
      <c r="AB46" s="778"/>
      <c r="AC46" s="778"/>
      <c r="AD46" s="778"/>
      <c r="AE46" s="779"/>
      <c r="AF46" s="88"/>
      <c r="AG46" s="90"/>
      <c r="AH46" s="90"/>
      <c r="AI46" s="180"/>
    </row>
    <row r="47" spans="1:35" ht="15.75" thickBot="1">
      <c r="A47" s="151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1"/>
      <c r="P47" s="111"/>
      <c r="Q47" s="750"/>
      <c r="R47" s="751"/>
      <c r="S47" s="752"/>
      <c r="T47" s="753"/>
      <c r="U47" s="754"/>
      <c r="V47" s="755"/>
      <c r="W47" s="756"/>
      <c r="X47" s="757"/>
      <c r="Y47" s="757"/>
      <c r="Z47" s="758"/>
      <c r="AA47" s="759"/>
      <c r="AB47" s="760"/>
      <c r="AC47" s="758"/>
      <c r="AD47" s="759"/>
      <c r="AE47" s="761"/>
      <c r="AF47" s="91"/>
      <c r="AG47" s="98"/>
      <c r="AH47" s="90"/>
      <c r="AI47" s="180"/>
    </row>
    <row r="48" spans="1:35">
      <c r="A48" s="151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  <c r="AD48" s="115"/>
      <c r="AE48" s="115"/>
      <c r="AF48" s="90"/>
      <c r="AG48" s="90"/>
      <c r="AH48" s="90"/>
      <c r="AI48" s="180"/>
    </row>
    <row r="49" spans="1:35">
      <c r="A49" s="151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90"/>
      <c r="AI49" s="180"/>
    </row>
    <row r="50" spans="1:35" ht="15.75" thickBot="1">
      <c r="A50" s="152"/>
      <c r="B50" s="181"/>
      <c r="C50" s="181"/>
      <c r="D50" s="181"/>
      <c r="E50" s="181"/>
      <c r="F50" s="181"/>
      <c r="G50" s="181"/>
      <c r="H50" s="181"/>
      <c r="I50" s="181"/>
      <c r="J50" s="181"/>
      <c r="K50" s="181"/>
      <c r="L50" s="181"/>
      <c r="M50" s="181"/>
      <c r="N50" s="181"/>
      <c r="O50" s="181"/>
      <c r="P50" s="181"/>
      <c r="Q50" s="181"/>
      <c r="R50" s="181"/>
      <c r="S50" s="181"/>
      <c r="T50" s="181"/>
      <c r="U50" s="181"/>
      <c r="V50" s="181"/>
      <c r="W50" s="181"/>
      <c r="X50" s="181"/>
      <c r="Y50" s="181"/>
      <c r="Z50" s="181"/>
      <c r="AA50" s="181"/>
      <c r="AB50" s="181"/>
      <c r="AC50" s="181"/>
      <c r="AD50" s="181"/>
      <c r="AE50" s="181"/>
      <c r="AF50" s="181"/>
      <c r="AG50" s="181"/>
      <c r="AH50" s="181"/>
      <c r="AI50" s="153"/>
    </row>
    <row r="51" spans="1:35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</row>
    <row r="52" spans="1:35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90"/>
      <c r="AI52" s="90"/>
    </row>
    <row r="53" spans="1:35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  <c r="AI53" s="90"/>
    </row>
    <row r="54" spans="1:35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0"/>
    </row>
    <row r="55" spans="1:3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90"/>
      <c r="AI55" s="90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T36:V36"/>
    <mergeCell ref="AC40:AE40"/>
    <mergeCell ref="Q43:S43"/>
    <mergeCell ref="Q44:S44"/>
    <mergeCell ref="Q45:S45"/>
    <mergeCell ref="Q46:S46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T46:V46"/>
    <mergeCell ref="W30:Y30"/>
    <mergeCell ref="W31:Y31"/>
    <mergeCell ref="W32:Y32"/>
    <mergeCell ref="W33:Y33"/>
    <mergeCell ref="W34:Y34"/>
    <mergeCell ref="W35:Y35"/>
    <mergeCell ref="W36:Y36"/>
    <mergeCell ref="W37:Y37"/>
    <mergeCell ref="T41:V41"/>
    <mergeCell ref="T42:V42"/>
    <mergeCell ref="T43:V43"/>
    <mergeCell ref="T44:V44"/>
    <mergeCell ref="T45:V45"/>
    <mergeCell ref="W44:Y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T47:V47"/>
    <mergeCell ref="W47:Y47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46:Y46"/>
    <mergeCell ref="W38:Y38"/>
    <mergeCell ref="W39:Y39"/>
    <mergeCell ref="K34:L34"/>
    <mergeCell ref="F33:L33"/>
    <mergeCell ref="M33:N34"/>
    <mergeCell ref="B35:E35"/>
    <mergeCell ref="F35:H35"/>
    <mergeCell ref="I35:J35"/>
    <mergeCell ref="K35:L35"/>
    <mergeCell ref="M35:N35"/>
    <mergeCell ref="Q47:S47"/>
  </mergeCells>
  <conditionalFormatting sqref="S14:AF14">
    <cfRule type="cellIs" dxfId="33" priority="47" operator="lessThan">
      <formula>0</formula>
    </cfRule>
    <cfRule type="cellIs" dxfId="32" priority="48" operator="greaterThanOrEqual">
      <formula>1</formula>
    </cfRule>
  </conditionalFormatting>
  <conditionalFormatting sqref="S13:AF13">
    <cfRule type="cellIs" dxfId="31" priority="29" operator="greaterThanOrEqual">
      <formula>$J$18</formula>
    </cfRule>
    <cfRule type="cellIs" dxfId="30" priority="46" operator="greaterThanOrEqual">
      <formula>1</formula>
    </cfRule>
  </conditionalFormatting>
  <conditionalFormatting sqref="S13:AF13">
    <cfRule type="cellIs" dxfId="29" priority="45" operator="lessThan">
      <formula>0</formula>
    </cfRule>
  </conditionalFormatting>
  <conditionalFormatting sqref="S15:AF15">
    <cfRule type="cellIs" dxfId="2" priority="13" operator="equal">
      <formula>$F$18</formula>
    </cfRule>
    <cfRule type="cellIs" dxfId="1" priority="44" operator="greaterThanOrEqual">
      <formula>1</formula>
    </cfRule>
  </conditionalFormatting>
  <conditionalFormatting sqref="S15:AF15">
    <cfRule type="cellIs" dxfId="0" priority="43" operator="lessThan">
      <formula>0</formula>
    </cfRule>
  </conditionalFormatting>
  <conditionalFormatting sqref="S14:AF14">
    <cfRule type="cellIs" dxfId="24" priority="30" operator="equal">
      <formula>$H$18</formula>
    </cfRule>
  </conditionalFormatting>
  <conditionalFormatting sqref="S18:AF18">
    <cfRule type="cellIs" dxfId="23" priority="24" operator="lessThan">
      <formula>0</formula>
    </cfRule>
    <cfRule type="cellIs" dxfId="22" priority="25" operator="greaterThanOrEqual">
      <formula>1</formula>
    </cfRule>
  </conditionalFormatting>
  <conditionalFormatting sqref="S18:AF18">
    <cfRule type="cellIs" dxfId="21" priority="23" operator="equal">
      <formula>$H$17</formula>
    </cfRule>
  </conditionalFormatting>
  <conditionalFormatting sqref="S22:AF22">
    <cfRule type="cellIs" dxfId="20" priority="21" operator="lessThan">
      <formula>0</formula>
    </cfRule>
    <cfRule type="cellIs" dxfId="19" priority="22" operator="greaterThanOrEqual">
      <formula>1</formula>
    </cfRule>
  </conditionalFormatting>
  <conditionalFormatting sqref="S22:AF22">
    <cfRule type="cellIs" dxfId="18" priority="20" operator="equal">
      <formula>$H$16</formula>
    </cfRule>
  </conditionalFormatting>
  <conditionalFormatting sqref="S17:AF17">
    <cfRule type="cellIs" dxfId="17" priority="17" operator="greaterThanOrEqual">
      <formula>$J$17</formula>
    </cfRule>
    <cfRule type="cellIs" dxfId="16" priority="19" operator="greaterThanOrEqual">
      <formula>1</formula>
    </cfRule>
  </conditionalFormatting>
  <conditionalFormatting sqref="S17:AF17">
    <cfRule type="cellIs" dxfId="15" priority="18" operator="lessThan">
      <formula>0</formula>
    </cfRule>
  </conditionalFormatting>
  <conditionalFormatting sqref="S21:AF21">
    <cfRule type="cellIs" dxfId="14" priority="14" operator="greaterThanOrEqual">
      <formula>$J$16</formula>
    </cfRule>
    <cfRule type="cellIs" dxfId="13" priority="16" operator="greaterThanOrEqual">
      <formula>1</formula>
    </cfRule>
  </conditionalFormatting>
  <conditionalFormatting sqref="S21:AF21">
    <cfRule type="cellIs" dxfId="12" priority="15" operator="lessThan">
      <formula>0</formula>
    </cfRule>
  </conditionalFormatting>
  <conditionalFormatting sqref="S23:AF23">
    <cfRule type="cellIs" dxfId="11" priority="4" operator="equal">
      <formula>$F$16</formula>
    </cfRule>
    <cfRule type="cellIs" dxfId="10" priority="6" operator="greaterThanOrEqual">
      <formula>1</formula>
    </cfRule>
  </conditionalFormatting>
  <conditionalFormatting sqref="S23:AF23">
    <cfRule type="cellIs" dxfId="9" priority="5" operator="lessThan">
      <formula>0</formula>
    </cfRule>
  </conditionalFormatting>
  <conditionalFormatting sqref="S19:AF19">
    <cfRule type="cellIs" dxfId="8" priority="1" operator="equal">
      <formula>$F$17</formula>
    </cfRule>
    <cfRule type="cellIs" dxfId="7" priority="3" operator="greaterThanOrEqual">
      <formula>1</formula>
    </cfRule>
  </conditionalFormatting>
  <conditionalFormatting sqref="S19:AF19">
    <cfRule type="cellIs" dxfId="6" priority="2" operator="lessThan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3" sqref="A3:D14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98" t="s">
        <v>198</v>
      </c>
      <c r="B2" s="298" t="s">
        <v>199</v>
      </c>
      <c r="C2" s="298" t="s">
        <v>200</v>
      </c>
      <c r="D2" s="298" t="s">
        <v>201</v>
      </c>
    </row>
    <row r="3" spans="1:4" ht="58.5" customHeight="1">
      <c r="A3" s="422"/>
      <c r="B3" s="418"/>
      <c r="C3" s="424"/>
      <c r="D3" s="424"/>
    </row>
    <row r="4" spans="1:4" ht="68.25" customHeight="1">
      <c r="A4" s="423"/>
      <c r="B4" s="419"/>
      <c r="C4" s="424"/>
      <c r="D4" s="424"/>
    </row>
    <row r="5" spans="1:4" ht="47.25" customHeight="1">
      <c r="A5" s="423"/>
      <c r="B5" s="418"/>
      <c r="C5" s="424"/>
      <c r="D5" s="424"/>
    </row>
    <row r="6" spans="1:4" ht="45" customHeight="1">
      <c r="A6" s="423"/>
      <c r="B6" s="419"/>
      <c r="C6" s="424"/>
      <c r="D6" s="424"/>
    </row>
    <row r="7" spans="1:4" ht="66" customHeight="1">
      <c r="A7" s="423"/>
      <c r="B7" s="418"/>
      <c r="C7" s="424"/>
      <c r="D7" s="424"/>
    </row>
    <row r="8" spans="1:4" ht="48.75" customHeight="1">
      <c r="A8" s="423"/>
      <c r="B8" s="419"/>
      <c r="C8" s="424"/>
      <c r="D8" s="424"/>
    </row>
    <row r="9" spans="1:4" ht="52.5" customHeight="1">
      <c r="A9" s="423"/>
      <c r="B9" s="418"/>
      <c r="C9" s="424"/>
      <c r="D9" s="424"/>
    </row>
    <row r="10" spans="1:4" ht="32.25" customHeight="1">
      <c r="A10" s="423"/>
      <c r="B10" s="419"/>
      <c r="C10" s="424"/>
      <c r="D10" s="424"/>
    </row>
    <row r="11" spans="1:4" ht="14.25" customHeight="1">
      <c r="A11" s="423"/>
      <c r="B11" s="418"/>
      <c r="C11" s="424"/>
      <c r="D11" s="424"/>
    </row>
    <row r="12" spans="1:4">
      <c r="A12" s="423"/>
      <c r="B12" s="420"/>
      <c r="C12" s="424"/>
      <c r="D12" s="424"/>
    </row>
    <row r="13" spans="1:4">
      <c r="A13" s="423"/>
      <c r="B13" s="419"/>
      <c r="C13" s="424"/>
      <c r="D13" s="424"/>
    </row>
    <row r="14" spans="1:4">
      <c r="A14" s="423"/>
      <c r="B14" s="421"/>
      <c r="C14" s="424"/>
      <c r="D14" s="424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6</vt:i4>
      </vt:variant>
    </vt:vector>
  </HeadingPairs>
  <TitlesOfParts>
    <vt:vector size="20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2025-05-16T21:09:42Z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