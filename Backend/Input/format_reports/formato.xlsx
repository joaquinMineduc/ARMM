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hidePivotFieldList="1" defaultThemeVersion="124226"/>
  <xr:revisionPtr revIDLastSave="0" documentId="13_ncr:1_{8DB1D1CB-DA50-4CD6-9234-6EC432B19F0E}" xr6:coauthVersionLast="47" xr6:coauthVersionMax="47" xr10:uidLastSave="{00000000-0000-0000-0000-000000000000}"/>
  <bookViews>
    <workbookView xWindow="1560" yWindow="1560" windowWidth="21600" windowHeight="11295" tabRatio="719" firstSheet="10" activeTab="10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ADP_II'!$A$1:$L$23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55" l="1"/>
  <c r="K7" i="55"/>
  <c r="D25" i="35"/>
  <c r="D27" i="35"/>
  <c r="D26" i="35"/>
  <c r="D15" i="35"/>
  <c r="D12" i="35"/>
  <c r="D11" i="35"/>
  <c r="D14" i="35"/>
  <c r="D13" i="35"/>
  <c r="R13" i="35"/>
  <c r="R12" i="35"/>
  <c r="R11" i="35"/>
  <c r="R10" i="35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F25" i="55" l="1"/>
  <c r="N7" i="55" s="1"/>
  <c r="E15" i="55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29" i="35"/>
</calcChain>
</file>

<file path=xl/sharedStrings.xml><?xml version="1.0" encoding="utf-8"?>
<sst xmlns="http://schemas.openxmlformats.org/spreadsheetml/2006/main" count="308" uniqueCount="192">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</sst>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b/>
      <sz val="18"/>
      <color theme="4" tint="-0.499984740745262"/>
      <name val="Calibri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</fills>
  <borders count="3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/>
      <diagonal/>
    </border>
    <border>
      <left style="thin">
        <color theme="0"/>
      </left>
      <right/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81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5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6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0" fillId="0" borderId="154" xfId="0" applyFont="1" applyBorder="1" applyAlignment="1">
      <alignment horizontal="center" vertical="center"/>
    </xf>
    <xf numFmtId="0" fontId="110" fillId="0" borderId="316" xfId="0" applyFont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06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1" borderId="15" xfId="0" applyFont="1" applyFill="1" applyBorder="1" applyAlignment="1">
      <alignment horizontal="center" vertical="center" wrapText="1"/>
    </xf>
    <xf numFmtId="0" fontId="112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50" xfId="0" applyFont="1" applyBorder="1" applyAlignment="1">
      <alignment horizontal="center" vertical="center"/>
    </xf>
    <xf numFmtId="14" fontId="63" fillId="0" borderId="54" xfId="0" applyNumberFormat="1" applyFont="1" applyBorder="1" applyAlignment="1">
      <alignment horizontal="center" vertical="center"/>
    </xf>
    <xf numFmtId="14" fontId="63" fillId="0" borderId="50" xfId="0" applyNumberFormat="1" applyFont="1" applyBorder="1" applyAlignment="1">
      <alignment horizontal="center" vertical="center"/>
    </xf>
    <xf numFmtId="0" fontId="63" fillId="0" borderId="27" xfId="0" applyFont="1" applyBorder="1" applyAlignment="1">
      <alignment horizontal="center" vertical="center"/>
    </xf>
    <xf numFmtId="14" fontId="63" fillId="0" borderId="32" xfId="0" applyNumberFormat="1" applyFont="1" applyBorder="1" applyAlignment="1">
      <alignment horizontal="center" vertical="center"/>
    </xf>
    <xf numFmtId="14" fontId="63" fillId="0" borderId="28" xfId="0" applyNumberFormat="1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/>
    </xf>
    <xf numFmtId="0" fontId="66" fillId="0" borderId="342" xfId="0" applyFont="1" applyBorder="1" applyAlignment="1">
      <alignment horizontal="center" vertical="center"/>
    </xf>
    <xf numFmtId="0" fontId="66" fillId="0" borderId="15" xfId="0" applyFont="1" applyBorder="1" applyAlignment="1">
      <alignment horizontal="center" vertical="center"/>
    </xf>
    <xf numFmtId="0" fontId="19" fillId="2" borderId="324" xfId="0" applyFont="1" applyFill="1" applyBorder="1" applyAlignment="1">
      <alignment horizontal="left" vertical="center"/>
    </xf>
    <xf numFmtId="0" fontId="19" fillId="2" borderId="327" xfId="0" applyFont="1" applyFill="1" applyBorder="1" applyAlignment="1">
      <alignment horizontal="left" vertical="center"/>
    </xf>
    <xf numFmtId="0" fontId="19" fillId="3" borderId="327" xfId="0" applyFont="1" applyFill="1" applyBorder="1" applyAlignment="1">
      <alignment horizontal="right" vertical="center"/>
    </xf>
    <xf numFmtId="0" fontId="19" fillId="3" borderId="327" xfId="0" applyFont="1" applyFill="1" applyBorder="1" applyAlignment="1">
      <alignment horizontal="right" wrapText="1"/>
    </xf>
    <xf numFmtId="0" fontId="19" fillId="2" borderId="329" xfId="0" applyFont="1" applyFill="1" applyBorder="1" applyAlignment="1">
      <alignment horizontal="left"/>
    </xf>
    <xf numFmtId="0" fontId="110" fillId="0" borderId="316" xfId="0" applyFont="1" applyBorder="1" applyAlignment="1">
      <alignment horizontal="center" wrapText="1"/>
    </xf>
    <xf numFmtId="0" fontId="110" fillId="0" borderId="344" xfId="0" applyFont="1" applyBorder="1" applyAlignment="1">
      <alignment horizontal="center" vertical="center" wrapText="1"/>
    </xf>
    <xf numFmtId="0" fontId="0" fillId="0" borderId="60" xfId="0" applyBorder="1" applyAlignment="1">
      <alignment vertical="center" wrapText="1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14" fontId="63" fillId="0" borderId="4" xfId="0" applyNumberFormat="1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0" fontId="64" fillId="0" borderId="210" xfId="0" applyFont="1" applyBorder="1" applyAlignment="1">
      <alignment horizontal="left" vertical="top" wrapText="1"/>
    </xf>
    <xf numFmtId="0" fontId="64" fillId="0" borderId="153" xfId="0" applyFont="1" applyBorder="1" applyAlignment="1">
      <alignment horizontal="left" vertical="top" wrapText="1"/>
    </xf>
    <xf numFmtId="0" fontId="64" fillId="0" borderId="154" xfId="0" applyFont="1" applyBorder="1" applyAlignment="1">
      <alignment horizontal="left" vertical="top" wrapText="1"/>
    </xf>
    <xf numFmtId="0" fontId="64" fillId="0" borderId="50" xfId="0" applyFont="1" applyBorder="1" applyAlignment="1">
      <alignment horizontal="left" vertical="top" wrapText="1"/>
    </xf>
    <xf numFmtId="14" fontId="63" fillId="0" borderId="32" xfId="0" applyNumberFormat="1" applyFont="1" applyBorder="1" applyAlignment="1">
      <alignment horizontal="center" vertical="center"/>
    </xf>
    <xf numFmtId="0" fontId="63" fillId="0" borderId="32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0" fontId="64" fillId="0" borderId="343" xfId="0" applyFont="1" applyBorder="1" applyAlignment="1">
      <alignment horizontal="left" vertical="top" wrapText="1"/>
    </xf>
    <xf numFmtId="0" fontId="64" fillId="0" borderId="16" xfId="0" applyFont="1" applyBorder="1" applyAlignment="1">
      <alignment horizontal="left" vertical="top" wrapText="1"/>
    </xf>
    <xf numFmtId="0" fontId="64" fillId="0" borderId="42" xfId="0" applyFont="1" applyBorder="1" applyAlignment="1">
      <alignment horizontal="left" vertical="top" wrapText="1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8" fillId="13" borderId="140" xfId="0" applyFont="1" applyFill="1" applyBorder="1" applyAlignment="1">
      <alignment horizontal="center" vertical="center"/>
    </xf>
    <xf numFmtId="0" fontId="108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7" fillId="13" borderId="153" xfId="0" applyFont="1" applyFill="1" applyBorder="1" applyAlignment="1">
      <alignment horizontal="center" vertical="center"/>
    </xf>
    <xf numFmtId="0" fontId="107" fillId="13" borderId="154" xfId="0" applyFont="1" applyFill="1" applyBorder="1" applyAlignment="1">
      <alignment horizontal="center" vertical="center"/>
    </xf>
    <xf numFmtId="0" fontId="109" fillId="13" borderId="189" xfId="0" applyFont="1" applyFill="1" applyBorder="1" applyAlignment="1">
      <alignment horizontal="center" vertical="center"/>
    </xf>
    <xf numFmtId="0" fontId="109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14" fillId="0" borderId="228" xfId="0" applyFont="1" applyBorder="1" applyAlignment="1">
      <alignment horizontal="left" vertical="center"/>
    </xf>
    <xf numFmtId="0" fontId="114" fillId="0" borderId="229" xfId="0" applyFont="1" applyBorder="1" applyAlignment="1">
      <alignment horizontal="left" vertical="center"/>
    </xf>
    <xf numFmtId="0" fontId="114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0" fillId="0" borderId="152" xfId="0" applyFont="1" applyBorder="1" applyAlignment="1">
      <alignment horizontal="center" vertical="center"/>
    </xf>
    <xf numFmtId="0" fontId="110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1" fillId="0" borderId="51" xfId="0" applyFont="1" applyBorder="1" applyAlignment="1">
      <alignment horizontal="left" vertical="center" wrapText="1"/>
    </xf>
    <xf numFmtId="0" fontId="111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8405549178221811E-2"/>
          <c:y val="0"/>
          <c:w val="0.92839209892452568"/>
          <c:h val="0.87797396482705137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data_panel!$C$4:$C$6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5421-4A8E-ADAB-905BB57D8B88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data_panel!$D$4:$D$6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421-4A8E-ADAB-905BB57D8B88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data_panel!$B$4:$B$6</c:f>
              <c:numCache>
                <c:formatCode>General</c:formatCode>
                <c:ptCount val="3"/>
              </c:numCache>
            </c:numRef>
          </c:cat>
          <c:val>
            <c:numRef>
              <c:f>data_panel!$E$4:$E$6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5421-4A8E-ADAB-905BB57D8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532874252026046E-2"/>
          <c:y val="2.680056667038435E-2"/>
          <c:w val="0.94122543408047643"/>
          <c:h val="0.8923827234613193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data_panel!$C$12:$C$19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0-050A-454E-A01B-D41AB729B9DB}"/>
            </c:ext>
          </c:extLst>
        </c:ser>
        <c:ser>
          <c:idx val="1"/>
          <c:order val="1"/>
          <c:spPr>
            <a:solidFill>
              <a:srgbClr val="F4EE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data_panel!$D$12:$D$19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1-050A-454E-A01B-D41AB729B9DB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data_panel!$B$12:$B$19</c:f>
              <c:numCache>
                <c:formatCode>General</c:formatCode>
                <c:ptCount val="8"/>
              </c:numCache>
            </c:numRef>
          </c:cat>
          <c:val>
            <c:numRef>
              <c:f>data_panel!$E$12:$E$19</c:f>
              <c:numCache>
                <c:formatCode>General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050A-454E-A01B-D41AB729B9D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414806752"/>
        <c:axId val="1414797184"/>
      </c:barChart>
      <c:catAx>
        <c:axId val="141480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Light" panose="020F0302020204030204" pitchFamily="34" charset="0"/>
                <a:ea typeface="+mn-ea"/>
                <a:cs typeface="Calibri Light" panose="020F0302020204030204" pitchFamily="34" charset="0"/>
              </a:defRPr>
            </a:pPr>
            <a:endParaRPr lang="es-CL"/>
          </a:p>
        </c:txPr>
        <c:crossAx val="1414797184"/>
        <c:crosses val="autoZero"/>
        <c:auto val="1"/>
        <c:lblAlgn val="ctr"/>
        <c:lblOffset val="100"/>
        <c:noMultiLvlLbl val="0"/>
      </c:catAx>
      <c:valAx>
        <c:axId val="1414797184"/>
        <c:scaling>
          <c:orientation val="minMax"/>
          <c:max val="7"/>
        </c:scaling>
        <c:delete val="1"/>
        <c:axPos val="l"/>
        <c:numFmt formatCode="General" sourceLinked="1"/>
        <c:majorTickMark val="none"/>
        <c:minorTickMark val="none"/>
        <c:tickLblPos val="nextTo"/>
        <c:crossAx val="14148067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873626402157667E-2"/>
          <c:y val="7.9654127538856645E-2"/>
          <c:w val="0.95658875199788973"/>
          <c:h val="0.86992301166711405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32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data_panel!$C$8:$C$10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D569-4C7F-95A1-DD7208BAE223}"/>
            </c:ext>
          </c:extLst>
        </c:ser>
        <c:ser>
          <c:idx val="1"/>
          <c:order val="1"/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data_panel!$D$8:$D$10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D569-4C7F-95A1-DD7208BAE223}"/>
            </c:ext>
          </c:extLst>
        </c:ser>
        <c:ser>
          <c:idx val="2"/>
          <c:order val="2"/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numRef>
              <c:f>data_panel!$B$8:$B$10</c:f>
              <c:numCache>
                <c:formatCode>General</c:formatCode>
                <c:ptCount val="3"/>
              </c:numCache>
            </c:numRef>
          </c:cat>
          <c:val>
            <c:numRef>
              <c:f>data_panel!$E$8:$E$10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2-D569-4C7F-95A1-DD7208BAE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842671480226888E-3"/>
          <c:y val="9.2114234728880497E-3"/>
          <c:w val="0.98905294856629578"/>
          <c:h val="0.95418813441803541"/>
        </c:manualLayout>
      </c:layout>
      <c:bar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ln>
                      <a:noFill/>
                    </a:ln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data_panel!$C$24:$C$39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0-6105-4DFE-BD28-1E6387609AB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data_panel!$D$24:$D$39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1-6105-4DFE-BD28-1E6387609AB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data_panel!$B$24:$B$39</c:f>
              <c:numCache>
                <c:formatCode>General</c:formatCode>
                <c:ptCount val="16"/>
              </c:numCache>
            </c:numRef>
          </c:cat>
          <c:val>
            <c:numRef>
              <c:f>data_panel!$E$24:$E$39</c:f>
              <c:numCache>
                <c:formatCode>General</c:formatCode>
                <c:ptCount val="16"/>
              </c:numCache>
            </c:numRef>
          </c:val>
          <c:extLst>
            <c:ext xmlns:c16="http://schemas.microsoft.com/office/drawing/2014/chart" uri="{C3380CC4-5D6E-409C-BE32-E72D297353CC}">
              <c16:uniqueId val="{00000002-6105-4DFE-BD28-1E6387609AB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20"/>
        <c:overlap val="100"/>
        <c:axId val="249269760"/>
        <c:axId val="249277248"/>
      </c:barChart>
      <c:catAx>
        <c:axId val="249269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49277248"/>
        <c:crosses val="autoZero"/>
        <c:auto val="1"/>
        <c:lblAlgn val="ctr"/>
        <c:lblOffset val="100"/>
        <c:noMultiLvlLbl val="0"/>
      </c:catAx>
      <c:valAx>
        <c:axId val="2492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9269760"/>
        <c:crosses val="autoZero"/>
        <c:crossBetween val="between"/>
        <c:majorUnit val="1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1125355650451801"/>
          <c:y val="0.19232316037129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8909690012502796E-2"/>
          <c:y val="0.26516694253331075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'Planes de tratamientos'!$A$20:$C$20</c:f>
              <c:numCache>
                <c:formatCode>0</c:formatCode>
                <c:ptCount val="3"/>
              </c:numCache>
            </c:numRef>
          </c:cat>
          <c:val>
            <c:numRef>
              <c:f>'Planes de tratamientos'!$A$21:$C$21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1143681593825573E-2"/>
          <c:y val="0.1124156955311159"/>
          <c:w val="0.95390136362696443"/>
          <c:h val="0.7608373021120726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'Planes de tratamientos'!$A$13</c:f>
              <c:strCache>
                <c:ptCount val="1"/>
                <c:pt idx="0">
                  <c:v>Financieros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'Planes de tratamientos'!$B$13:$F$13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73-4FA5-A406-FF0F614C3AA2}"/>
            </c:ext>
          </c:extLst>
        </c:ser>
        <c:ser>
          <c:idx val="1"/>
          <c:order val="1"/>
          <c:tx>
            <c:strRef>
              <c:f>'Planes de tratamientos'!$A$14</c:f>
              <c:strCache>
                <c:ptCount val="1"/>
                <c:pt idx="0">
                  <c:v>Estratégicos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'Planes de tratamientos'!$B$14:$F$14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73-4FA5-A406-FF0F614C3AA2}"/>
            </c:ext>
          </c:extLst>
        </c:ser>
        <c:ser>
          <c:idx val="2"/>
          <c:order val="2"/>
          <c:tx>
            <c:strRef>
              <c:f>'Planes de tratamientos'!$A$15</c:f>
              <c:strCache>
                <c:ptCount val="1"/>
                <c:pt idx="0">
                  <c:v>Institucionales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'Planes de tratamientos'!$B$15:$F$15</c:f>
              <c:numCache>
                <c:formatCode>General</c:formatCode>
                <c:ptCount val="5"/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73-4FA5-A406-FF0F614C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28745199"/>
        <c:axId val="1628743759"/>
      </c:barChart>
      <c:catAx>
        <c:axId val="1628745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3759"/>
        <c:crosses val="autoZero"/>
        <c:auto val="1"/>
        <c:lblAlgn val="ctr"/>
        <c:lblOffset val="100"/>
        <c:noMultiLvlLbl val="0"/>
      </c:catAx>
      <c:valAx>
        <c:axId val="162874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874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emf"/><Relationship Id="rId3" Type="http://schemas.openxmlformats.org/officeDocument/2006/relationships/image" Target="../media/image5.emf"/><Relationship Id="rId7" Type="http://schemas.openxmlformats.org/officeDocument/2006/relationships/image" Target="../media/image9.emf"/><Relationship Id="rId2" Type="http://schemas.openxmlformats.org/officeDocument/2006/relationships/image" Target="../media/image4.emf"/><Relationship Id="rId1" Type="http://schemas.openxmlformats.org/officeDocument/2006/relationships/image" Target="../media/image3.emf"/><Relationship Id="rId6" Type="http://schemas.openxmlformats.org/officeDocument/2006/relationships/image" Target="../media/image8.emf"/><Relationship Id="rId5" Type="http://schemas.openxmlformats.org/officeDocument/2006/relationships/image" Target="../media/image7.emf"/><Relationship Id="rId10" Type="http://schemas.openxmlformats.org/officeDocument/2006/relationships/image" Target="../media/image12.emf"/><Relationship Id="rId4" Type="http://schemas.openxmlformats.org/officeDocument/2006/relationships/image" Target="../media/image6.emf"/><Relationship Id="rId9" Type="http://schemas.openxmlformats.org/officeDocument/2006/relationships/image" Target="../media/image11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0.png"/><Relationship Id="rId3" Type="http://schemas.openxmlformats.org/officeDocument/2006/relationships/image" Target="../media/image25.png"/><Relationship Id="rId7" Type="http://schemas.openxmlformats.org/officeDocument/2006/relationships/image" Target="../media/image29.png"/><Relationship Id="rId2" Type="http://schemas.microsoft.com/office/2007/relationships/hdphoto" Target="../media/hdphoto1.wdp"/><Relationship Id="rId1" Type="http://schemas.openxmlformats.org/officeDocument/2006/relationships/image" Target="../media/image24.png"/><Relationship Id="rId6" Type="http://schemas.openxmlformats.org/officeDocument/2006/relationships/image" Target="../media/image28.png"/><Relationship Id="rId11" Type="http://schemas.openxmlformats.org/officeDocument/2006/relationships/chart" Target="../charts/chart5.xml"/><Relationship Id="rId5" Type="http://schemas.openxmlformats.org/officeDocument/2006/relationships/image" Target="../media/image27.png"/><Relationship Id="rId10" Type="http://schemas.openxmlformats.org/officeDocument/2006/relationships/image" Target="../media/image32.png"/><Relationship Id="rId4" Type="http://schemas.openxmlformats.org/officeDocument/2006/relationships/image" Target="../media/image26.png"/><Relationship Id="rId9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image" Target="../media/image34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image" Target="../media/image29.png"/><Relationship Id="rId7" Type="http://schemas.openxmlformats.org/officeDocument/2006/relationships/chart" Target="../charts/chart9.xml"/><Relationship Id="rId2" Type="http://schemas.openxmlformats.org/officeDocument/2006/relationships/image" Target="../media/image30.png"/><Relationship Id="rId1" Type="http://schemas.openxmlformats.org/officeDocument/2006/relationships/image" Target="../media/image28.png"/><Relationship Id="rId6" Type="http://schemas.openxmlformats.org/officeDocument/2006/relationships/chart" Target="../charts/chart8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30.png"/><Relationship Id="rId7" Type="http://schemas.openxmlformats.org/officeDocument/2006/relationships/chart" Target="../charts/chart14.xml"/><Relationship Id="rId2" Type="http://schemas.openxmlformats.org/officeDocument/2006/relationships/image" Target="../media/image29.png"/><Relationship Id="rId1" Type="http://schemas.openxmlformats.org/officeDocument/2006/relationships/image" Target="../media/image28.png"/><Relationship Id="rId6" Type="http://schemas.openxmlformats.org/officeDocument/2006/relationships/chart" Target="../charts/chart13.xml"/><Relationship Id="rId5" Type="http://schemas.openxmlformats.org/officeDocument/2006/relationships/image" Target="../media/image32.png"/><Relationship Id="rId4" Type="http://schemas.openxmlformats.org/officeDocument/2006/relationships/image" Target="../media/image3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0.emf"/><Relationship Id="rId3" Type="http://schemas.openxmlformats.org/officeDocument/2006/relationships/image" Target="../media/image15.emf"/><Relationship Id="rId7" Type="http://schemas.openxmlformats.org/officeDocument/2006/relationships/image" Target="../media/image19.emf"/><Relationship Id="rId2" Type="http://schemas.openxmlformats.org/officeDocument/2006/relationships/image" Target="../media/image14.emf"/><Relationship Id="rId1" Type="http://schemas.openxmlformats.org/officeDocument/2006/relationships/image" Target="../media/image13.emf"/><Relationship Id="rId6" Type="http://schemas.openxmlformats.org/officeDocument/2006/relationships/image" Target="../media/image18.emf"/><Relationship Id="rId5" Type="http://schemas.openxmlformats.org/officeDocument/2006/relationships/image" Target="../media/image17.emf"/><Relationship Id="rId10" Type="http://schemas.openxmlformats.org/officeDocument/2006/relationships/image" Target="../media/image22.emf"/><Relationship Id="rId4" Type="http://schemas.openxmlformats.org/officeDocument/2006/relationships/image" Target="../media/image16.emf"/><Relationship Id="rId9" Type="http://schemas.openxmlformats.org/officeDocument/2006/relationships/image" Target="../media/image2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5</xdr:col>
      <xdr:colOff>450273</xdr:colOff>
      <xdr:row>15</xdr:row>
      <xdr:rowOff>259774</xdr:rowOff>
    </xdr:from>
    <xdr:to>
      <xdr:col>12</xdr:col>
      <xdr:colOff>381001</xdr:colOff>
      <xdr:row>30</xdr:row>
      <xdr:rowOff>69271</xdr:rowOff>
    </xdr:to>
    <xdr:graphicFrame macro="">
      <xdr:nvGraphicFramePr>
        <xdr:cNvPr id="6" name="chart_PMG">
          <a:extLst>
            <a:ext uri="{FF2B5EF4-FFF2-40B4-BE49-F238E27FC236}">
              <a16:creationId xmlns:a16="http://schemas.microsoft.com/office/drawing/2014/main" id="{D4E2487C-2124-4920-9A30-8D2BFFB00399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311727</xdr:colOff>
      <xdr:row>34</xdr:row>
      <xdr:rowOff>155864</xdr:rowOff>
    </xdr:from>
    <xdr:to>
      <xdr:col>12</xdr:col>
      <xdr:colOff>415637</xdr:colOff>
      <xdr:row>50</xdr:row>
      <xdr:rowOff>51954</xdr:rowOff>
    </xdr:to>
    <xdr:graphicFrame macro="">
      <xdr:nvGraphicFramePr>
        <xdr:cNvPr id="8" name="chart_CDC">
          <a:extLst>
            <a:ext uri="{FF2B5EF4-FFF2-40B4-BE49-F238E27FC236}">
              <a16:creationId xmlns:a16="http://schemas.microsoft.com/office/drawing/2014/main" id="{A271037C-B523-4648-8F5D-01A662EF3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623453</xdr:colOff>
      <xdr:row>15</xdr:row>
      <xdr:rowOff>329046</xdr:rowOff>
    </xdr:from>
    <xdr:to>
      <xdr:col>17</xdr:col>
      <xdr:colOff>5628409</xdr:colOff>
      <xdr:row>30</xdr:row>
      <xdr:rowOff>17318</xdr:rowOff>
    </xdr:to>
    <xdr:graphicFrame macro="">
      <xdr:nvGraphicFramePr>
        <xdr:cNvPr id="7" name="chart_H">
          <a:extLst>
            <a:ext uri="{FF2B5EF4-FFF2-40B4-BE49-F238E27FC236}">
              <a16:creationId xmlns:a16="http://schemas.microsoft.com/office/drawing/2014/main" id="{A88F1FE2-5121-4ED1-90D3-699007BBD1AD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640772</xdr:colOff>
      <xdr:row>35</xdr:row>
      <xdr:rowOff>17317</xdr:rowOff>
    </xdr:from>
    <xdr:to>
      <xdr:col>17</xdr:col>
      <xdr:colOff>5645727</xdr:colOff>
      <xdr:row>50</xdr:row>
      <xdr:rowOff>86590</xdr:rowOff>
    </xdr:to>
    <xdr:graphicFrame macro="">
      <xdr:nvGraphicFramePr>
        <xdr:cNvPr id="10" name="chart_CDC_reg">
          <a:extLst>
            <a:ext uri="{FF2B5EF4-FFF2-40B4-BE49-F238E27FC236}">
              <a16:creationId xmlns:a16="http://schemas.microsoft.com/office/drawing/2014/main" id="{895D93F1-81D7-4CF4-A38C-987B620AC1E3}"/>
            </a:ext>
            <a:ext uri="{147F2762-F138-4A5C-976F-8EAC2B608ADB}">
              <a16:predDERef xmlns:a16="http://schemas.microsoft.com/office/drawing/2014/main" pred="{0887BFB1-D75F-42E8-9046-786570D35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55786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55787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5578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55789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55790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55791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5579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55793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55794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55795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687416</xdr:colOff>
      <xdr:row>0</xdr:row>
      <xdr:rowOff>17318</xdr:rowOff>
    </xdr:from>
    <xdr:to>
      <xdr:col>3</xdr:col>
      <xdr:colOff>1454728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6" y="17318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56028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155865</xdr:colOff>
      <xdr:row>15</xdr:row>
      <xdr:rowOff>259773</xdr:rowOff>
    </xdr:from>
    <xdr:to>
      <xdr:col>5</xdr:col>
      <xdr:colOff>710045</xdr:colOff>
      <xdr:row>20</xdr:row>
      <xdr:rowOff>121228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796636</xdr:colOff>
      <xdr:row>7</xdr:row>
      <xdr:rowOff>121227</xdr:rowOff>
    </xdr:from>
    <xdr:to>
      <xdr:col>14</xdr:col>
      <xdr:colOff>346365</xdr:colOff>
      <xdr:row>15</xdr:row>
      <xdr:rowOff>2355272</xdr:rowOff>
    </xdr:to>
    <xdr:graphicFrame macro="">
      <xdr:nvGraphicFramePr>
        <xdr:cNvPr id="2" name="ptr_chart_A">
          <a:extLst>
            <a:ext uri="{FF2B5EF4-FFF2-40B4-BE49-F238E27FC236}">
              <a16:creationId xmlns:a16="http://schemas.microsoft.com/office/drawing/2014/main" id="{8FE2570B-01E0-1A5A-8CA1-7CBAA443C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8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89">
        <v>2025</v>
      </c>
      <c r="H11" s="589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0" t="s">
        <v>164</v>
      </c>
      <c r="G12" s="591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7" t="s">
        <v>129</v>
      </c>
      <c r="G15" s="587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7" t="s">
        <v>130</v>
      </c>
      <c r="G16" s="587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8" t="s">
        <v>131</v>
      </c>
      <c r="G18" s="588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view="pageBreakPreview" topLeftCell="A5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7"/>
      <c r="C2" s="377"/>
      <c r="D2" s="377"/>
      <c r="E2" s="377"/>
      <c r="F2" s="377"/>
      <c r="G2" s="377"/>
      <c r="H2" s="377"/>
      <c r="I2" s="377"/>
      <c r="J2" s="603" t="s">
        <v>135</v>
      </c>
      <c r="K2" s="603"/>
      <c r="L2" s="603"/>
      <c r="M2" s="603"/>
      <c r="N2" s="603"/>
      <c r="O2" s="603"/>
      <c r="P2" s="377"/>
      <c r="Q2" s="377"/>
      <c r="R2" s="377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78" t="s">
        <v>132</v>
      </c>
      <c r="C4" s="378"/>
      <c r="D4" s="378"/>
      <c r="E4" s="378"/>
      <c r="F4" s="378"/>
      <c r="G4" s="378"/>
      <c r="H4" s="378"/>
      <c r="I4" s="378" t="s">
        <v>133</v>
      </c>
      <c r="J4" s="602" t="s">
        <v>134</v>
      </c>
      <c r="K4" s="602"/>
      <c r="L4" s="602"/>
      <c r="M4" s="602"/>
      <c r="N4" s="602"/>
      <c r="O4" s="602"/>
      <c r="P4" s="379"/>
      <c r="Q4" s="379"/>
      <c r="R4" s="380"/>
      <c r="S4" s="22"/>
    </row>
    <row r="5" spans="1:19" ht="29.25" customHeight="1">
      <c r="A5" s="23"/>
      <c r="B5" s="381"/>
      <c r="C5" s="381"/>
      <c r="D5" s="381"/>
      <c r="E5" s="381"/>
      <c r="F5" s="381"/>
      <c r="G5" s="381"/>
      <c r="H5" s="381"/>
      <c r="I5" s="382"/>
      <c r="J5" s="595" t="s">
        <v>117</v>
      </c>
      <c r="K5" s="595"/>
      <c r="L5" s="595"/>
      <c r="M5" s="595"/>
      <c r="N5" s="607" t="s">
        <v>164</v>
      </c>
      <c r="O5" s="607"/>
      <c r="P5" s="607"/>
      <c r="Q5" s="383"/>
      <c r="R5" s="383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8" t="str">
        <f>_xlfn.CONCAT("PERIODO ", N5)</f>
        <v>PERIODO ABRIL - 2025</v>
      </c>
      <c r="D8" s="599"/>
      <c r="E8" s="600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1" t="s">
        <v>5</v>
      </c>
      <c r="D10" s="601"/>
      <c r="E10" s="601"/>
      <c r="G10" s="76" t="s">
        <v>8</v>
      </c>
      <c r="H10" s="45"/>
      <c r="I10" s="45"/>
      <c r="J10" s="36"/>
      <c r="K10" s="46"/>
      <c r="L10" s="45"/>
      <c r="M10" s="36"/>
      <c r="N10" s="45"/>
      <c r="O10" s="36"/>
      <c r="P10" s="45"/>
      <c r="Q10" s="45"/>
      <c r="R10" s="47">
        <f>SUM($K10:$O10)</f>
        <v>0</v>
      </c>
      <c r="S10" s="22"/>
    </row>
    <row r="11" spans="1:19" ht="36" customHeight="1">
      <c r="A11" s="23"/>
      <c r="C11" s="69" t="s">
        <v>6</v>
      </c>
      <c r="D11" s="594">
        <f>R13</f>
        <v>0</v>
      </c>
      <c r="E11" s="594"/>
      <c r="G11" s="48" t="s">
        <v>9</v>
      </c>
      <c r="H11" s="45"/>
      <c r="I11" s="45"/>
      <c r="J11" s="36"/>
      <c r="K11" s="46"/>
      <c r="L11" s="45"/>
      <c r="M11" s="36"/>
      <c r="N11" s="45"/>
      <c r="O11" s="36"/>
      <c r="P11" s="45"/>
      <c r="Q11" s="45"/>
      <c r="R11" s="47">
        <f>SUM($K11:$O11)</f>
        <v>0</v>
      </c>
      <c r="S11" s="22"/>
    </row>
    <row r="12" spans="1:19" ht="43.5" customHeight="1">
      <c r="A12" s="23"/>
      <c r="C12" s="61" t="s">
        <v>7</v>
      </c>
      <c r="D12" s="594">
        <f>R12</f>
        <v>0</v>
      </c>
      <c r="E12" s="594"/>
      <c r="G12" s="48" t="s">
        <v>7</v>
      </c>
      <c r="H12" s="45"/>
      <c r="I12" s="45"/>
      <c r="J12" s="36"/>
      <c r="K12" s="46"/>
      <c r="L12" s="45"/>
      <c r="M12" s="36"/>
      <c r="N12" s="45"/>
      <c r="O12" s="36"/>
      <c r="P12" s="45"/>
      <c r="Q12" s="45"/>
      <c r="R12" s="47">
        <f>SUM($K12:$O12)</f>
        <v>0</v>
      </c>
      <c r="S12" s="22"/>
    </row>
    <row r="13" spans="1:19" ht="36.75" customHeight="1">
      <c r="A13" s="23"/>
      <c r="C13" s="61" t="s">
        <v>8</v>
      </c>
      <c r="D13" s="594">
        <f>R10</f>
        <v>0</v>
      </c>
      <c r="E13" s="594"/>
      <c r="G13" s="77" t="s">
        <v>6</v>
      </c>
      <c r="H13" s="49"/>
      <c r="I13" s="45"/>
      <c r="J13" s="36"/>
      <c r="K13" s="46"/>
      <c r="L13" s="45"/>
      <c r="M13" s="36"/>
      <c r="N13" s="45"/>
      <c r="O13" s="36"/>
      <c r="P13" s="45"/>
      <c r="Q13" s="45"/>
      <c r="R13" s="47">
        <f>SUM($K13:$O13)</f>
        <v>0</v>
      </c>
      <c r="S13" s="22"/>
    </row>
    <row r="14" spans="1:19" ht="53.25" customHeight="1">
      <c r="A14" s="23"/>
      <c r="C14" s="61" t="s">
        <v>9</v>
      </c>
      <c r="D14" s="594">
        <f>R11</f>
        <v>0</v>
      </c>
      <c r="E14" s="594"/>
      <c r="G14" s="54" t="s">
        <v>10</v>
      </c>
      <c r="H14" s="50"/>
      <c r="I14" s="51"/>
      <c r="J14" s="52"/>
      <c r="K14" s="52">
        <f>SUM(K10:K13)</f>
        <v>0</v>
      </c>
      <c r="L14" s="51"/>
      <c r="M14" s="52">
        <f>SUM(M10:M13)</f>
        <v>0</v>
      </c>
      <c r="N14" s="51"/>
      <c r="O14" s="52">
        <f>SUM(O10:O13)</f>
        <v>0</v>
      </c>
      <c r="P14" s="51"/>
      <c r="Q14" s="51"/>
      <c r="R14" s="53">
        <f>SUM(R10:R13)</f>
        <v>0</v>
      </c>
      <c r="S14" s="22"/>
    </row>
    <row r="15" spans="1:19" ht="38.25" customHeight="1">
      <c r="A15" s="23"/>
      <c r="C15" s="37" t="s">
        <v>11</v>
      </c>
      <c r="D15" s="593">
        <f>R14</f>
        <v>0</v>
      </c>
      <c r="E15" s="593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4" t="s">
        <v>12</v>
      </c>
      <c r="D24" s="605"/>
      <c r="E24" s="606"/>
      <c r="S24" s="22"/>
    </row>
    <row r="25" spans="1:19" ht="32.25" customHeight="1">
      <c r="A25" s="23"/>
      <c r="C25" s="38" t="s">
        <v>6</v>
      </c>
      <c r="D25" s="596">
        <f>SUM(M13:O13)</f>
        <v>0</v>
      </c>
      <c r="E25" s="597"/>
      <c r="S25" s="22"/>
    </row>
    <row r="26" spans="1:19" ht="33.75" customHeight="1">
      <c r="A26" s="23"/>
      <c r="C26" s="39" t="s">
        <v>7</v>
      </c>
      <c r="D26" s="596">
        <f>SUM(M12:O12)</f>
        <v>0</v>
      </c>
      <c r="E26" s="597"/>
      <c r="S26" s="22"/>
    </row>
    <row r="27" spans="1:19" ht="38.25" customHeight="1">
      <c r="A27" s="23"/>
      <c r="C27" s="39" t="s">
        <v>8</v>
      </c>
      <c r="D27" s="594">
        <f>SUM(M10:O10)</f>
        <v>0</v>
      </c>
      <c r="E27" s="594"/>
      <c r="S27" s="22"/>
    </row>
    <row r="28" spans="1:19" ht="25.5" customHeight="1">
      <c r="A28" s="23"/>
      <c r="C28" s="39" t="s">
        <v>9</v>
      </c>
      <c r="D28" s="594">
        <f>SUM(M11:O11)</f>
        <v>0</v>
      </c>
      <c r="E28" s="594"/>
      <c r="S28" s="22"/>
    </row>
    <row r="29" spans="1:19" ht="33" customHeight="1">
      <c r="A29" s="23"/>
      <c r="C29" s="37" t="s">
        <v>11</v>
      </c>
      <c r="D29" s="592">
        <f>SUM(M14:O14)</f>
        <v>0</v>
      </c>
      <c r="E29" s="592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4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15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8" t="s">
        <v>116</v>
      </c>
      <c r="B2" s="609"/>
      <c r="C2" s="609"/>
      <c r="D2" s="609"/>
      <c r="E2" s="609"/>
      <c r="F2" s="609"/>
      <c r="G2" s="609"/>
      <c r="H2" s="609"/>
      <c r="I2" s="609"/>
      <c r="J2" s="609"/>
      <c r="K2" s="609"/>
      <c r="L2" s="609"/>
      <c r="M2" s="609"/>
      <c r="N2" s="609"/>
      <c r="O2" s="609"/>
      <c r="P2" s="609"/>
      <c r="Q2" s="609"/>
      <c r="R2" s="609"/>
      <c r="S2" s="609"/>
      <c r="T2" s="610" t="s">
        <v>164</v>
      </c>
      <c r="U2" s="610"/>
      <c r="V2" s="610"/>
      <c r="W2" s="610"/>
      <c r="X2" s="610"/>
      <c r="Y2" s="610"/>
      <c r="Z2" s="610"/>
      <c r="AA2" s="611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/>
  <pageMargins left="0" right="0" top="0" bottom="0" header="0" footer="0"/>
  <pageSetup paperSize="5" scale="50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2" t="s">
        <v>40</v>
      </c>
      <c r="B1" s="613"/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3"/>
    </row>
    <row r="2" spans="1:21" ht="19.5" thickBot="1">
      <c r="A2" s="614" t="s">
        <v>164</v>
      </c>
      <c r="B2" s="615"/>
      <c r="C2" s="615"/>
      <c r="D2" s="615"/>
      <c r="E2" s="615"/>
      <c r="F2" s="615"/>
      <c r="G2" s="615"/>
      <c r="H2" s="615"/>
      <c r="I2" s="615"/>
      <c r="J2" s="615"/>
      <c r="K2" s="615"/>
      <c r="L2" s="615"/>
      <c r="M2" s="615"/>
      <c r="N2" s="615"/>
      <c r="O2" s="615"/>
      <c r="P2" s="615"/>
      <c r="Q2" s="615"/>
      <c r="R2" s="615"/>
    </row>
    <row r="3" spans="1:21">
      <c r="A3" s="31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3"/>
      <c r="B4" s="314"/>
      <c r="C4" s="31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3"/>
      <c r="B5" s="331" t="s">
        <v>41</v>
      </c>
      <c r="C5" s="616" t="s">
        <v>42</v>
      </c>
      <c r="D5" s="616"/>
      <c r="E5" s="616"/>
      <c r="F5" s="616" t="s">
        <v>43</v>
      </c>
      <c r="G5" s="616"/>
      <c r="H5" s="616"/>
      <c r="I5" s="616" t="s">
        <v>146</v>
      </c>
      <c r="J5" s="616"/>
      <c r="K5" s="616"/>
      <c r="L5" s="616" t="s">
        <v>44</v>
      </c>
      <c r="M5" s="616"/>
      <c r="N5" s="616"/>
      <c r="O5" s="616" t="s">
        <v>147</v>
      </c>
      <c r="P5" s="616"/>
      <c r="Q5" s="617"/>
      <c r="R5" s="311"/>
      <c r="S5" s="310"/>
      <c r="T5" s="3"/>
      <c r="U5" s="3"/>
    </row>
    <row r="6" spans="1:21" ht="21">
      <c r="A6" s="313"/>
      <c r="B6" s="332" t="s">
        <v>23</v>
      </c>
      <c r="C6" s="317"/>
      <c r="D6" s="318" t="str">
        <f>IF(data_status_reg!$E4="bajo",0,IF(data_status_reg!$E4="medio",0.5,IF(data_status_reg!$E4="alto",1,"falta riesgo")))</f>
        <v>falta riesgo</v>
      </c>
      <c r="E6" s="319"/>
      <c r="F6" s="319"/>
      <c r="G6" s="318" t="str">
        <f>IF(data_status_reg!$E20="bajo",0,IF(data_status_reg!$E20="medio",0.5,IF(data_status_reg!$E20="alto",1,"falta riesgo")))</f>
        <v>falta riesgo</v>
      </c>
      <c r="H6" s="319"/>
      <c r="I6" s="319"/>
      <c r="J6" s="318" t="str">
        <f>IF(data_status_reg!$E36="bajo",0,IF(data_status_reg!$E36="medio",0.5,IF(data_status_reg!$E36="alto",1,"falta riesgo")))</f>
        <v>falta riesgo</v>
      </c>
      <c r="K6" s="319"/>
      <c r="L6" s="319"/>
      <c r="M6" s="318" t="str">
        <f>IF(data_status_reg!$E52="bajo",0,IF(data_status_reg!$E52="medio",0.5,IF(data_status_reg!$E52="alto",1,"falta riesgo")))</f>
        <v>falta riesgo</v>
      </c>
      <c r="N6" s="320"/>
      <c r="O6" s="334"/>
      <c r="P6" s="318" t="str">
        <f>IF(data_status_reg!$E68="bajo",0,IF(data_status_reg!$E68="medio",0.5,IF(data_status_reg!$E68="alto",1,"falta riesgo")))</f>
        <v>falta riesgo</v>
      </c>
      <c r="Q6" s="321"/>
      <c r="R6" s="312"/>
    </row>
    <row r="7" spans="1:21" ht="21">
      <c r="A7" s="313"/>
      <c r="B7" s="332" t="s">
        <v>24</v>
      </c>
      <c r="C7" s="322"/>
      <c r="D7" s="307" t="str">
        <f>IF(data_status_reg!$E5="bajo",0,IF(data_status_reg!$E5="medio",0.5,IF(data_status_reg!$E5="alto",1,"falta riesgo")))</f>
        <v>falta riesgo</v>
      </c>
      <c r="E7" s="308"/>
      <c r="F7" s="308"/>
      <c r="G7" s="307" t="str">
        <f>IF(data_status_reg!$E21="bajo",0,IF(data_status_reg!$E21="medio",0.5,IF(data_status_reg!$E21="alto",1,"falta riesgo")))</f>
        <v>falta riesgo</v>
      </c>
      <c r="H7" s="308"/>
      <c r="I7" s="308"/>
      <c r="J7" s="307" t="str">
        <f>IF(data_status_reg!$E37="bajo",0,IF(data_status_reg!$E37="medio",0.5,IF(data_status_reg!$E37="alto",1,"falta riesgo")))</f>
        <v>falta riesgo</v>
      </c>
      <c r="K7" s="308"/>
      <c r="L7" s="308"/>
      <c r="M7" s="307" t="str">
        <f>IF(data_status_reg!$E53="bajo",0,IF(data_status_reg!$E53="medio",0.5,IF(data_status_reg!$E53="alto",1,"falta riesgo")))</f>
        <v>falta riesgo</v>
      </c>
      <c r="N7" s="305"/>
      <c r="O7" s="335"/>
      <c r="P7" s="307" t="str">
        <f>IF(data_status_reg!$E69="bajo",0,IF(data_status_reg!$E69="medio",0.5,IF(data_status_reg!$E69="alto",1,"falta riesgo")))</f>
        <v>falta riesgo</v>
      </c>
      <c r="Q7" s="323"/>
      <c r="R7" s="3"/>
    </row>
    <row r="8" spans="1:21" ht="21">
      <c r="A8" s="313"/>
      <c r="B8" s="332" t="s">
        <v>25</v>
      </c>
      <c r="C8" s="322"/>
      <c r="D8" s="307" t="str">
        <f>IF(data_status_reg!$E6="bajo",0,IF(data_status_reg!$E6="medio",0.5,IF(data_status_reg!$E6="alto",1,"falta riesgo")))</f>
        <v>falta riesgo</v>
      </c>
      <c r="E8" s="308"/>
      <c r="F8" s="308"/>
      <c r="G8" s="307" t="str">
        <f>IF(data_status_reg!$E22="bajo",0,IF(data_status_reg!$E22="medio",0.5,IF(data_status_reg!$E22="alto",1,"falta riesgo")))</f>
        <v>falta riesgo</v>
      </c>
      <c r="H8" s="308"/>
      <c r="I8" s="308"/>
      <c r="J8" s="307" t="str">
        <f>IF(data_status_reg!$E38="bajo",0,IF(data_status_reg!$E38="medio",0.5,IF(data_status_reg!$E38="alto",1,"falta riesgo")))</f>
        <v>falta riesgo</v>
      </c>
      <c r="K8" s="308"/>
      <c r="L8" s="308"/>
      <c r="M8" s="307" t="str">
        <f>IF(data_status_reg!$E54="bajo",0,IF(data_status_reg!$E54="medio",0.5,IF(data_status_reg!$E54="alto",1,"falta riesgo")))</f>
        <v>falta riesgo</v>
      </c>
      <c r="N8" s="305"/>
      <c r="O8" s="335"/>
      <c r="P8" s="307" t="str">
        <f>IF(data_status_reg!$E70="bajo",0,IF(data_status_reg!$E70="medio",0.5,IF(data_status_reg!$E70="alto",1,"falta riesgo")))</f>
        <v>falta riesgo</v>
      </c>
      <c r="Q8" s="323"/>
      <c r="R8" s="3"/>
    </row>
    <row r="9" spans="1:21" ht="21">
      <c r="A9" s="313"/>
      <c r="B9" s="332" t="s">
        <v>26</v>
      </c>
      <c r="C9" s="322"/>
      <c r="D9" s="307" t="str">
        <f>IF(data_status_reg!$E7="bajo",0,IF(data_status_reg!$E7="medio",0.5,IF(data_status_reg!$E7="alto",1,"falta riesgo")))</f>
        <v>falta riesgo</v>
      </c>
      <c r="E9" s="308"/>
      <c r="F9" s="308"/>
      <c r="G9" s="307" t="str">
        <f>IF(data_status_reg!$E23="bajo",0,IF(data_status_reg!$E23="medio",0.5,IF(data_status_reg!$E23="alto",1,"falta riesgo")))</f>
        <v>falta riesgo</v>
      </c>
      <c r="H9" s="308"/>
      <c r="I9" s="308"/>
      <c r="J9" s="307" t="str">
        <f>IF(data_status_reg!$E39="bajo",0,IF(data_status_reg!$E39="medio",0.5,IF(data_status_reg!$E39="alto",1,"falta riesgo")))</f>
        <v>falta riesgo</v>
      </c>
      <c r="K9" s="308"/>
      <c r="L9" s="308"/>
      <c r="M9" s="307" t="str">
        <f>IF(data_status_reg!$E55="bajo",0,IF(data_status_reg!$E55="medio",0.5,IF(data_status_reg!$E55="alto",1,"falta riesgo")))</f>
        <v>falta riesgo</v>
      </c>
      <c r="N9" s="305"/>
      <c r="O9" s="335"/>
      <c r="P9" s="307" t="str">
        <f>IF(data_status_reg!$E71="bajo",0,IF(data_status_reg!$E71="medio",0.5,IF(data_status_reg!$E71="alto",1,"falta riesgo")))</f>
        <v>falta riesgo</v>
      </c>
      <c r="Q9" s="323"/>
      <c r="R9" s="3"/>
    </row>
    <row r="10" spans="1:21" ht="21">
      <c r="A10" s="313"/>
      <c r="B10" s="332" t="s">
        <v>27</v>
      </c>
      <c r="C10" s="322"/>
      <c r="D10" s="307" t="str">
        <f>IF(data_status_reg!$E8="bajo",0,IF(data_status_reg!$E8="medio",0.5,IF(data_status_reg!$E8="alto",1,"falta riesgo")))</f>
        <v>falta riesgo</v>
      </c>
      <c r="E10" s="308"/>
      <c r="F10" s="308"/>
      <c r="G10" s="307" t="str">
        <f>IF(data_status_reg!$E24="bajo",0,IF(data_status_reg!$E24="medio",0.5,IF(data_status_reg!$E24="alto",1,"falta riesgo")))</f>
        <v>falta riesgo</v>
      </c>
      <c r="H10" s="308"/>
      <c r="I10" s="308"/>
      <c r="J10" s="307" t="str">
        <f>IF(data_status_reg!$E40="bajo",0,IF(data_status_reg!$E40="medio",0.5,IF(data_status_reg!$E40="alto",1,"falta riesgo")))</f>
        <v>falta riesgo</v>
      </c>
      <c r="K10" s="308"/>
      <c r="L10" s="308"/>
      <c r="M10" s="307" t="str">
        <f>IF(data_status_reg!$E56="bajo",0,IF(data_status_reg!$E56="medio",0.5,IF(data_status_reg!$E56="alto",1,"falta riesgo")))</f>
        <v>falta riesgo</v>
      </c>
      <c r="N10" s="305"/>
      <c r="O10" s="335"/>
      <c r="P10" s="307" t="str">
        <f>IF(data_status_reg!$E72="bajo",0,IF(data_status_reg!$E72="medio",0.5,IF(data_status_reg!$E72="alto",1,"falta riesgo")))</f>
        <v>falta riesgo</v>
      </c>
      <c r="Q10" s="323"/>
      <c r="R10" s="3"/>
    </row>
    <row r="11" spans="1:21" ht="21">
      <c r="A11" s="313"/>
      <c r="B11" s="332" t="s">
        <v>28</v>
      </c>
      <c r="C11" s="322"/>
      <c r="D11" s="307" t="str">
        <f>IF(data_status_reg!$E9="bajo",0,IF(data_status_reg!$E9="medio",0.5,IF(data_status_reg!$E9="alto",1,"falta riesgo")))</f>
        <v>falta riesgo</v>
      </c>
      <c r="E11" s="308"/>
      <c r="F11" s="308"/>
      <c r="G11" s="307" t="str">
        <f>IF(data_status_reg!$E25="bajo",0,IF(data_status_reg!$E25="medio",0.5,IF(data_status_reg!$E25="alto",1,"falta riesgo")))</f>
        <v>falta riesgo</v>
      </c>
      <c r="H11" s="308"/>
      <c r="I11" s="308"/>
      <c r="J11" s="307" t="str">
        <f>IF(data_status_reg!$E41="bajo",0,IF(data_status_reg!$E41="medio",0.5,IF(data_status_reg!$E41="alto",1,"falta riesgo")))</f>
        <v>falta riesgo</v>
      </c>
      <c r="K11" s="308"/>
      <c r="L11" s="308"/>
      <c r="M11" s="307" t="str">
        <f>IF(data_status_reg!$E57="bajo",0,IF(data_status_reg!$E57="medio",0.5,IF(data_status_reg!$E57="alto",1,"falta riesgo")))</f>
        <v>falta riesgo</v>
      </c>
      <c r="N11" s="305"/>
      <c r="O11" s="335"/>
      <c r="P11" s="307" t="str">
        <f>IF(data_status_reg!$E73="bajo",0,IF(data_status_reg!$E73="medio",0.5,IF(data_status_reg!$E73="alto",1,"falta riesgo")))</f>
        <v>falta riesgo</v>
      </c>
      <c r="Q11" s="323"/>
      <c r="R11" s="3"/>
    </row>
    <row r="12" spans="1:21" ht="21">
      <c r="A12" s="313"/>
      <c r="B12" s="332" t="s">
        <v>29</v>
      </c>
      <c r="C12" s="322"/>
      <c r="D12" s="307" t="str">
        <f>IF(data_status_reg!$E10="bajo",0,IF(data_status_reg!$E10="medio",0.5,IF(data_status_reg!$E10="alto",1,"falta riesgo")))</f>
        <v>falta riesgo</v>
      </c>
      <c r="E12" s="308"/>
      <c r="F12" s="308"/>
      <c r="G12" s="307" t="str">
        <f>IF(data_status_reg!$E26="bajo",0,IF(data_status_reg!$E26="medio",0.5,IF(data_status_reg!$E26="alto",1,"falta riesgo")))</f>
        <v>falta riesgo</v>
      </c>
      <c r="H12" s="308"/>
      <c r="I12" s="309"/>
      <c r="J12" s="307" t="str">
        <f>IF(data_status_reg!$E42="bajo",0,IF(data_status_reg!$E42="medio",0.5,IF(data_status_reg!$E42="alto",1,"falta riesgo")))</f>
        <v>falta riesgo</v>
      </c>
      <c r="K12" s="309"/>
      <c r="L12" s="309"/>
      <c r="M12" s="307" t="str">
        <f>IF(data_status_reg!$E58="bajo",0,IF(data_status_reg!$E58="medio",0.5,IF(data_status_reg!$E58="alto",1,"falta riesgo")))</f>
        <v>falta riesgo</v>
      </c>
      <c r="N12" s="306"/>
      <c r="O12" s="336"/>
      <c r="P12" s="307" t="str">
        <f>IF(data_status_reg!$E74="bajo",0,IF(data_status_reg!$E74="medio",0.5,IF(data_status_reg!$E74="alto",1,"falta riesgo")))</f>
        <v>falta riesgo</v>
      </c>
      <c r="Q12" s="323"/>
      <c r="R12" s="3"/>
    </row>
    <row r="13" spans="1:21" ht="21">
      <c r="A13" s="313"/>
      <c r="B13" s="332" t="s">
        <v>30</v>
      </c>
      <c r="C13" s="322"/>
      <c r="D13" s="307" t="str">
        <f>IF(data_status_reg!$E11="bajo",0,IF(data_status_reg!$E11="medio",0.5,IF(data_status_reg!$E11="alto",1,"falta riesgo")))</f>
        <v>falta riesgo</v>
      </c>
      <c r="E13" s="308"/>
      <c r="F13" s="308"/>
      <c r="G13" s="307" t="str">
        <f>IF(data_status_reg!$E27="bajo",0,IF(data_status_reg!$E27="medio",0.5,IF(data_status_reg!$E27="alto",1,"falta riesgo")))</f>
        <v>falta riesgo</v>
      </c>
      <c r="H13" s="308"/>
      <c r="I13" s="308"/>
      <c r="J13" s="307" t="str">
        <f>IF(data_status_reg!$E43="bajo",0,IF(data_status_reg!$E43="medio",0.5,IF(data_status_reg!$E43="alto",1,"falta riesgo")))</f>
        <v>falta riesgo</v>
      </c>
      <c r="K13" s="308"/>
      <c r="L13" s="308"/>
      <c r="M13" s="307" t="str">
        <f>IF(data_status_reg!$E59="bajo",0,IF(data_status_reg!$E59="medio",0.5,IF(data_status_reg!$E59="alto",1,"falta riesgo")))</f>
        <v>falta riesgo</v>
      </c>
      <c r="N13" s="305"/>
      <c r="O13" s="335"/>
      <c r="P13" s="307" t="str">
        <f>IF(data_status_reg!$E75="bajo",0,IF(data_status_reg!$E75="medio",0.5,IF(data_status_reg!$E75="alto",1,"falta riesgo")))</f>
        <v>falta riesgo</v>
      </c>
      <c r="Q13" s="323"/>
      <c r="R13" s="3"/>
      <c r="U13" s="10"/>
    </row>
    <row r="14" spans="1:21" ht="21">
      <c r="A14" s="313"/>
      <c r="B14" s="332" t="s">
        <v>31</v>
      </c>
      <c r="C14" s="322"/>
      <c r="D14" s="307" t="str">
        <f>IF(data_status_reg!$E12="bajo",0,IF(data_status_reg!$E12="medio",0.5,IF(data_status_reg!$E12="alto",1,"falta riesgo")))</f>
        <v>falta riesgo</v>
      </c>
      <c r="E14" s="308"/>
      <c r="F14" s="308"/>
      <c r="G14" s="307" t="str">
        <f>IF(data_status_reg!$E28="bajo",0,IF(data_status_reg!$E28="medio",0.5,IF(data_status_reg!$E28="alto",1,"falta riesgo")))</f>
        <v>falta riesgo</v>
      </c>
      <c r="H14" s="308"/>
      <c r="I14" s="308"/>
      <c r="J14" s="307" t="str">
        <f>IF(data_status_reg!$E44="bajo",0,IF(data_status_reg!$E44="medio",0.5,IF(data_status_reg!$E44="alto",1,"falta riesgo")))</f>
        <v>falta riesgo</v>
      </c>
      <c r="K14" s="308"/>
      <c r="L14" s="308"/>
      <c r="M14" s="307" t="str">
        <f>IF(data_status_reg!$E60="bajo",0,IF(data_status_reg!$E60="medio",0.5,IF(data_status_reg!$E60="alto",1,"falta riesgo")))</f>
        <v>falta riesgo</v>
      </c>
      <c r="N14" s="305"/>
      <c r="O14" s="335"/>
      <c r="P14" s="307" t="str">
        <f>IF(data_status_reg!$E76="bajo",0,IF(data_status_reg!$E76="medio",0.5,IF(data_status_reg!$E76="alto",1,"falta riesgo")))</f>
        <v>falta riesgo</v>
      </c>
      <c r="Q14" s="323"/>
      <c r="R14" s="3"/>
    </row>
    <row r="15" spans="1:21" ht="21">
      <c r="A15" s="313"/>
      <c r="B15" s="332" t="s">
        <v>32</v>
      </c>
      <c r="C15" s="322"/>
      <c r="D15" s="307" t="str">
        <f>IF(data_status_reg!$E13="bajo",0,IF(data_status_reg!$E13="medio",0.5,IF(data_status_reg!$E13="alto",1,"falta riesgo")))</f>
        <v>falta riesgo</v>
      </c>
      <c r="E15" s="308"/>
      <c r="F15" s="308"/>
      <c r="G15" s="307" t="str">
        <f>IF(data_status_reg!$E29="bajo",0,IF(data_status_reg!$E29="medio",0.5,IF(data_status_reg!$E29="alto",1,"falta riesgo")))</f>
        <v>falta riesgo</v>
      </c>
      <c r="H15" s="308"/>
      <c r="I15" s="309"/>
      <c r="J15" s="307" t="str">
        <f>IF(data_status_reg!$E45="bajo",0,IF(data_status_reg!$E45="medio",0.5,IF(data_status_reg!$E45="alto",1,"falta riesgo")))</f>
        <v>falta riesgo</v>
      </c>
      <c r="K15" s="309"/>
      <c r="L15" s="309"/>
      <c r="M15" s="307" t="str">
        <f>IF(data_status_reg!$E61="bajo",0,IF(data_status_reg!$E61="medio",0.5,IF(data_status_reg!$E61="alto",1,"falta riesgo")))</f>
        <v>falta riesgo</v>
      </c>
      <c r="N15" s="306"/>
      <c r="O15" s="336"/>
      <c r="P15" s="307" t="str">
        <f>IF(data_status_reg!$E77="bajo",0,IF(data_status_reg!$E77="medio",0.5,IF(data_status_reg!$E77="alto",1,"falta riesgo")))</f>
        <v>falta riesgo</v>
      </c>
      <c r="Q15" s="323"/>
      <c r="R15" s="3"/>
    </row>
    <row r="16" spans="1:21" ht="21">
      <c r="A16" s="313"/>
      <c r="B16" s="332" t="s">
        <v>33</v>
      </c>
      <c r="C16" s="322"/>
      <c r="D16" s="307" t="str">
        <f>IF(data_status_reg!$E14="bajo",0,IF(data_status_reg!$E14="medio",0.5,IF(data_status_reg!$E14="alto",1,"falta riesgo")))</f>
        <v>falta riesgo</v>
      </c>
      <c r="E16" s="308"/>
      <c r="F16" s="308"/>
      <c r="G16" s="307" t="str">
        <f>IF(data_status_reg!$E30="bajo",0,IF(data_status_reg!$E30="medio",0.5,IF(data_status_reg!$E30="alto",1,"falta riesgo")))</f>
        <v>falta riesgo</v>
      </c>
      <c r="H16" s="308"/>
      <c r="I16" s="308"/>
      <c r="J16" s="307" t="str">
        <f>IF(data_status_reg!$E46="bajo",0,IF(data_status_reg!$E46="medio",0.5,IF(data_status_reg!$E46="alto",1,"falta riesgo")))</f>
        <v>falta riesgo</v>
      </c>
      <c r="K16" s="308"/>
      <c r="L16" s="308"/>
      <c r="M16" s="307" t="str">
        <f>IF(data_status_reg!$E62="bajo",0,IF(data_status_reg!$E62="medio",0.5,IF(data_status_reg!$E62="alto",1,"falta riesgo")))</f>
        <v>falta riesgo</v>
      </c>
      <c r="N16" s="305"/>
      <c r="O16" s="335"/>
      <c r="P16" s="307" t="str">
        <f>IF(data_status_reg!$E78="bajo",0,IF(data_status_reg!$E78="medio",0.5,IF(data_status_reg!$E78="alto",1,"falta riesgo")))</f>
        <v>falta riesgo</v>
      </c>
      <c r="Q16" s="323"/>
      <c r="R16" s="3"/>
    </row>
    <row r="17" spans="1:18" ht="21">
      <c r="A17" s="313"/>
      <c r="B17" s="332" t="s">
        <v>34</v>
      </c>
      <c r="C17" s="322"/>
      <c r="D17" s="307" t="str">
        <f>IF(data_status_reg!$E15="bajo",0,IF(data_status_reg!$E15="medio",0.5,IF(data_status_reg!$E15="alto",1,"falta riesgo")))</f>
        <v>falta riesgo</v>
      </c>
      <c r="E17" s="308"/>
      <c r="F17" s="308"/>
      <c r="G17" s="307" t="str">
        <f>IF(data_status_reg!$E31="bajo",0,IF(data_status_reg!$E31="medio",0.5,IF(data_status_reg!$E31="alto",1,"falta riesgo")))</f>
        <v>falta riesgo</v>
      </c>
      <c r="H17" s="308"/>
      <c r="I17" s="308"/>
      <c r="J17" s="307" t="str">
        <f>IF(data_status_reg!$E47="bajo",0,IF(data_status_reg!$E47="medio",0.5,IF(data_status_reg!$E47="alto",1,"falta riesgo")))</f>
        <v>falta riesgo</v>
      </c>
      <c r="K17" s="308"/>
      <c r="L17" s="308"/>
      <c r="M17" s="307" t="str">
        <f>IF(data_status_reg!$E63="bajo",0,IF(data_status_reg!$E63="medio",0.5,IF(data_status_reg!$E63="alto",1,"falta riesgo")))</f>
        <v>falta riesgo</v>
      </c>
      <c r="N17" s="305"/>
      <c r="O17" s="335"/>
      <c r="P17" s="307" t="str">
        <f>IF(data_status_reg!$E79="bajo",0,IF(data_status_reg!$E79="medio",0.5,IF(data_status_reg!$E79="alto",1,"falta riesgo")))</f>
        <v>falta riesgo</v>
      </c>
      <c r="Q17" s="323"/>
      <c r="R17" s="3"/>
    </row>
    <row r="18" spans="1:18" ht="21">
      <c r="A18" s="313"/>
      <c r="B18" s="332" t="s">
        <v>35</v>
      </c>
      <c r="C18" s="322"/>
      <c r="D18" s="307" t="str">
        <f>IF(data_status_reg!$E16="bajo",0,IF(data_status_reg!$E16="medio",0.5,IF(data_status_reg!$E16="alto",1,"falta riesgo")))</f>
        <v>falta riesgo</v>
      </c>
      <c r="E18" s="308"/>
      <c r="F18" s="308"/>
      <c r="G18" s="338" t="s">
        <v>45</v>
      </c>
      <c r="H18" s="308"/>
      <c r="I18" s="308"/>
      <c r="J18" s="307" t="str">
        <f>IF(data_status_reg!$E48="bajo",0,IF(data_status_reg!$E48="medio",0.5,IF(data_status_reg!$E48="alto",1,"falta riesgo")))</f>
        <v>falta riesgo</v>
      </c>
      <c r="K18" s="308"/>
      <c r="M18" s="307" t="str">
        <f>IF(data_status_reg!$E64="bajo",0,IF(data_status_reg!$E64="medio",0.5,IF(data_status_reg!$E64="alto",1,"falta riesgo")))</f>
        <v>falta riesgo</v>
      </c>
      <c r="N18" s="306"/>
      <c r="O18" s="336"/>
      <c r="P18" s="307" t="str">
        <f>IF(data_status_reg!$E80="bajo",0,IF(data_status_reg!$E80="medio",0.5,IF(data_status_reg!$E80="alto",1,"falta riesgo")))</f>
        <v>falta riesgo</v>
      </c>
      <c r="Q18" s="323"/>
      <c r="R18" s="3"/>
    </row>
    <row r="19" spans="1:18" ht="21">
      <c r="A19" s="313"/>
      <c r="B19" s="332" t="s">
        <v>36</v>
      </c>
      <c r="C19" s="322"/>
      <c r="D19" s="307" t="str">
        <f>IF(data_status_reg!$E17="bajo",0,IF(data_status_reg!$E17="medio",0.5,IF(data_status_reg!$E17="alto",1,"falta riesgo")))</f>
        <v>falta riesgo</v>
      </c>
      <c r="E19" s="308"/>
      <c r="F19" s="308"/>
      <c r="G19" s="307" t="str">
        <f>IF(data_status_reg!$E33="bajo",0,IF(data_status_reg!$E33="medio",0.5,IF(data_status_reg!$E33="alto",1,"falta riesgo")))</f>
        <v>falta riesgo</v>
      </c>
      <c r="H19" s="308"/>
      <c r="I19" s="308"/>
      <c r="J19" s="307" t="str">
        <f>IF(data_status_reg!$E49="bajo",0,IF(data_status_reg!$E49="medio",0.5,IF(data_status_reg!$E49="alto",1,"falta riesgo")))</f>
        <v>falta riesgo</v>
      </c>
      <c r="K19" s="308"/>
      <c r="L19" s="308"/>
      <c r="M19" s="307" t="str">
        <f>IF(data_status_reg!$E65="bajo",0,IF(data_status_reg!$E65="medio",0.5,IF(data_status_reg!$E65="alto",1,"falta riesgo")))</f>
        <v>falta riesgo</v>
      </c>
      <c r="N19" s="305"/>
      <c r="O19" s="335"/>
      <c r="P19" s="307" t="str">
        <f>IF(data_status_reg!$E81="bajo",0,IF(data_status_reg!$E81="medio",0.5,IF(data_status_reg!$E81="alto",1,"falta riesgo")))</f>
        <v>falta riesgo</v>
      </c>
      <c r="Q19" s="323"/>
      <c r="R19" s="3"/>
    </row>
    <row r="20" spans="1:18" ht="21">
      <c r="A20" s="313"/>
      <c r="B20" s="332" t="s">
        <v>37</v>
      </c>
      <c r="C20" s="322"/>
      <c r="D20" s="307" t="str">
        <f>IF(data_status_reg!$E18="bajo",0,IF(data_status_reg!$E18="medio",0.5,IF(data_status_reg!$E18="alto",1,"falta riesgo")))</f>
        <v>falta riesgo</v>
      </c>
      <c r="E20" s="308"/>
      <c r="F20" s="308"/>
      <c r="G20" s="307" t="str">
        <f>IF(data_status_reg!$E34="bajo",0,IF(data_status_reg!$E34="medio",0.5,IF(data_status_reg!$E34="alto",1,"falta riesgo")))</f>
        <v>falta riesgo</v>
      </c>
      <c r="H20" s="308"/>
      <c r="I20" s="308"/>
      <c r="J20" s="307" t="str">
        <f>IF(data_status_reg!$E50="bajo",0,IF(data_status_reg!$E50="medio",0.5,IF(data_status_reg!$E50="alto",1,"falta riesgo")))</f>
        <v>falta riesgo</v>
      </c>
      <c r="K20" s="308"/>
      <c r="L20" s="308"/>
      <c r="M20" s="307" t="str">
        <f>IF(data_status_reg!$E66="bajo",0,IF(data_status_reg!$E66="medio",0.5,IF(data_status_reg!$E66="alto",1,"falta riesgo")))</f>
        <v>falta riesgo</v>
      </c>
      <c r="N20" s="305"/>
      <c r="O20" s="335"/>
      <c r="P20" s="307" t="str">
        <f>IF(data_status_reg!$E82="bajo",0,IF(data_status_reg!$E82="medio",0.5,IF(data_status_reg!$E82="alto",1,"falta riesgo")))</f>
        <v>falta riesgo</v>
      </c>
      <c r="Q20" s="323"/>
      <c r="R20" s="3"/>
    </row>
    <row r="21" spans="1:18" ht="21.75" thickBot="1">
      <c r="A21" s="313"/>
      <c r="B21" s="333" t="s">
        <v>38</v>
      </c>
      <c r="C21" s="324"/>
      <c r="D21" s="325" t="str">
        <f>IF(data_status_reg!$E19="bajo",0,IF(data_status_reg!$E19="medio",0.5,IF(data_status_reg!$E19="alto",1,"falta riesgo")))</f>
        <v>falta riesgo</v>
      </c>
      <c r="E21" s="326"/>
      <c r="F21" s="326"/>
      <c r="G21" s="339" t="s">
        <v>45</v>
      </c>
      <c r="H21" s="326"/>
      <c r="I21" s="326"/>
      <c r="J21" s="325" t="str">
        <f>IF(data_status_reg!$E51="bajo",0,IF(data_status_reg!$E51="medio",0.5,IF(data_status_reg!$E51="alto",1,"falta riesgo")))</f>
        <v>falta riesgo</v>
      </c>
      <c r="K21" s="326"/>
      <c r="L21" s="327"/>
      <c r="M21" s="328" t="str">
        <f>IF(data_status_reg!$E67="bajo",0,IF(data_status_reg!$E67="medio",0.5,IF(data_status_reg!$E67="alto",1,"falta riesgo")))</f>
        <v>falta riesgo</v>
      </c>
      <c r="N21" s="329"/>
      <c r="O21" s="337"/>
      <c r="P21" s="325" t="str">
        <f>IF(data_status_reg!$E83="bajo",0,IF(data_status_reg!$E83="medio",0.5,IF(data_status_reg!$E83="alto",1,"falta riesgo")))</f>
        <v>falta riesgo</v>
      </c>
      <c r="Q21" s="330"/>
      <c r="R21" s="3"/>
    </row>
    <row r="22" spans="1:18">
      <c r="A22" s="31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5"/>
      <c r="B23" s="316"/>
      <c r="C23" s="316"/>
      <c r="D23" s="316"/>
      <c r="E23" s="316"/>
      <c r="F23" s="316"/>
      <c r="G23" s="316"/>
      <c r="H23" s="316"/>
      <c r="I23" s="316"/>
      <c r="J23" s="316"/>
      <c r="K23" s="316"/>
      <c r="L23" s="316"/>
      <c r="M23" s="316"/>
      <c r="N23" s="316"/>
      <c r="O23" s="316"/>
      <c r="P23" s="316"/>
      <c r="Q23" s="316"/>
      <c r="R23" s="316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ageMargins left="0" right="0" top="0" bottom="0" header="0" footer="0"/>
  <pageSetup paperSize="5" scale="90" orientation="landscape" r:id="rId1"/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36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36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36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36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36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36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36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36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36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36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36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36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36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36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36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36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36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36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36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36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36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36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36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36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36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36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36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36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36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36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36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36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36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36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36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36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36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36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36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36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36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36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36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36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10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8" t="s">
        <v>47</v>
      </c>
      <c r="C3" s="619"/>
      <c r="D3" s="619"/>
      <c r="E3" s="619"/>
      <c r="F3" s="619"/>
      <c r="G3" s="619"/>
      <c r="H3" s="619"/>
      <c r="I3" s="619"/>
      <c r="J3" s="619"/>
      <c r="K3" s="619"/>
      <c r="L3" s="619"/>
      <c r="M3" s="619"/>
      <c r="N3" s="619"/>
      <c r="O3" s="620"/>
    </row>
    <row r="4" spans="1:16" ht="7.35" customHeight="1">
      <c r="A4" s="32"/>
      <c r="B4" s="625" t="s">
        <v>48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256"/>
    </row>
    <row r="5" spans="1:16" ht="43.5" customHeight="1">
      <c r="A5" s="32"/>
      <c r="B5" s="625"/>
      <c r="C5" s="626"/>
      <c r="D5" s="626"/>
      <c r="E5" s="626"/>
      <c r="F5" s="626"/>
      <c r="G5" s="626"/>
      <c r="H5" s="626"/>
      <c r="I5" s="626"/>
      <c r="J5" s="626"/>
      <c r="K5" s="626"/>
      <c r="L5" s="626"/>
      <c r="M5" s="626"/>
      <c r="N5" s="626"/>
      <c r="O5" s="256"/>
    </row>
    <row r="6" spans="1:16" ht="43.5" customHeight="1">
      <c r="A6" s="32"/>
      <c r="B6" s="625"/>
      <c r="C6" s="626"/>
      <c r="D6" s="626"/>
      <c r="E6" s="626"/>
      <c r="F6" s="626"/>
      <c r="G6" s="626"/>
      <c r="H6" s="626"/>
      <c r="I6" s="626"/>
      <c r="J6" s="626"/>
      <c r="K6" s="626"/>
      <c r="L6" s="626"/>
      <c r="M6" s="626"/>
      <c r="N6" s="626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29" t="s">
        <v>49</v>
      </c>
      <c r="E9" s="627"/>
      <c r="F9" s="627"/>
      <c r="G9" s="628"/>
      <c r="I9" s="238"/>
      <c r="J9" s="634" t="s">
        <v>49</v>
      </c>
      <c r="K9" s="631"/>
      <c r="L9" s="632"/>
      <c r="M9" s="633"/>
      <c r="O9" s="256"/>
    </row>
    <row r="10" spans="1:16" ht="37.5" customHeight="1" thickBot="1">
      <c r="A10" s="240"/>
      <c r="B10" s="249"/>
      <c r="C10" s="62" t="s">
        <v>50</v>
      </c>
      <c r="D10" s="630"/>
      <c r="E10" s="63" t="s">
        <v>51</v>
      </c>
      <c r="F10" s="63" t="s">
        <v>52</v>
      </c>
      <c r="G10" s="64" t="s">
        <v>53</v>
      </c>
      <c r="I10" s="66" t="s">
        <v>50</v>
      </c>
      <c r="J10" s="635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3"/>
      <c r="E11" s="343"/>
      <c r="F11" s="343"/>
      <c r="G11" s="344"/>
      <c r="I11" s="563"/>
      <c r="J11" s="343"/>
      <c r="K11" s="343"/>
      <c r="L11" s="343"/>
      <c r="M11" s="344"/>
      <c r="O11" s="256"/>
    </row>
    <row r="12" spans="1:16" ht="18.75">
      <c r="A12" s="32"/>
      <c r="B12" s="247"/>
      <c r="C12" s="34"/>
      <c r="D12" s="345"/>
      <c r="E12" s="345"/>
      <c r="F12" s="345"/>
      <c r="G12" s="346"/>
      <c r="I12" s="564"/>
      <c r="J12" s="345"/>
      <c r="K12" s="345"/>
      <c r="L12" s="345"/>
      <c r="M12" s="346"/>
      <c r="N12" s="257"/>
      <c r="O12" s="248"/>
    </row>
    <row r="13" spans="1:16" ht="18.75">
      <c r="A13" s="32"/>
      <c r="B13" s="247"/>
      <c r="C13" s="34"/>
      <c r="D13" s="345"/>
      <c r="E13" s="345"/>
      <c r="F13" s="345"/>
      <c r="G13" s="346"/>
      <c r="I13" s="564"/>
      <c r="J13" s="345"/>
      <c r="K13" s="345"/>
      <c r="L13" s="345"/>
      <c r="M13" s="346"/>
      <c r="N13" s="257"/>
      <c r="O13" s="248"/>
    </row>
    <row r="14" spans="1:16" ht="18.75">
      <c r="A14" s="243"/>
      <c r="B14" s="247"/>
      <c r="C14" s="34"/>
      <c r="D14" s="345"/>
      <c r="E14" s="345"/>
      <c r="F14" s="345"/>
      <c r="G14" s="346"/>
      <c r="I14" s="564"/>
      <c r="J14" s="345"/>
      <c r="K14" s="345"/>
      <c r="L14" s="345"/>
      <c r="M14" s="346"/>
      <c r="N14" s="257"/>
      <c r="O14" s="248"/>
    </row>
    <row r="15" spans="1:16" ht="18.75">
      <c r="A15" s="32"/>
      <c r="B15" s="247"/>
      <c r="C15" s="57"/>
      <c r="D15" s="345"/>
      <c r="E15" s="345"/>
      <c r="F15" s="345"/>
      <c r="G15" s="346"/>
      <c r="I15" s="564"/>
      <c r="J15" s="345"/>
      <c r="K15" s="345"/>
      <c r="L15" s="345"/>
      <c r="M15" s="346"/>
      <c r="N15" s="257"/>
      <c r="O15" s="248"/>
    </row>
    <row r="16" spans="1:16" ht="18.75">
      <c r="A16" s="32"/>
      <c r="B16" s="247"/>
      <c r="C16" s="57"/>
      <c r="D16" s="345"/>
      <c r="E16" s="345"/>
      <c r="F16" s="345"/>
      <c r="G16" s="346"/>
      <c r="I16" s="564"/>
      <c r="J16" s="345"/>
      <c r="K16" s="345"/>
      <c r="L16" s="345"/>
      <c r="M16" s="346"/>
      <c r="N16" s="257"/>
      <c r="O16" s="248"/>
    </row>
    <row r="17" spans="1:15" ht="18.75">
      <c r="A17" s="32"/>
      <c r="B17" s="247"/>
      <c r="C17" s="57"/>
      <c r="D17" s="345"/>
      <c r="E17" s="345"/>
      <c r="F17" s="345"/>
      <c r="G17" s="346"/>
      <c r="I17" s="564"/>
      <c r="J17" s="345"/>
      <c r="K17" s="345"/>
      <c r="L17" s="345"/>
      <c r="M17" s="346"/>
      <c r="N17" s="257"/>
      <c r="O17" s="248"/>
    </row>
    <row r="18" spans="1:15" ht="18.75">
      <c r="A18" s="32"/>
      <c r="B18" s="247"/>
      <c r="C18" s="57"/>
      <c r="D18" s="345"/>
      <c r="E18" s="345"/>
      <c r="F18" s="345"/>
      <c r="G18" s="346"/>
      <c r="I18" s="564"/>
      <c r="J18" s="345"/>
      <c r="K18" s="345"/>
      <c r="L18" s="345"/>
      <c r="M18" s="346"/>
      <c r="N18" s="257"/>
      <c r="O18" s="248"/>
    </row>
    <row r="19" spans="1:15" ht="18.75">
      <c r="A19" s="32"/>
      <c r="B19" s="247"/>
      <c r="C19" s="34"/>
      <c r="D19" s="345"/>
      <c r="E19" s="345"/>
      <c r="F19" s="345"/>
      <c r="G19" s="346"/>
      <c r="I19" s="564"/>
      <c r="J19" s="345"/>
      <c r="K19" s="345"/>
      <c r="L19" s="345"/>
      <c r="M19" s="346"/>
      <c r="N19" s="257"/>
      <c r="O19" s="248"/>
    </row>
    <row r="20" spans="1:15" ht="18.75">
      <c r="A20" s="32"/>
      <c r="B20" s="247"/>
      <c r="C20" s="34"/>
      <c r="D20" s="345"/>
      <c r="E20" s="345"/>
      <c r="F20" s="345"/>
      <c r="G20" s="346"/>
      <c r="I20" s="564"/>
      <c r="J20" s="345"/>
      <c r="K20" s="345"/>
      <c r="L20" s="345"/>
      <c r="M20" s="346"/>
      <c r="N20" s="257"/>
      <c r="O20" s="248"/>
    </row>
    <row r="21" spans="1:15" ht="18.75">
      <c r="A21" s="32"/>
      <c r="B21" s="247"/>
      <c r="C21" s="33"/>
      <c r="D21" s="345"/>
      <c r="E21" s="345"/>
      <c r="F21" s="345"/>
      <c r="G21" s="346"/>
      <c r="I21" s="564"/>
      <c r="J21" s="345"/>
      <c r="K21" s="345"/>
      <c r="L21" s="345"/>
      <c r="M21" s="346"/>
      <c r="N21" s="257"/>
      <c r="O21" s="248"/>
    </row>
    <row r="22" spans="1:15" ht="18.75">
      <c r="A22" s="32"/>
      <c r="B22" s="247"/>
      <c r="C22" s="33"/>
      <c r="D22" s="345"/>
      <c r="E22" s="345"/>
      <c r="F22" s="345"/>
      <c r="G22" s="346"/>
      <c r="I22" s="564"/>
      <c r="J22" s="345"/>
      <c r="K22" s="345"/>
      <c r="L22" s="345"/>
      <c r="M22" s="346"/>
      <c r="N22" s="257"/>
      <c r="O22" s="248"/>
    </row>
    <row r="23" spans="1:15" ht="18.75">
      <c r="A23" s="32"/>
      <c r="B23" s="247"/>
      <c r="C23" s="34"/>
      <c r="D23" s="345"/>
      <c r="E23" s="345"/>
      <c r="F23" s="345"/>
      <c r="G23" s="346"/>
      <c r="I23" s="564"/>
      <c r="J23" s="345"/>
      <c r="K23" s="345"/>
      <c r="L23" s="345"/>
      <c r="M23" s="346"/>
      <c r="N23" s="257"/>
      <c r="O23" s="248"/>
    </row>
    <row r="24" spans="1:15" ht="18.75">
      <c r="A24" s="32"/>
      <c r="B24" s="247"/>
      <c r="C24" s="33"/>
      <c r="D24" s="345"/>
      <c r="E24" s="345"/>
      <c r="F24" s="345"/>
      <c r="G24" s="346"/>
      <c r="I24" s="564"/>
      <c r="J24" s="345"/>
      <c r="K24" s="345"/>
      <c r="L24" s="345"/>
      <c r="M24" s="346"/>
      <c r="N24" s="257"/>
      <c r="O24" s="248"/>
    </row>
    <row r="25" spans="1:15" ht="18.75">
      <c r="A25" s="32"/>
      <c r="B25" s="247"/>
      <c r="C25" s="33"/>
      <c r="D25" s="345"/>
      <c r="E25" s="345"/>
      <c r="F25" s="345"/>
      <c r="G25" s="346"/>
      <c r="I25" s="564"/>
      <c r="J25" s="345"/>
      <c r="K25" s="345"/>
      <c r="L25" s="345"/>
      <c r="M25" s="346"/>
      <c r="N25" s="257"/>
      <c r="O25" s="248"/>
    </row>
    <row r="26" spans="1:15" ht="19.5" thickBot="1">
      <c r="A26" s="32"/>
      <c r="B26" s="247"/>
      <c r="C26" s="33"/>
      <c r="D26" s="345"/>
      <c r="E26" s="345"/>
      <c r="F26" s="345"/>
      <c r="G26" s="346"/>
      <c r="I26" s="565"/>
      <c r="J26" s="347"/>
      <c r="K26" s="347"/>
      <c r="L26" s="347"/>
      <c r="M26" s="348"/>
      <c r="N26" s="257"/>
      <c r="O26" s="248"/>
    </row>
    <row r="27" spans="1:15" ht="23.25" customHeight="1">
      <c r="A27" s="32"/>
      <c r="B27" s="247"/>
      <c r="C27" s="33"/>
      <c r="D27" s="345"/>
      <c r="E27" s="345"/>
      <c r="F27" s="345"/>
      <c r="G27" s="346"/>
      <c r="N27" s="257"/>
      <c r="O27" s="248"/>
    </row>
    <row r="28" spans="1:15" ht="23.25" customHeight="1" thickBot="1">
      <c r="A28" s="32"/>
      <c r="B28" s="247"/>
      <c r="C28" s="304"/>
      <c r="D28" s="347"/>
      <c r="E28" s="347"/>
      <c r="F28" s="347"/>
      <c r="G28" s="348"/>
      <c r="I28" s="562"/>
      <c r="J28" s="562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4" t="s">
        <v>54</v>
      </c>
      <c r="D30" s="645"/>
      <c r="E30" s="645"/>
      <c r="F30" s="645"/>
      <c r="G30" s="646"/>
      <c r="N30" s="257"/>
      <c r="O30" s="248"/>
    </row>
    <row r="31" spans="1:15" ht="49.5" customHeight="1">
      <c r="A31" s="32"/>
      <c r="B31" s="247"/>
      <c r="C31" s="636" t="s">
        <v>51</v>
      </c>
      <c r="D31" s="637"/>
      <c r="E31" s="638" t="s">
        <v>55</v>
      </c>
      <c r="F31" s="638"/>
      <c r="G31" s="639"/>
      <c r="N31" s="257"/>
      <c r="O31" s="248"/>
    </row>
    <row r="32" spans="1:15" ht="60" customHeight="1">
      <c r="A32" s="32"/>
      <c r="B32" s="247"/>
      <c r="C32" s="640" t="s">
        <v>52</v>
      </c>
      <c r="D32" s="641"/>
      <c r="E32" s="642" t="s">
        <v>56</v>
      </c>
      <c r="F32" s="642"/>
      <c r="G32" s="643"/>
      <c r="N32" s="257"/>
      <c r="O32" s="248"/>
    </row>
    <row r="33" spans="1:15" ht="66.75" customHeight="1" thickBot="1">
      <c r="A33" s="32"/>
      <c r="B33" s="249"/>
      <c r="C33" s="621" t="s">
        <v>53</v>
      </c>
      <c r="D33" s="622"/>
      <c r="E33" s="623" t="s">
        <v>57</v>
      </c>
      <c r="F33" s="623"/>
      <c r="G33" s="624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dimension ref="A1:Q50"/>
  <sheetViews>
    <sheetView zoomScale="55" zoomScaleNormal="55" workbookViewId="0">
      <selection activeCell="B13" sqref="B13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C3" s="94"/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6" t="s">
        <v>58</v>
      </c>
      <c r="C5" s="657" t="s">
        <v>186</v>
      </c>
      <c r="D5" s="658"/>
      <c r="E5" s="373" t="s">
        <v>60</v>
      </c>
      <c r="F5" s="373" t="s">
        <v>59</v>
      </c>
      <c r="G5" s="373" t="s">
        <v>61</v>
      </c>
      <c r="H5" s="374" t="s">
        <v>118</v>
      </c>
      <c r="I5" s="374" t="s">
        <v>62</v>
      </c>
      <c r="J5" s="375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59"/>
      <c r="D6" s="660"/>
      <c r="E6" s="457"/>
      <c r="F6" s="457"/>
      <c r="G6" s="457"/>
      <c r="H6" s="457"/>
      <c r="I6" s="457"/>
      <c r="J6" s="460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1"/>
      <c r="D7" s="662"/>
      <c r="E7" s="458"/>
      <c r="F7" s="458"/>
      <c r="G7" s="458"/>
      <c r="H7" s="458"/>
      <c r="I7" s="458"/>
      <c r="J7" s="461"/>
      <c r="L7" s="82"/>
      <c r="M7" s="82"/>
      <c r="N7" s="82"/>
      <c r="O7" s="81"/>
      <c r="P7" s="90"/>
    </row>
    <row r="8" spans="1:17" ht="44.25" customHeight="1">
      <c r="A8" s="100"/>
      <c r="B8" s="216"/>
      <c r="C8" s="661"/>
      <c r="D8" s="662"/>
      <c r="E8" s="458"/>
      <c r="F8" s="458"/>
      <c r="G8" s="458"/>
      <c r="H8" s="458"/>
      <c r="I8" s="458"/>
      <c r="J8" s="461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1"/>
      <c r="D9" s="662"/>
      <c r="E9" s="458"/>
      <c r="F9" s="458"/>
      <c r="G9" s="458"/>
      <c r="H9" s="458"/>
      <c r="I9" s="458"/>
      <c r="J9" s="461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1"/>
      <c r="D10" s="662"/>
      <c r="E10" s="458"/>
      <c r="F10" s="458"/>
      <c r="G10" s="458"/>
      <c r="H10" s="458"/>
      <c r="I10" s="458"/>
      <c r="J10" s="461"/>
      <c r="K10" s="116"/>
      <c r="L10" s="82"/>
      <c r="M10" s="82"/>
      <c r="N10" s="90"/>
      <c r="O10" s="81"/>
      <c r="P10" s="82"/>
    </row>
    <row r="11" spans="1:17" ht="55.5" customHeight="1">
      <c r="A11" s="101"/>
      <c r="B11" s="216"/>
      <c r="C11" s="661"/>
      <c r="D11" s="663"/>
      <c r="E11" s="458"/>
      <c r="F11" s="458"/>
      <c r="G11" s="458"/>
      <c r="H11" s="458"/>
      <c r="I11" s="458"/>
      <c r="J11" s="461"/>
      <c r="L11" s="82"/>
      <c r="M11" s="90"/>
      <c r="N11" s="90"/>
      <c r="O11" s="98"/>
      <c r="P11" s="82"/>
    </row>
    <row r="12" spans="1:17" ht="44.25" customHeight="1">
      <c r="A12" s="101"/>
      <c r="B12" s="216"/>
      <c r="C12" s="661"/>
      <c r="D12" s="662"/>
      <c r="E12" s="458"/>
      <c r="F12" s="458"/>
      <c r="G12" s="458"/>
      <c r="H12" s="458"/>
      <c r="I12" s="458"/>
      <c r="J12" s="461"/>
      <c r="L12" s="82"/>
      <c r="M12" s="90"/>
      <c r="N12" s="82"/>
      <c r="O12" s="89"/>
      <c r="P12" s="82"/>
      <c r="Q12" s="103"/>
    </row>
    <row r="13" spans="1:17" ht="63" customHeight="1" thickBot="1">
      <c r="A13" s="100"/>
      <c r="B13" s="217"/>
      <c r="C13" s="652"/>
      <c r="D13" s="653"/>
      <c r="E13" s="459"/>
      <c r="F13" s="459"/>
      <c r="G13" s="459"/>
      <c r="H13" s="459"/>
      <c r="I13" s="459"/>
      <c r="J13" s="462"/>
      <c r="K13" s="206"/>
      <c r="L13" s="82"/>
      <c r="M13" s="82"/>
      <c r="N13" s="104"/>
      <c r="O13" s="82"/>
      <c r="P13" s="82"/>
      <c r="Q13" s="103"/>
    </row>
    <row r="14" spans="1:17" ht="9" customHeight="1" thickBot="1">
      <c r="A14" s="79"/>
      <c r="B14" s="124"/>
      <c r="C14" s="124"/>
      <c r="D14" s="107"/>
      <c r="F14" s="124"/>
      <c r="H14" s="125"/>
      <c r="I14" s="125"/>
      <c r="J14" s="125"/>
      <c r="K14" s="103"/>
      <c r="L14" s="82"/>
      <c r="M14" s="106"/>
      <c r="N14" s="82"/>
      <c r="O14" s="82"/>
      <c r="P14" s="79"/>
    </row>
    <row r="15" spans="1:17" ht="33" customHeight="1" thickBot="1">
      <c r="A15" s="79"/>
      <c r="B15" s="480" t="s">
        <v>67</v>
      </c>
      <c r="C15" s="478"/>
      <c r="D15" s="289" t="s">
        <v>68</v>
      </c>
      <c r="E15" s="126"/>
      <c r="F15" s="127"/>
      <c r="G15" s="128"/>
      <c r="H15" s="129"/>
      <c r="I15" s="130"/>
      <c r="J15" s="131"/>
      <c r="K15" s="300"/>
      <c r="L15" s="82"/>
      <c r="M15" s="82"/>
      <c r="N15" s="106"/>
      <c r="O15" s="82"/>
      <c r="P15" s="79"/>
    </row>
    <row r="16" spans="1:17" ht="135.75" customHeight="1" thickBot="1">
      <c r="A16" s="79"/>
      <c r="B16" s="482" t="s">
        <v>145</v>
      </c>
      <c r="C16" s="481"/>
      <c r="D16" s="294"/>
      <c r="E16" s="647"/>
      <c r="F16" s="648"/>
      <c r="G16" s="648"/>
      <c r="H16" s="648"/>
      <c r="I16" s="648"/>
      <c r="J16" s="649"/>
      <c r="K16" s="301"/>
      <c r="L16" s="115"/>
      <c r="M16" s="113"/>
      <c r="N16" s="112"/>
      <c r="P16" s="79"/>
    </row>
    <row r="17" spans="1:16" ht="108.75" customHeight="1" thickBot="1">
      <c r="A17" s="87"/>
      <c r="B17" s="484" t="s">
        <v>65</v>
      </c>
      <c r="C17" s="483"/>
      <c r="D17" s="294"/>
      <c r="E17" s="647"/>
      <c r="F17" s="648"/>
      <c r="G17" s="648"/>
      <c r="H17" s="648"/>
      <c r="I17" s="648"/>
      <c r="J17" s="649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295"/>
      <c r="E18" s="647"/>
      <c r="F18" s="648"/>
      <c r="G18" s="648"/>
      <c r="H18" s="648"/>
      <c r="I18" s="648"/>
      <c r="J18" s="649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47"/>
      <c r="F19" s="648"/>
      <c r="G19" s="648"/>
      <c r="H19" s="648"/>
      <c r="I19" s="648"/>
      <c r="J19" s="649"/>
      <c r="K19" s="136"/>
      <c r="L19" s="123"/>
      <c r="M19" s="111"/>
      <c r="N19" s="110"/>
      <c r="O19" s="112"/>
      <c r="P19" s="78"/>
    </row>
    <row r="20" spans="1:16" ht="99.75" customHeight="1" thickBot="1">
      <c r="A20" s="79"/>
      <c r="B20" s="90"/>
      <c r="D20" s="295"/>
      <c r="E20" s="647"/>
      <c r="F20" s="648"/>
      <c r="G20" s="648"/>
      <c r="H20" s="648"/>
      <c r="I20" s="648"/>
      <c r="J20" s="649"/>
      <c r="K20" s="302"/>
      <c r="L20" s="297"/>
      <c r="M20" s="114"/>
      <c r="N20" s="112"/>
      <c r="O20" s="110"/>
    </row>
    <row r="21" spans="1:16" ht="84.75" customHeight="1" thickBot="1">
      <c r="B21" s="90"/>
      <c r="D21" s="295"/>
      <c r="E21" s="647"/>
      <c r="F21" s="648"/>
      <c r="G21" s="648"/>
      <c r="H21" s="648"/>
      <c r="I21" s="648"/>
      <c r="J21" s="649"/>
      <c r="K21" s="302"/>
      <c r="L21" s="58"/>
      <c r="M21" s="114"/>
      <c r="N21" s="112"/>
      <c r="O21" s="586"/>
    </row>
    <row r="22" spans="1:16" s="226" customFormat="1" ht="105" customHeight="1" thickBot="1">
      <c r="B22" s="227"/>
      <c r="C22" s="228"/>
      <c r="D22" s="295"/>
      <c r="E22" s="647"/>
      <c r="F22" s="648"/>
      <c r="G22" s="648"/>
      <c r="H22" s="648"/>
      <c r="I22" s="648"/>
      <c r="J22" s="649"/>
      <c r="K22" s="303"/>
      <c r="L22" s="58"/>
      <c r="M22" s="112"/>
      <c r="N22" s="112"/>
      <c r="O22" s="117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8">
    <mergeCell ref="B1:D1"/>
    <mergeCell ref="E18:J18"/>
    <mergeCell ref="C5:D5"/>
    <mergeCell ref="C6:D6"/>
    <mergeCell ref="C7:D7"/>
    <mergeCell ref="C8:D8"/>
    <mergeCell ref="C9:D9"/>
    <mergeCell ref="C10:D10"/>
    <mergeCell ref="C12:D12"/>
    <mergeCell ref="C11:D11"/>
    <mergeCell ref="E22:J22"/>
    <mergeCell ref="E16:J16"/>
    <mergeCell ref="E17:J17"/>
    <mergeCell ref="I2:J2"/>
    <mergeCell ref="C13:D13"/>
    <mergeCell ref="E20:J20"/>
    <mergeCell ref="E19:J19"/>
    <mergeCell ref="E21:J21"/>
  </mergeCells>
  <printOptions horizontalCentered="1"/>
  <pageMargins left="0" right="0" top="0" bottom="0" header="0" footer="0"/>
  <pageSetup paperSize="5" scale="45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50"/>
  <sheetViews>
    <sheetView topLeftCell="A16" zoomScale="55" zoomScaleNormal="55" workbookViewId="0">
      <selection activeCell="E21" sqref="E21:J21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4"/>
      <c r="C1" s="655"/>
      <c r="D1" s="656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0" t="s">
        <v>165</v>
      </c>
      <c r="J2" s="651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8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66" t="s">
        <v>58</v>
      </c>
      <c r="C5" s="657" t="s">
        <v>186</v>
      </c>
      <c r="D5" s="658"/>
      <c r="E5" s="567" t="s">
        <v>60</v>
      </c>
      <c r="F5" s="567" t="s">
        <v>59</v>
      </c>
      <c r="G5" s="567" t="s">
        <v>61</v>
      </c>
      <c r="H5" s="568" t="s">
        <v>118</v>
      </c>
      <c r="I5" s="568" t="s">
        <v>62</v>
      </c>
      <c r="J5" s="569" t="s">
        <v>63</v>
      </c>
      <c r="K5" s="205"/>
      <c r="L5" s="82"/>
      <c r="M5" s="82"/>
      <c r="N5" s="82"/>
      <c r="O5" s="82"/>
      <c r="P5" s="104"/>
    </row>
    <row r="6" spans="1:17" ht="28.5">
      <c r="A6" s="79"/>
      <c r="B6" s="573"/>
      <c r="C6" s="669"/>
      <c r="D6" s="670"/>
      <c r="E6" s="574"/>
      <c r="F6" s="574"/>
      <c r="G6" s="574"/>
      <c r="H6" s="574"/>
      <c r="I6" s="574"/>
      <c r="J6" s="575"/>
      <c r="K6" s="78"/>
      <c r="L6" s="82"/>
      <c r="M6" s="82"/>
      <c r="N6" s="82"/>
      <c r="O6" s="82"/>
      <c r="P6" s="79"/>
    </row>
    <row r="7" spans="1:17" ht="28.5">
      <c r="A7" s="79"/>
      <c r="B7" s="216"/>
      <c r="C7" s="661"/>
      <c r="D7" s="663"/>
      <c r="E7" s="458"/>
      <c r="F7" s="458"/>
      <c r="G7" s="458"/>
      <c r="H7" s="458"/>
      <c r="I7" s="458"/>
      <c r="J7" s="461"/>
      <c r="K7" s="78"/>
      <c r="L7" s="82"/>
      <c r="M7" s="82"/>
      <c r="N7" s="82"/>
      <c r="O7" s="82"/>
      <c r="P7" s="79"/>
    </row>
    <row r="8" spans="1:17" ht="28.5">
      <c r="A8" s="79"/>
      <c r="B8" s="216"/>
      <c r="C8" s="673"/>
      <c r="D8" s="673"/>
      <c r="E8" s="458"/>
      <c r="F8" s="458"/>
      <c r="G8" s="458"/>
      <c r="H8" s="458"/>
      <c r="I8" s="458"/>
      <c r="J8" s="461"/>
      <c r="K8" s="78"/>
      <c r="L8" s="82"/>
      <c r="M8" s="82"/>
      <c r="N8" s="82"/>
      <c r="O8" s="82"/>
      <c r="P8" s="79"/>
    </row>
    <row r="9" spans="1:17" ht="29.25" thickBot="1">
      <c r="A9" s="79"/>
      <c r="B9" s="576"/>
      <c r="C9" s="674"/>
      <c r="D9" s="674"/>
      <c r="E9" s="459"/>
      <c r="F9" s="459"/>
      <c r="G9" s="459"/>
      <c r="H9" s="459"/>
      <c r="I9" s="459"/>
      <c r="J9" s="462"/>
      <c r="K9" s="78"/>
      <c r="L9" s="82"/>
      <c r="M9" s="82"/>
      <c r="N9" s="82"/>
      <c r="O9" s="82"/>
      <c r="P9" s="79"/>
    </row>
    <row r="10" spans="1:17" ht="28.5">
      <c r="A10" s="79"/>
      <c r="B10" s="570"/>
      <c r="C10" s="671"/>
      <c r="D10" s="672"/>
      <c r="E10" s="571"/>
      <c r="F10" s="571"/>
      <c r="G10" s="571"/>
      <c r="H10" s="571"/>
      <c r="I10" s="572"/>
      <c r="J10" s="572"/>
      <c r="K10" s="82"/>
      <c r="L10" s="82"/>
      <c r="M10" s="82"/>
      <c r="N10" s="82"/>
      <c r="O10" s="82"/>
      <c r="P10" s="79"/>
    </row>
    <row r="11" spans="1:17">
      <c r="A11" s="79"/>
      <c r="B11" s="82"/>
      <c r="C11" s="82"/>
      <c r="D11" s="82"/>
      <c r="E11" s="87"/>
      <c r="F11" s="82"/>
      <c r="G11" s="82"/>
      <c r="H11" s="81"/>
      <c r="I11" s="82"/>
      <c r="J11" s="82"/>
      <c r="K11" s="82"/>
      <c r="L11" s="82"/>
      <c r="M11" s="82"/>
      <c r="N11" s="82"/>
      <c r="O11" s="82"/>
      <c r="P11" s="79"/>
    </row>
    <row r="12" spans="1:17">
      <c r="A12" s="79"/>
      <c r="B12" s="82"/>
      <c r="C12" s="82"/>
      <c r="D12" s="78"/>
      <c r="E12" s="82"/>
      <c r="F12" s="82"/>
      <c r="G12" s="82"/>
      <c r="H12" s="82"/>
      <c r="I12" s="82"/>
      <c r="J12" s="79"/>
      <c r="K12" s="82"/>
      <c r="L12" s="82"/>
      <c r="M12" s="82"/>
      <c r="N12" s="82"/>
      <c r="O12" s="82"/>
      <c r="P12" s="79"/>
    </row>
    <row r="13" spans="1:17" ht="15.75" thickBot="1">
      <c r="A13" s="79"/>
      <c r="B13" s="166"/>
      <c r="C13" s="89"/>
      <c r="D13" s="533"/>
      <c r="E13" s="535"/>
      <c r="F13" s="535"/>
      <c r="G13" s="535"/>
      <c r="H13" s="535"/>
      <c r="I13" s="534"/>
      <c r="J13" s="87"/>
      <c r="K13" s="82"/>
      <c r="L13" s="82"/>
      <c r="M13" s="82"/>
      <c r="N13" s="82"/>
      <c r="O13" s="82"/>
      <c r="P13" s="79"/>
    </row>
    <row r="14" spans="1:17" ht="30.75" customHeight="1" thickBot="1">
      <c r="A14" s="79"/>
      <c r="B14" s="480" t="s">
        <v>67</v>
      </c>
      <c r="C14" s="490"/>
      <c r="D14" s="289" t="s">
        <v>68</v>
      </c>
      <c r="E14" s="126"/>
      <c r="F14" s="127"/>
      <c r="G14" s="128"/>
      <c r="H14" s="129"/>
      <c r="I14" s="130"/>
      <c r="J14" s="131"/>
      <c r="K14" s="300"/>
      <c r="L14" s="82"/>
      <c r="M14" s="82"/>
      <c r="N14" s="82"/>
      <c r="O14" s="82"/>
      <c r="P14" s="79"/>
    </row>
    <row r="15" spans="1:17" ht="8.25" customHeight="1" thickBot="1">
      <c r="A15" s="87"/>
      <c r="B15" s="479"/>
      <c r="C15" s="299"/>
      <c r="D15" s="290"/>
      <c r="E15" s="291"/>
      <c r="F15" s="291"/>
      <c r="G15" s="292"/>
      <c r="H15" s="291"/>
      <c r="I15" s="292"/>
      <c r="J15" s="293"/>
      <c r="L15" s="82"/>
      <c r="M15" s="82"/>
      <c r="N15" s="82"/>
      <c r="O15" s="82"/>
      <c r="P15" s="79"/>
    </row>
    <row r="16" spans="1:17" ht="74.25" customHeight="1" thickBot="1">
      <c r="A16" s="79"/>
      <c r="B16" s="482" t="s">
        <v>145</v>
      </c>
      <c r="C16" s="489"/>
      <c r="D16" s="294"/>
      <c r="E16" s="647"/>
      <c r="F16" s="648"/>
      <c r="G16" s="648"/>
      <c r="H16" s="648"/>
      <c r="I16" s="648"/>
      <c r="J16" s="649"/>
      <c r="K16" s="301"/>
      <c r="L16" s="115"/>
      <c r="M16" s="115"/>
      <c r="N16" s="115"/>
      <c r="O16" s="82"/>
      <c r="P16" s="79"/>
    </row>
    <row r="17" spans="1:16" ht="108.75" customHeight="1" thickBot="1">
      <c r="A17" s="87"/>
      <c r="B17" s="484" t="s">
        <v>65</v>
      </c>
      <c r="C17" s="488"/>
      <c r="D17" s="294"/>
      <c r="E17" s="647"/>
      <c r="F17" s="648"/>
      <c r="G17" s="648"/>
      <c r="H17" s="648"/>
      <c r="I17" s="648"/>
      <c r="J17" s="649"/>
      <c r="K17" s="136"/>
      <c r="L17" s="115"/>
      <c r="M17" s="115"/>
      <c r="N17" s="115"/>
      <c r="O17" s="82"/>
      <c r="P17" s="79"/>
    </row>
    <row r="18" spans="1:16" ht="87" customHeight="1" thickBot="1">
      <c r="A18" s="78"/>
      <c r="B18" s="484" t="s">
        <v>66</v>
      </c>
      <c r="C18" s="483"/>
      <c r="D18" s="577"/>
      <c r="E18" s="665"/>
      <c r="F18" s="666"/>
      <c r="G18" s="666"/>
      <c r="H18" s="666"/>
      <c r="I18" s="666"/>
      <c r="J18" s="667"/>
      <c r="K18" s="82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79"/>
      <c r="D19" s="578"/>
      <c r="E19" s="675"/>
      <c r="F19" s="676"/>
      <c r="G19" s="676"/>
      <c r="H19" s="676"/>
      <c r="I19" s="676"/>
      <c r="J19" s="677"/>
      <c r="K19" s="80"/>
      <c r="L19" s="123"/>
      <c r="M19" s="111"/>
      <c r="N19" s="110"/>
      <c r="O19" s="112"/>
      <c r="P19" s="78"/>
    </row>
    <row r="20" spans="1:16" ht="108" customHeight="1">
      <c r="A20" s="79"/>
      <c r="B20" s="90"/>
      <c r="C20" s="104"/>
      <c r="D20" s="491"/>
      <c r="E20" s="668"/>
      <c r="F20" s="668"/>
      <c r="G20" s="668"/>
      <c r="H20" s="668"/>
      <c r="I20" s="668"/>
      <c r="J20" s="668"/>
      <c r="K20" s="83"/>
      <c r="L20" s="297"/>
      <c r="M20" s="114"/>
      <c r="N20" s="112"/>
      <c r="O20" s="110"/>
    </row>
    <row r="21" spans="1:16" s="226" customFormat="1" ht="81.75" customHeight="1">
      <c r="B21" s="227"/>
      <c r="C21" s="228"/>
      <c r="D21" s="487"/>
      <c r="E21" s="664"/>
      <c r="F21" s="664"/>
      <c r="G21" s="664"/>
      <c r="H21" s="664"/>
      <c r="I21" s="664"/>
      <c r="J21" s="664"/>
      <c r="K21" s="485"/>
      <c r="L21" s="58"/>
      <c r="M21" s="112"/>
      <c r="N21" s="112"/>
      <c r="O21" s="117"/>
    </row>
    <row r="22" spans="1:16" ht="98.25" customHeight="1">
      <c r="A22" s="83"/>
      <c r="B22" s="106"/>
      <c r="C22" s="87"/>
      <c r="D22" s="486"/>
      <c r="E22" s="664"/>
      <c r="F22" s="664"/>
      <c r="G22" s="664"/>
      <c r="H22" s="664"/>
      <c r="I22" s="664"/>
      <c r="J22" s="664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104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5">
    <mergeCell ref="E21:J21"/>
    <mergeCell ref="E22:J22"/>
    <mergeCell ref="E16:J16"/>
    <mergeCell ref="E17:J17"/>
    <mergeCell ref="B1:D1"/>
    <mergeCell ref="I2:J2"/>
    <mergeCell ref="C5:D5"/>
    <mergeCell ref="E18:J18"/>
    <mergeCell ref="E20:J20"/>
    <mergeCell ref="C6:D6"/>
    <mergeCell ref="C10:D10"/>
    <mergeCell ref="C8:D8"/>
    <mergeCell ref="C9:D9"/>
    <mergeCell ref="C7:D7"/>
    <mergeCell ref="E19:J19"/>
  </mergeCells>
  <printOptions horizontalCentered="1"/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abSelected="1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9" t="s">
        <v>0</v>
      </c>
      <c r="C1" s="770"/>
      <c r="D1" s="770"/>
      <c r="E1" s="770"/>
      <c r="F1" s="770"/>
      <c r="G1" s="770"/>
      <c r="H1" s="770"/>
      <c r="I1" s="770"/>
      <c r="J1" s="770"/>
      <c r="K1" s="770"/>
      <c r="L1" s="770"/>
      <c r="M1" s="770"/>
      <c r="N1" s="770"/>
      <c r="O1" s="770"/>
      <c r="P1" s="770"/>
      <c r="Q1" s="770"/>
      <c r="R1" s="770"/>
      <c r="S1" s="770"/>
      <c r="T1" s="770"/>
      <c r="U1" s="770"/>
      <c r="V1" s="770"/>
      <c r="W1" s="770"/>
      <c r="X1" s="770"/>
      <c r="Y1" s="771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72" t="s">
        <v>143</v>
      </c>
      <c r="C3" s="773"/>
      <c r="D3" s="773"/>
      <c r="E3" s="773"/>
      <c r="F3" s="773"/>
      <c r="G3" s="773"/>
      <c r="H3" s="773"/>
      <c r="I3" s="773"/>
      <c r="J3" s="773"/>
      <c r="K3" s="773"/>
      <c r="L3" s="773"/>
      <c r="M3" s="773"/>
      <c r="N3" s="773"/>
      <c r="O3" s="773"/>
      <c r="P3" s="773"/>
      <c r="Q3" s="773"/>
      <c r="R3" s="773"/>
      <c r="S3" s="773"/>
      <c r="T3" s="773"/>
      <c r="U3" s="773"/>
      <c r="V3" s="773"/>
      <c r="W3" s="773"/>
      <c r="X3" s="773"/>
      <c r="Y3" s="774"/>
      <c r="Z3" s="174"/>
      <c r="AA3" s="103"/>
    </row>
    <row r="4" spans="1:28" ht="23.25" customHeight="1" thickBot="1">
      <c r="A4" s="180" t="s">
        <v>115</v>
      </c>
      <c r="B4" s="775" t="s">
        <v>164</v>
      </c>
      <c r="C4" s="776"/>
      <c r="D4" s="776"/>
      <c r="E4" s="776"/>
      <c r="F4" s="776"/>
      <c r="G4" s="776"/>
      <c r="H4" s="776"/>
      <c r="I4" s="776"/>
      <c r="J4" s="776"/>
      <c r="K4" s="776"/>
      <c r="L4" s="776"/>
      <c r="M4" s="776"/>
      <c r="N4" s="776"/>
      <c r="O4" s="776"/>
      <c r="P4" s="776"/>
      <c r="Q4" s="776"/>
      <c r="R4" s="776"/>
      <c r="S4" s="776"/>
      <c r="T4" s="776"/>
      <c r="U4" s="776"/>
      <c r="V4" s="776"/>
      <c r="W4" s="776"/>
      <c r="X4" s="776"/>
      <c r="Y4" s="777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81" t="s">
        <v>71</v>
      </c>
      <c r="C6" s="782"/>
      <c r="D6" s="782"/>
      <c r="E6" s="783"/>
      <c r="F6" s="89"/>
      <c r="G6" s="142"/>
      <c r="H6" s="747" t="s">
        <v>76</v>
      </c>
      <c r="I6" s="748"/>
      <c r="J6" s="748"/>
      <c r="K6" s="749"/>
      <c r="L6" s="89"/>
      <c r="M6" s="142"/>
      <c r="N6" s="759" t="s">
        <v>95</v>
      </c>
      <c r="O6" s="760"/>
      <c r="P6" s="761"/>
      <c r="Q6" s="149"/>
      <c r="R6" s="151"/>
      <c r="S6" s="754" t="s">
        <v>77</v>
      </c>
      <c r="T6" s="755"/>
      <c r="U6" s="152"/>
      <c r="V6" s="156"/>
      <c r="W6" s="143"/>
      <c r="X6" s="754" t="s">
        <v>78</v>
      </c>
      <c r="Y6" s="755"/>
      <c r="Z6" s="80"/>
      <c r="AA6" s="103"/>
    </row>
    <row r="7" spans="1:28" ht="30.75" customHeight="1" thickBot="1">
      <c r="A7" s="181"/>
      <c r="B7" s="365" t="s">
        <v>72</v>
      </c>
      <c r="C7" s="366" t="s">
        <v>73</v>
      </c>
      <c r="D7" s="367" t="s">
        <v>74</v>
      </c>
      <c r="E7" s="368" t="s">
        <v>75</v>
      </c>
      <c r="F7" s="89"/>
      <c r="G7" s="116"/>
      <c r="H7" s="756">
        <f>I23</f>
        <v>0</v>
      </c>
      <c r="I7" s="758"/>
      <c r="J7" s="758"/>
      <c r="K7" s="757"/>
      <c r="L7" s="89"/>
      <c r="M7" s="116"/>
      <c r="N7" s="762">
        <f>L23</f>
        <v>0</v>
      </c>
      <c r="O7" s="763"/>
      <c r="P7" s="764"/>
      <c r="Q7" s="150"/>
      <c r="R7" s="152"/>
      <c r="S7" s="756">
        <f>O23</f>
        <v>0</v>
      </c>
      <c r="T7" s="757"/>
      <c r="U7" s="89"/>
      <c r="V7" s="155"/>
      <c r="W7" s="82"/>
      <c r="X7" s="756">
        <f>R23</f>
        <v>0</v>
      </c>
      <c r="Y7" s="757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88" t="s">
        <v>79</v>
      </c>
      <c r="H10" s="789"/>
      <c r="I10" s="789"/>
      <c r="J10" s="789"/>
      <c r="K10" s="789"/>
      <c r="L10" s="789"/>
      <c r="M10" s="789"/>
      <c r="N10" s="789"/>
      <c r="O10" s="789"/>
      <c r="P10" s="789"/>
      <c r="Q10" s="789"/>
      <c r="R10" s="789"/>
      <c r="S10" s="789"/>
      <c r="T10" s="789"/>
      <c r="U10" s="789"/>
      <c r="V10" s="789"/>
      <c r="W10" s="789"/>
      <c r="X10" s="789"/>
      <c r="Y10" s="790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91" t="s">
        <v>80</v>
      </c>
      <c r="H11" s="786"/>
      <c r="I11" s="786" t="s">
        <v>81</v>
      </c>
      <c r="J11" s="786"/>
      <c r="K11" s="786"/>
      <c r="L11" s="786" t="s">
        <v>82</v>
      </c>
      <c r="M11" s="786"/>
      <c r="N11" s="786"/>
      <c r="O11" s="786" t="s">
        <v>83</v>
      </c>
      <c r="P11" s="786"/>
      <c r="Q11" s="786"/>
      <c r="R11" s="786" t="s">
        <v>78</v>
      </c>
      <c r="S11" s="786"/>
      <c r="T11" s="786"/>
      <c r="U11" s="786"/>
      <c r="V11" s="786"/>
      <c r="W11" s="786"/>
      <c r="X11" s="786"/>
      <c r="Y11" s="787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91"/>
      <c r="H12" s="786"/>
      <c r="I12" s="786"/>
      <c r="J12" s="786"/>
      <c r="K12" s="786"/>
      <c r="L12" s="786"/>
      <c r="M12" s="786"/>
      <c r="N12" s="786"/>
      <c r="O12" s="786"/>
      <c r="P12" s="786"/>
      <c r="Q12" s="786"/>
      <c r="R12" s="713" t="s">
        <v>84</v>
      </c>
      <c r="S12" s="713"/>
      <c r="T12" s="713" t="s">
        <v>85</v>
      </c>
      <c r="U12" s="713"/>
      <c r="V12" s="713" t="s">
        <v>86</v>
      </c>
      <c r="W12" s="713"/>
      <c r="X12" s="713" t="s">
        <v>87</v>
      </c>
      <c r="Y12" s="744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91"/>
      <c r="H13" s="786"/>
      <c r="I13" s="786"/>
      <c r="J13" s="786"/>
      <c r="K13" s="786"/>
      <c r="L13" s="786"/>
      <c r="M13" s="786"/>
      <c r="N13" s="786"/>
      <c r="O13" s="786"/>
      <c r="P13" s="786"/>
      <c r="Q13" s="786"/>
      <c r="R13" s="713"/>
      <c r="S13" s="713"/>
      <c r="T13" s="713"/>
      <c r="U13" s="713"/>
      <c r="V13" s="713"/>
      <c r="W13" s="713"/>
      <c r="X13" s="784"/>
      <c r="Y13" s="785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65" t="s">
        <v>18</v>
      </c>
      <c r="H14" s="766"/>
      <c r="I14" s="743"/>
      <c r="J14" s="767"/>
      <c r="K14" s="768"/>
      <c r="L14" s="741"/>
      <c r="M14" s="741"/>
      <c r="N14" s="741"/>
      <c r="O14" s="741"/>
      <c r="P14" s="741"/>
      <c r="Q14" s="741"/>
      <c r="R14" s="741"/>
      <c r="S14" s="741"/>
      <c r="T14" s="741"/>
      <c r="U14" s="741"/>
      <c r="V14" s="741"/>
      <c r="W14" s="743"/>
      <c r="X14" s="741"/>
      <c r="Y14" s="742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65" t="s">
        <v>16</v>
      </c>
      <c r="H15" s="766"/>
      <c r="I15" s="743"/>
      <c r="J15" s="767"/>
      <c r="K15" s="768"/>
      <c r="L15" s="741"/>
      <c r="M15" s="741"/>
      <c r="N15" s="741"/>
      <c r="O15" s="741"/>
      <c r="P15" s="741"/>
      <c r="Q15" s="741"/>
      <c r="R15" s="741"/>
      <c r="S15" s="741"/>
      <c r="T15" s="741"/>
      <c r="U15" s="741"/>
      <c r="V15" s="741"/>
      <c r="W15" s="743"/>
      <c r="X15" s="741"/>
      <c r="Y15" s="742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65" t="s">
        <v>19</v>
      </c>
      <c r="H16" s="766"/>
      <c r="I16" s="743"/>
      <c r="J16" s="767"/>
      <c r="K16" s="768"/>
      <c r="L16" s="741"/>
      <c r="M16" s="741"/>
      <c r="N16" s="741"/>
      <c r="O16" s="741"/>
      <c r="P16" s="741"/>
      <c r="Q16" s="741"/>
      <c r="R16" s="741"/>
      <c r="S16" s="741"/>
      <c r="T16" s="741"/>
      <c r="U16" s="741"/>
      <c r="V16" s="741"/>
      <c r="W16" s="743"/>
      <c r="X16" s="741"/>
      <c r="Y16" s="742"/>
      <c r="Z16" s="80"/>
      <c r="AA16" s="103"/>
      <c r="AB16" s="194"/>
    </row>
    <row r="17" spans="1:27" ht="21" customHeight="1">
      <c r="A17" s="79"/>
      <c r="B17" s="778" t="s">
        <v>89</v>
      </c>
      <c r="C17" s="779"/>
      <c r="D17" s="779"/>
      <c r="E17" s="780"/>
      <c r="F17" s="89"/>
      <c r="G17" s="765" t="s">
        <v>17</v>
      </c>
      <c r="H17" s="766"/>
      <c r="I17" s="743"/>
      <c r="J17" s="767"/>
      <c r="K17" s="768"/>
      <c r="L17" s="741"/>
      <c r="M17" s="741"/>
      <c r="N17" s="741"/>
      <c r="O17" s="741"/>
      <c r="P17" s="741"/>
      <c r="Q17" s="741"/>
      <c r="R17" s="741"/>
      <c r="S17" s="741"/>
      <c r="T17" s="741"/>
      <c r="U17" s="741"/>
      <c r="V17" s="741"/>
      <c r="W17" s="743"/>
      <c r="X17" s="741"/>
      <c r="Y17" s="742"/>
      <c r="Z17" s="80"/>
      <c r="AA17" s="103"/>
    </row>
    <row r="18" spans="1:27" ht="34.5" customHeight="1">
      <c r="A18" s="79"/>
      <c r="B18" s="369" t="s">
        <v>90</v>
      </c>
      <c r="C18" s="370" t="s">
        <v>84</v>
      </c>
      <c r="D18" s="371" t="s">
        <v>70</v>
      </c>
      <c r="E18" s="372" t="s">
        <v>91</v>
      </c>
      <c r="F18" s="89"/>
      <c r="G18" s="765" t="s">
        <v>167</v>
      </c>
      <c r="H18" s="766"/>
      <c r="I18" s="743"/>
      <c r="J18" s="767"/>
      <c r="K18" s="768"/>
      <c r="L18" s="741"/>
      <c r="M18" s="741"/>
      <c r="N18" s="741"/>
      <c r="O18" s="741"/>
      <c r="P18" s="741"/>
      <c r="Q18" s="741"/>
      <c r="R18" s="741"/>
      <c r="S18" s="741"/>
      <c r="T18" s="741"/>
      <c r="U18" s="741"/>
      <c r="V18" s="741"/>
      <c r="W18" s="743"/>
      <c r="X18" s="741"/>
      <c r="Y18" s="742"/>
      <c r="Z18" s="80"/>
      <c r="AA18" s="103"/>
    </row>
    <row r="19" spans="1:27" ht="45" customHeight="1">
      <c r="A19" s="79"/>
      <c r="B19" s="157"/>
      <c r="C19" s="134"/>
      <c r="D19" s="544"/>
      <c r="E19" s="201"/>
      <c r="F19" s="89"/>
      <c r="G19" s="765" t="s">
        <v>168</v>
      </c>
      <c r="H19" s="766"/>
      <c r="I19" s="743"/>
      <c r="J19" s="767"/>
      <c r="K19" s="768"/>
      <c r="L19" s="741"/>
      <c r="M19" s="741"/>
      <c r="N19" s="741"/>
      <c r="O19" s="741"/>
      <c r="P19" s="741"/>
      <c r="Q19" s="741"/>
      <c r="R19" s="741"/>
      <c r="S19" s="741"/>
      <c r="T19" s="741"/>
      <c r="U19" s="741"/>
      <c r="V19" s="741"/>
      <c r="W19" s="743"/>
      <c r="X19" s="741"/>
      <c r="Y19" s="742"/>
      <c r="Z19" s="80"/>
      <c r="AA19" s="103"/>
    </row>
    <row r="20" spans="1:27" ht="41.25" customHeight="1">
      <c r="A20" s="79"/>
      <c r="B20" s="157"/>
      <c r="C20" s="139"/>
      <c r="D20" s="544"/>
      <c r="E20" s="201"/>
      <c r="F20" s="89"/>
      <c r="G20" s="765" t="s">
        <v>22</v>
      </c>
      <c r="H20" s="766"/>
      <c r="I20" s="743"/>
      <c r="J20" s="767"/>
      <c r="K20" s="768"/>
      <c r="L20" s="741"/>
      <c r="M20" s="741"/>
      <c r="N20" s="741"/>
      <c r="O20" s="741"/>
      <c r="P20" s="741"/>
      <c r="Q20" s="741"/>
      <c r="R20" s="741"/>
      <c r="S20" s="741"/>
      <c r="T20" s="741"/>
      <c r="U20" s="741"/>
      <c r="V20" s="741"/>
      <c r="W20" s="743"/>
      <c r="X20" s="741"/>
      <c r="Y20" s="742"/>
      <c r="Z20" s="80"/>
      <c r="AA20" s="103"/>
    </row>
    <row r="21" spans="1:27" ht="45" customHeight="1">
      <c r="A21" s="79"/>
      <c r="B21" s="157"/>
      <c r="C21" s="139"/>
      <c r="D21" s="544"/>
      <c r="E21" s="201"/>
      <c r="F21" s="89"/>
      <c r="G21" s="765" t="s">
        <v>20</v>
      </c>
      <c r="H21" s="766"/>
      <c r="I21" s="743"/>
      <c r="J21" s="767"/>
      <c r="K21" s="768"/>
      <c r="L21" s="741"/>
      <c r="M21" s="741"/>
      <c r="N21" s="741"/>
      <c r="O21" s="741"/>
      <c r="P21" s="741"/>
      <c r="Q21" s="741"/>
      <c r="R21" s="741"/>
      <c r="S21" s="741"/>
      <c r="T21" s="741"/>
      <c r="U21" s="741"/>
      <c r="V21" s="741"/>
      <c r="W21" s="743"/>
      <c r="X21" s="741"/>
      <c r="Y21" s="742"/>
      <c r="Z21" s="80"/>
      <c r="AA21" s="103"/>
    </row>
    <row r="22" spans="1:27" ht="50.25" customHeight="1">
      <c r="A22" s="79"/>
      <c r="B22" s="157"/>
      <c r="C22" s="139"/>
      <c r="D22" s="544"/>
      <c r="E22" s="201"/>
      <c r="F22" s="89"/>
      <c r="G22" s="765" t="s">
        <v>169</v>
      </c>
      <c r="H22" s="766"/>
      <c r="I22" s="743"/>
      <c r="J22" s="767"/>
      <c r="K22" s="768"/>
      <c r="L22" s="741"/>
      <c r="M22" s="741"/>
      <c r="N22" s="741"/>
      <c r="O22" s="741"/>
      <c r="P22" s="741"/>
      <c r="Q22" s="741"/>
      <c r="R22" s="741"/>
      <c r="S22" s="741"/>
      <c r="T22" s="741"/>
      <c r="U22" s="741"/>
      <c r="V22" s="741"/>
      <c r="W22" s="743"/>
      <c r="X22" s="741"/>
      <c r="Y22" s="742"/>
      <c r="Z22" s="80"/>
      <c r="AA22" s="103"/>
    </row>
    <row r="23" spans="1:27" ht="42" customHeight="1" thickBot="1">
      <c r="A23" s="79"/>
      <c r="B23" s="158"/>
      <c r="C23" s="159"/>
      <c r="D23" s="545"/>
      <c r="E23" s="202"/>
      <c r="F23" s="89"/>
      <c r="G23" s="753" t="s">
        <v>88</v>
      </c>
      <c r="H23" s="745"/>
      <c r="I23" s="745">
        <f>SUM(I14:K22)</f>
        <v>0</v>
      </c>
      <c r="J23" s="745"/>
      <c r="K23" s="745"/>
      <c r="L23" s="745">
        <f>SUM(L14:N22)</f>
        <v>0</v>
      </c>
      <c r="M23" s="745"/>
      <c r="N23" s="745"/>
      <c r="O23" s="750">
        <f>SUM(O14:Q22)</f>
        <v>0</v>
      </c>
      <c r="P23" s="751"/>
      <c r="Q23" s="752"/>
      <c r="R23" s="750">
        <f>SUM(R14:S22)</f>
        <v>0</v>
      </c>
      <c r="S23" s="752"/>
      <c r="T23" s="750">
        <f>SUM(T14:U22)</f>
        <v>0</v>
      </c>
      <c r="U23" s="752"/>
      <c r="V23" s="750">
        <f>SUM(V14:W22)</f>
        <v>0</v>
      </c>
      <c r="W23" s="751"/>
      <c r="X23" s="745">
        <f>SUM(X14:Y22)</f>
        <v>0</v>
      </c>
      <c r="Y23" s="746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708" t="s">
        <v>103</v>
      </c>
      <c r="I26" s="709"/>
      <c r="J26" s="710"/>
      <c r="K26" s="89"/>
      <c r="L26" s="717" t="s">
        <v>96</v>
      </c>
      <c r="M26" s="718"/>
      <c r="N26" s="718"/>
      <c r="O26" s="718"/>
      <c r="P26" s="718"/>
      <c r="Q26" s="718"/>
      <c r="R26" s="718"/>
      <c r="S26" s="718"/>
      <c r="T26" s="718"/>
      <c r="U26" s="718"/>
      <c r="V26" s="718"/>
      <c r="W26" s="718"/>
      <c r="X26" s="718"/>
      <c r="Y26" s="719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90">
        <f>Y38</f>
        <v>0</v>
      </c>
      <c r="I27" s="691"/>
      <c r="J27" s="692"/>
      <c r="K27" s="89"/>
      <c r="L27" s="739" t="s">
        <v>80</v>
      </c>
      <c r="M27" s="713"/>
      <c r="N27" s="713"/>
      <c r="O27" s="713" t="s">
        <v>97</v>
      </c>
      <c r="P27" s="713"/>
      <c r="Q27" s="713" t="s">
        <v>98</v>
      </c>
      <c r="R27" s="713"/>
      <c r="S27" s="713" t="s">
        <v>99</v>
      </c>
      <c r="T27" s="713" t="s">
        <v>100</v>
      </c>
      <c r="U27" s="713"/>
      <c r="V27" s="713" t="s">
        <v>101</v>
      </c>
      <c r="W27" s="713" t="s">
        <v>102</v>
      </c>
      <c r="X27" s="713"/>
      <c r="Y27" s="744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9"/>
      <c r="M28" s="713"/>
      <c r="N28" s="713"/>
      <c r="O28" s="713"/>
      <c r="P28" s="713"/>
      <c r="Q28" s="713"/>
      <c r="R28" s="713"/>
      <c r="S28" s="713"/>
      <c r="T28" s="713"/>
      <c r="U28" s="713"/>
      <c r="V28" s="713"/>
      <c r="W28" s="713"/>
      <c r="X28" s="713"/>
      <c r="Y28" s="744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25" t="s">
        <v>18</v>
      </c>
      <c r="M29" s="693"/>
      <c r="N29" s="693"/>
      <c r="O29" s="693"/>
      <c r="P29" s="693"/>
      <c r="Q29" s="693"/>
      <c r="R29" s="693"/>
      <c r="S29" s="71"/>
      <c r="T29" s="693"/>
      <c r="U29" s="693"/>
      <c r="V29" s="71"/>
      <c r="W29" s="693"/>
      <c r="X29" s="694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25" t="s">
        <v>16</v>
      </c>
      <c r="M30" s="693"/>
      <c r="N30" s="693"/>
      <c r="O30" s="693"/>
      <c r="P30" s="693"/>
      <c r="Q30" s="693"/>
      <c r="R30" s="693"/>
      <c r="S30" s="71"/>
      <c r="T30" s="693"/>
      <c r="U30" s="693"/>
      <c r="V30" s="71"/>
      <c r="W30" s="693"/>
      <c r="X30" s="694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14" t="s">
        <v>93</v>
      </c>
      <c r="I31" s="715"/>
      <c r="J31" s="716"/>
      <c r="K31" s="89"/>
      <c r="L31" s="725" t="s">
        <v>19</v>
      </c>
      <c r="M31" s="693"/>
      <c r="N31" s="693"/>
      <c r="O31" s="693"/>
      <c r="P31" s="693"/>
      <c r="Q31" s="693"/>
      <c r="R31" s="693"/>
      <c r="S31" s="71"/>
      <c r="T31" s="693"/>
      <c r="U31" s="693"/>
      <c r="V31" s="71"/>
      <c r="W31" s="693"/>
      <c r="X31" s="694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25" t="s">
        <v>17</v>
      </c>
      <c r="M32" s="693"/>
      <c r="N32" s="693"/>
      <c r="O32" s="693"/>
      <c r="P32" s="693"/>
      <c r="Q32" s="693"/>
      <c r="R32" s="693"/>
      <c r="S32" s="71"/>
      <c r="T32" s="693"/>
      <c r="U32" s="693"/>
      <c r="V32" s="71"/>
      <c r="W32" s="693"/>
      <c r="X32" s="694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90">
        <f>O38</f>
        <v>0</v>
      </c>
      <c r="I33" s="691"/>
      <c r="J33" s="692"/>
      <c r="K33" s="89"/>
      <c r="L33" s="725" t="s">
        <v>167</v>
      </c>
      <c r="M33" s="693"/>
      <c r="N33" s="693"/>
      <c r="O33" s="693"/>
      <c r="P33" s="693"/>
      <c r="Q33" s="693"/>
      <c r="R33" s="693"/>
      <c r="S33" s="71"/>
      <c r="T33" s="693"/>
      <c r="U33" s="693"/>
      <c r="V33" s="71"/>
      <c r="W33" s="693"/>
      <c r="X33" s="694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25" t="s">
        <v>168</v>
      </c>
      <c r="M34" s="693"/>
      <c r="N34" s="693"/>
      <c r="O34" s="693"/>
      <c r="P34" s="693"/>
      <c r="Q34" s="693"/>
      <c r="R34" s="693"/>
      <c r="S34" s="71"/>
      <c r="T34" s="693"/>
      <c r="U34" s="693"/>
      <c r="V34" s="71"/>
      <c r="W34" s="693"/>
      <c r="X34" s="694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25" t="s">
        <v>22</v>
      </c>
      <c r="M35" s="693"/>
      <c r="N35" s="693"/>
      <c r="O35" s="720"/>
      <c r="P35" s="720"/>
      <c r="Q35" s="720"/>
      <c r="R35" s="720"/>
      <c r="S35" s="162"/>
      <c r="T35" s="720"/>
      <c r="U35" s="720"/>
      <c r="V35" s="162"/>
      <c r="W35" s="720"/>
      <c r="X35" s="740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25" t="s">
        <v>20</v>
      </c>
      <c r="M36" s="693"/>
      <c r="N36" s="694"/>
      <c r="O36" s="697"/>
      <c r="P36" s="697"/>
      <c r="Q36" s="697"/>
      <c r="R36" s="697"/>
      <c r="S36" s="163"/>
      <c r="T36" s="697"/>
      <c r="U36" s="697"/>
      <c r="V36" s="163"/>
      <c r="W36" s="697"/>
      <c r="X36" s="721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14" t="s">
        <v>92</v>
      </c>
      <c r="I37" s="715"/>
      <c r="J37" s="716"/>
      <c r="K37" s="89"/>
      <c r="L37" s="725" t="s">
        <v>169</v>
      </c>
      <c r="M37" s="693"/>
      <c r="N37" s="694"/>
      <c r="O37" s="697"/>
      <c r="P37" s="697"/>
      <c r="Q37" s="697"/>
      <c r="R37" s="697"/>
      <c r="S37" s="163"/>
      <c r="T37" s="697"/>
      <c r="U37" s="697"/>
      <c r="V37" s="163"/>
      <c r="W37" s="697"/>
      <c r="X37" s="721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33" t="s">
        <v>88</v>
      </c>
      <c r="M38" s="734"/>
      <c r="N38" s="735"/>
      <c r="O38" s="698">
        <f>SUM(O29:P37)</f>
        <v>0</v>
      </c>
      <c r="P38" s="698"/>
      <c r="Q38" s="698">
        <f>SUM(Q29:R37)</f>
        <v>0</v>
      </c>
      <c r="R38" s="698"/>
      <c r="S38" s="196">
        <f>SUM(S29:S37)</f>
        <v>0</v>
      </c>
      <c r="T38" s="698">
        <f>SUM(T29:U37)</f>
        <v>0</v>
      </c>
      <c r="U38" s="698"/>
      <c r="V38" s="196">
        <f>SUM(V29:V37)</f>
        <v>0</v>
      </c>
      <c r="W38" s="698">
        <f>SUM(W29:X37)</f>
        <v>0</v>
      </c>
      <c r="X38" s="698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90">
        <f>S38</f>
        <v>0</v>
      </c>
      <c r="I39" s="691"/>
      <c r="J39" s="692"/>
      <c r="K39" s="89"/>
      <c r="L39" s="728"/>
      <c r="M39" s="736"/>
      <c r="N39" s="737"/>
      <c r="O39" s="728"/>
      <c r="P39" s="729"/>
      <c r="Q39" s="711"/>
      <c r="R39" s="712"/>
      <c r="S39" s="104"/>
      <c r="T39" s="699"/>
      <c r="U39" s="699"/>
      <c r="V39" s="104"/>
      <c r="W39" s="699"/>
      <c r="X39" s="699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701"/>
      <c r="M40" s="738"/>
      <c r="N40" s="702"/>
      <c r="O40" s="730"/>
      <c r="P40" s="727"/>
      <c r="Q40" s="726"/>
      <c r="R40" s="727"/>
      <c r="S40" s="82"/>
      <c r="T40" s="700"/>
      <c r="U40" s="700"/>
      <c r="V40" s="82"/>
      <c r="W40" s="700"/>
      <c r="X40" s="700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701"/>
      <c r="M41" s="738"/>
      <c r="N41" s="702"/>
      <c r="O41" s="731"/>
      <c r="P41" s="732"/>
      <c r="Q41" s="701"/>
      <c r="R41" s="702"/>
      <c r="S41" s="82"/>
      <c r="T41" s="701"/>
      <c r="U41" s="702"/>
      <c r="V41" s="82"/>
      <c r="W41" s="701"/>
      <c r="X41" s="702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22"/>
      <c r="M42" s="723"/>
      <c r="N42" s="724"/>
      <c r="O42" s="711"/>
      <c r="P42" s="712"/>
      <c r="Q42" s="82"/>
      <c r="R42" s="695" t="s">
        <v>136</v>
      </c>
      <c r="S42" s="696"/>
      <c r="T42" s="105"/>
      <c r="U42" s="703"/>
      <c r="V42" s="704"/>
      <c r="W42" s="703"/>
      <c r="X42" s="704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706" t="s">
        <v>104</v>
      </c>
      <c r="I43" s="706"/>
      <c r="J43" s="707"/>
      <c r="K43" s="89"/>
      <c r="L43" s="135"/>
      <c r="M43" s="164"/>
      <c r="N43" s="681" t="s">
        <v>94</v>
      </c>
      <c r="O43" s="682"/>
      <c r="P43" s="683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90">
        <f>SUM(V38)</f>
        <v>0</v>
      </c>
      <c r="I45" s="691"/>
      <c r="J45" s="692"/>
      <c r="K45" s="89"/>
      <c r="L45" s="136"/>
      <c r="M45" s="82"/>
      <c r="N45" s="82"/>
      <c r="O45" s="684">
        <f>SUM(Q38,T38,W38)</f>
        <v>0</v>
      </c>
      <c r="P45" s="685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86"/>
      <c r="P46" s="687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88"/>
      <c r="I50" s="688"/>
      <c r="J50" s="689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705"/>
      <c r="I52" s="705"/>
      <c r="J52" s="705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78"/>
      <c r="Y55" s="679"/>
      <c r="Z55" s="679"/>
      <c r="AA55" s="679"/>
      <c r="AB55" s="680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78"/>
      <c r="V63" s="679"/>
      <c r="W63" s="679"/>
      <c r="X63" s="679"/>
      <c r="Y63" s="680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94" t="s">
        <v>105</v>
      </c>
      <c r="C2" s="794"/>
      <c r="D2" s="794"/>
      <c r="E2" s="794"/>
      <c r="F2" s="794"/>
    </row>
    <row r="3" spans="1:6">
      <c r="B3" s="795" t="s">
        <v>106</v>
      </c>
      <c r="C3" s="795"/>
      <c r="D3" s="795"/>
      <c r="E3" s="795"/>
      <c r="F3" s="795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92" t="s">
        <v>112</v>
      </c>
      <c r="H26" s="793">
        <v>5</v>
      </c>
    </row>
    <row r="27" spans="3:8">
      <c r="C27" s="73">
        <v>3</v>
      </c>
      <c r="D27" s="73">
        <v>3</v>
      </c>
      <c r="E27" s="2">
        <v>96</v>
      </c>
      <c r="G27" s="792"/>
      <c r="H27" s="793"/>
    </row>
    <row r="28" spans="3:8">
      <c r="C28" s="73">
        <v>4</v>
      </c>
      <c r="D28" s="73">
        <v>3</v>
      </c>
      <c r="E28" s="2">
        <v>21</v>
      </c>
      <c r="G28" s="792"/>
      <c r="H28" s="793"/>
    </row>
    <row r="29" spans="3:8">
      <c r="C29" s="73">
        <v>5</v>
      </c>
      <c r="D29" s="73">
        <v>3</v>
      </c>
      <c r="E29" s="2">
        <v>2</v>
      </c>
      <c r="G29" s="792"/>
      <c r="H29" s="793"/>
    </row>
    <row r="30" spans="3:8">
      <c r="C30" s="73">
        <v>1</v>
      </c>
      <c r="D30" s="73">
        <v>4</v>
      </c>
      <c r="E30" s="2">
        <v>22</v>
      </c>
      <c r="G30" s="792"/>
      <c r="H30" s="793"/>
    </row>
    <row r="31" spans="3:8">
      <c r="C31" s="73">
        <v>2</v>
      </c>
      <c r="D31" s="73">
        <v>4</v>
      </c>
      <c r="E31" s="2">
        <v>31</v>
      </c>
      <c r="G31" s="792"/>
      <c r="H31" s="793">
        <v>4</v>
      </c>
    </row>
    <row r="32" spans="3:8">
      <c r="C32" s="73">
        <v>3</v>
      </c>
      <c r="D32" s="73">
        <v>4</v>
      </c>
      <c r="E32" s="2">
        <v>45</v>
      </c>
      <c r="G32" s="792"/>
      <c r="H32" s="793"/>
    </row>
    <row r="33" spans="3:8">
      <c r="C33" s="73">
        <v>4</v>
      </c>
      <c r="D33" s="73">
        <v>4</v>
      </c>
      <c r="E33" s="2">
        <v>18</v>
      </c>
      <c r="G33" s="792"/>
      <c r="H33" s="793"/>
    </row>
    <row r="34" spans="3:8">
      <c r="C34" s="73">
        <v>5</v>
      </c>
      <c r="D34" s="73">
        <v>4</v>
      </c>
      <c r="E34" s="2">
        <v>0</v>
      </c>
      <c r="G34" s="792"/>
      <c r="H34" s="793"/>
    </row>
    <row r="35" spans="3:8">
      <c r="C35" s="73">
        <v>1</v>
      </c>
      <c r="D35" s="73">
        <v>5</v>
      </c>
      <c r="E35" s="2">
        <v>14</v>
      </c>
      <c r="G35" s="792"/>
      <c r="H35" s="793"/>
    </row>
    <row r="36" spans="3:8">
      <c r="C36" s="73">
        <v>2</v>
      </c>
      <c r="D36" s="73">
        <v>5</v>
      </c>
      <c r="E36" s="2">
        <v>10</v>
      </c>
      <c r="G36" s="792"/>
      <c r="H36" s="793">
        <v>3</v>
      </c>
    </row>
    <row r="37" spans="3:8">
      <c r="C37" s="73">
        <v>3</v>
      </c>
      <c r="D37" s="73">
        <v>5</v>
      </c>
      <c r="E37" s="2">
        <v>2</v>
      </c>
      <c r="G37" s="792"/>
      <c r="H37" s="793"/>
    </row>
    <row r="38" spans="3:8">
      <c r="C38" s="73">
        <v>4</v>
      </c>
      <c r="D38" s="73">
        <v>5</v>
      </c>
      <c r="E38" s="2">
        <v>0</v>
      </c>
      <c r="G38" s="792"/>
      <c r="H38" s="793"/>
    </row>
    <row r="39" spans="3:8">
      <c r="C39" s="73">
        <v>5</v>
      </c>
      <c r="D39" s="73">
        <v>5</v>
      </c>
      <c r="E39" s="2">
        <v>0</v>
      </c>
      <c r="G39" s="792"/>
      <c r="H39" s="793"/>
    </row>
    <row r="40" spans="3:8">
      <c r="G40" s="792"/>
      <c r="H40" s="793"/>
    </row>
    <row r="41" spans="3:8">
      <c r="G41" s="792"/>
      <c r="H41" s="793">
        <v>2</v>
      </c>
    </row>
    <row r="42" spans="3:8">
      <c r="G42" s="792"/>
      <c r="H42" s="793"/>
    </row>
    <row r="43" spans="3:8">
      <c r="G43" s="792"/>
      <c r="H43" s="793"/>
    </row>
    <row r="44" spans="3:8">
      <c r="G44" s="792"/>
      <c r="H44" s="793"/>
    </row>
    <row r="45" spans="3:8">
      <c r="G45" s="792"/>
      <c r="H45" s="793"/>
    </row>
    <row r="46" spans="3:8">
      <c r="G46" s="792"/>
      <c r="H46" s="793">
        <v>1</v>
      </c>
    </row>
    <row r="47" spans="3:8">
      <c r="G47" s="792"/>
      <c r="H47" s="793"/>
    </row>
    <row r="48" spans="3:8">
      <c r="G48" s="792"/>
      <c r="H48" s="793"/>
    </row>
    <row r="49" spans="7:10">
      <c r="G49" s="792"/>
      <c r="H49" s="793"/>
    </row>
    <row r="50" spans="7:10">
      <c r="G50" s="792"/>
      <c r="H50" s="793"/>
    </row>
    <row r="55" spans="7:10">
      <c r="H55" s="172"/>
      <c r="I55" s="793"/>
      <c r="J55" s="792"/>
    </row>
    <row r="56" spans="7:10">
      <c r="H56" s="172"/>
      <c r="I56" s="793"/>
      <c r="J56" s="792"/>
    </row>
    <row r="57" spans="7:10">
      <c r="H57" s="172"/>
      <c r="I57" s="793"/>
      <c r="J57" s="792"/>
    </row>
    <row r="58" spans="7:10">
      <c r="H58" s="172"/>
      <c r="I58" s="793"/>
      <c r="J58" s="792"/>
    </row>
    <row r="59" spans="7:10">
      <c r="H59" s="172"/>
      <c r="I59" s="793"/>
      <c r="J59" s="792"/>
    </row>
    <row r="60" spans="7:10">
      <c r="H60" s="172"/>
      <c r="I60" s="793"/>
      <c r="J60" s="792"/>
    </row>
    <row r="61" spans="7:10">
      <c r="H61" s="172"/>
      <c r="I61" s="793"/>
      <c r="J61" s="792"/>
    </row>
    <row r="62" spans="7:10">
      <c r="H62" s="172"/>
      <c r="I62" s="793"/>
      <c r="J62" s="792"/>
    </row>
    <row r="63" spans="7:10">
      <c r="H63" s="172"/>
      <c r="I63" s="793"/>
      <c r="J63" s="792"/>
    </row>
    <row r="64" spans="7:10">
      <c r="H64" s="172"/>
      <c r="I64" s="793"/>
      <c r="J64" s="792"/>
    </row>
    <row r="65" spans="8:11">
      <c r="H65" s="172"/>
      <c r="I65" s="793"/>
      <c r="J65" s="792"/>
    </row>
    <row r="66" spans="8:11">
      <c r="H66" s="172"/>
      <c r="I66" s="793"/>
      <c r="J66" s="792"/>
    </row>
    <row r="67" spans="8:11">
      <c r="H67" s="172"/>
      <c r="I67" s="793"/>
      <c r="J67" s="792"/>
    </row>
    <row r="68" spans="8:11">
      <c r="H68" s="172"/>
      <c r="I68" s="793"/>
      <c r="J68" s="792"/>
    </row>
    <row r="69" spans="8:11">
      <c r="H69" s="172"/>
      <c r="I69" s="793"/>
      <c r="J69" s="792"/>
    </row>
    <row r="70" spans="8:11">
      <c r="H70" s="172"/>
      <c r="I70" s="793"/>
      <c r="J70" s="792"/>
      <c r="K70" s="792" t="s">
        <v>113</v>
      </c>
    </row>
    <row r="71" spans="8:11">
      <c r="H71" s="172"/>
      <c r="I71" s="793"/>
      <c r="J71" s="792"/>
      <c r="K71" s="792"/>
    </row>
    <row r="72" spans="8:11">
      <c r="H72" s="172"/>
      <c r="I72" s="793"/>
      <c r="J72" s="792"/>
      <c r="K72" s="792"/>
    </row>
    <row r="73" spans="8:11">
      <c r="H73" s="172"/>
      <c r="I73" s="793"/>
      <c r="J73" s="792"/>
      <c r="K73" s="792"/>
    </row>
    <row r="74" spans="8:11">
      <c r="H74" s="172"/>
      <c r="I74" s="793"/>
      <c r="J74" s="792"/>
      <c r="K74" s="792"/>
    </row>
    <row r="75" spans="8:11">
      <c r="H75" s="172"/>
      <c r="I75" s="793"/>
      <c r="J75" s="792"/>
      <c r="K75" s="792"/>
    </row>
    <row r="76" spans="8:11">
      <c r="H76" s="172"/>
      <c r="I76" s="793"/>
      <c r="J76" s="792"/>
      <c r="K76" s="792"/>
    </row>
    <row r="77" spans="8:11">
      <c r="H77" s="172"/>
      <c r="I77" s="793"/>
      <c r="J77" s="792"/>
      <c r="K77" s="792"/>
    </row>
    <row r="78" spans="8:11">
      <c r="H78" s="172"/>
      <c r="I78" s="793"/>
      <c r="J78" s="792"/>
      <c r="K78" s="792"/>
    </row>
    <row r="79" spans="8:11">
      <c r="H79" s="172"/>
      <c r="I79" s="793"/>
      <c r="J79" s="792"/>
      <c r="K79" s="792"/>
    </row>
    <row r="80" spans="8:11">
      <c r="K80" s="792"/>
    </row>
    <row r="81" spans="11:11">
      <c r="K81" s="792"/>
    </row>
    <row r="82" spans="11:11">
      <c r="K82" s="792"/>
    </row>
    <row r="83" spans="11:11">
      <c r="K83" s="792"/>
    </row>
    <row r="84" spans="11:11">
      <c r="K84" s="792"/>
    </row>
    <row r="85" spans="11:11">
      <c r="K85" s="792"/>
    </row>
    <row r="86" spans="11:11">
      <c r="K86" s="792"/>
    </row>
    <row r="87" spans="11:11">
      <c r="K87" s="792"/>
    </row>
    <row r="88" spans="11:11">
      <c r="K88" s="792"/>
    </row>
    <row r="89" spans="11:11">
      <c r="K89" s="792"/>
    </row>
    <row r="90" spans="11:11">
      <c r="K90" s="792"/>
    </row>
    <row r="91" spans="11:11">
      <c r="K91" s="792"/>
    </row>
    <row r="92" spans="11:11">
      <c r="K92" s="792"/>
    </row>
    <row r="93" spans="11:11">
      <c r="K93" s="792"/>
    </row>
    <row r="94" spans="11:11">
      <c r="K94" s="792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3" zoomScale="55" zoomScaleNormal="55" workbookViewId="0">
      <selection activeCell="O21" sqref="O21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3.28515625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85546875" customWidth="1"/>
    <col min="11" max="11" width="28" customWidth="1"/>
    <col min="12" max="12" width="4.4257812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802" t="s">
        <v>0</v>
      </c>
      <c r="B1" s="802"/>
      <c r="C1" s="802"/>
      <c r="D1" s="802"/>
      <c r="E1" s="802"/>
      <c r="F1" s="802"/>
      <c r="G1" s="802"/>
      <c r="H1" s="802"/>
      <c r="I1" s="802"/>
      <c r="J1" s="802"/>
      <c r="K1" s="802"/>
      <c r="L1" s="802"/>
      <c r="M1" s="802"/>
      <c r="N1" s="802"/>
      <c r="O1" s="803"/>
    </row>
    <row r="2" spans="1:15" ht="6.75" customHeight="1" thickBot="1">
      <c r="A2" s="804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5"/>
    </row>
    <row r="3" spans="1:15" ht="21" customHeight="1">
      <c r="A3" s="806" t="s">
        <v>148</v>
      </c>
      <c r="B3" s="806"/>
      <c r="C3" s="806"/>
      <c r="D3" s="806"/>
      <c r="E3" s="806"/>
      <c r="F3" s="806"/>
      <c r="G3" s="806"/>
      <c r="H3" s="806"/>
      <c r="I3" s="806"/>
      <c r="J3" s="806"/>
      <c r="K3" s="806"/>
      <c r="L3" s="806"/>
      <c r="M3" s="806"/>
      <c r="N3" s="806"/>
      <c r="O3" s="807"/>
    </row>
    <row r="4" spans="1:15" ht="24" customHeight="1" thickBot="1">
      <c r="A4" s="808" t="s">
        <v>181</v>
      </c>
      <c r="B4" s="808"/>
      <c r="C4" s="808"/>
      <c r="D4" s="808"/>
      <c r="E4" s="808"/>
      <c r="F4" s="808"/>
      <c r="G4" s="808"/>
      <c r="H4" s="808"/>
      <c r="I4" s="808"/>
      <c r="J4" s="808"/>
      <c r="K4" s="808"/>
      <c r="L4" s="808"/>
      <c r="M4" s="808"/>
      <c r="N4" s="808"/>
      <c r="O4" s="809"/>
    </row>
    <row r="5" spans="1:15" ht="14.25" customHeight="1" thickBot="1">
      <c r="A5" s="90"/>
      <c r="B5" s="509"/>
      <c r="C5" s="82"/>
      <c r="D5" s="510"/>
      <c r="E5" s="511"/>
      <c r="F5" s="80"/>
      <c r="G5" s="512"/>
      <c r="H5" s="510"/>
      <c r="I5" s="82"/>
      <c r="J5" s="810"/>
      <c r="K5" s="810"/>
      <c r="L5" s="515"/>
      <c r="M5" s="512"/>
      <c r="N5" s="516"/>
      <c r="O5" s="404"/>
    </row>
    <row r="6" spans="1:15" ht="51.75" customHeight="1">
      <c r="A6" s="135"/>
      <c r="B6" s="518" t="s">
        <v>155</v>
      </c>
      <c r="C6" s="89"/>
      <c r="D6" s="135"/>
      <c r="E6" s="546" t="s">
        <v>92</v>
      </c>
      <c r="F6" s="89"/>
      <c r="G6" s="135"/>
      <c r="H6" s="522" t="s">
        <v>93</v>
      </c>
      <c r="I6" s="89"/>
      <c r="J6" s="520"/>
      <c r="K6" s="546" t="s">
        <v>104</v>
      </c>
      <c r="L6" s="513"/>
      <c r="M6" s="135"/>
      <c r="N6" s="518" t="s">
        <v>180</v>
      </c>
      <c r="O6" s="232"/>
    </row>
    <row r="7" spans="1:15" ht="40.5" customHeight="1" thickBot="1">
      <c r="A7" s="137"/>
      <c r="B7" s="519">
        <f>SUM(E13:E15)</f>
        <v>0</v>
      </c>
      <c r="C7" s="89"/>
      <c r="D7" s="137"/>
      <c r="E7" s="519">
        <f>E13</f>
        <v>0</v>
      </c>
      <c r="F7" s="89"/>
      <c r="G7" s="137"/>
      <c r="H7" s="519">
        <f>E14</f>
        <v>0</v>
      </c>
      <c r="I7" s="89"/>
      <c r="J7" s="521"/>
      <c r="K7" s="519">
        <f>E15</f>
        <v>0</v>
      </c>
      <c r="L7" s="514"/>
      <c r="M7" s="137"/>
      <c r="N7" s="519">
        <f>F25</f>
        <v>0</v>
      </c>
      <c r="O7" s="404"/>
    </row>
    <row r="8" spans="1:15" ht="19.5" customHeight="1" thickBot="1">
      <c r="A8" s="106"/>
      <c r="B8" s="106"/>
      <c r="C8" s="90"/>
      <c r="D8" s="106"/>
      <c r="E8" s="106"/>
      <c r="F8" s="90"/>
      <c r="G8" s="104"/>
      <c r="H8" s="800"/>
      <c r="I8" s="801"/>
      <c r="J8" s="800"/>
      <c r="K8" s="800"/>
      <c r="L8" s="800"/>
      <c r="M8" s="800"/>
      <c r="N8" s="517"/>
      <c r="O8" s="404"/>
    </row>
    <row r="9" spans="1:15" ht="15" customHeight="1">
      <c r="A9" s="828" t="s">
        <v>151</v>
      </c>
      <c r="B9" s="829"/>
      <c r="C9" s="829"/>
      <c r="D9" s="829"/>
      <c r="E9" s="829"/>
      <c r="F9" s="830"/>
      <c r="G9" s="83"/>
      <c r="H9" s="494"/>
      <c r="I9" s="499"/>
      <c r="J9" s="499"/>
      <c r="K9" s="499"/>
      <c r="L9" s="499"/>
      <c r="M9" s="499"/>
      <c r="N9" s="499"/>
      <c r="O9" s="232"/>
    </row>
    <row r="10" spans="1:15" ht="16.5" customHeight="1" thickBot="1">
      <c r="A10" s="831"/>
      <c r="B10" s="832"/>
      <c r="C10" s="832"/>
      <c r="D10" s="832"/>
      <c r="E10" s="832"/>
      <c r="F10" s="833"/>
      <c r="G10" s="80"/>
      <c r="H10" s="82"/>
      <c r="I10" s="497"/>
      <c r="J10" s="497"/>
      <c r="K10" s="497"/>
      <c r="L10" s="497"/>
      <c r="M10" s="497"/>
      <c r="N10" s="497"/>
      <c r="O10" s="404"/>
    </row>
    <row r="11" spans="1:15" ht="15.75" customHeight="1">
      <c r="A11" s="844" t="s">
        <v>150</v>
      </c>
      <c r="B11" s="839" t="s">
        <v>152</v>
      </c>
      <c r="C11" s="841" t="s">
        <v>179</v>
      </c>
      <c r="D11" s="843" t="s">
        <v>154</v>
      </c>
      <c r="E11" s="824" t="s">
        <v>88</v>
      </c>
      <c r="F11" s="825"/>
      <c r="G11" s="80"/>
      <c r="H11" s="82"/>
      <c r="I11" s="497"/>
      <c r="J11" s="497"/>
      <c r="K11" s="497"/>
      <c r="L11" s="497"/>
      <c r="M11" s="497"/>
      <c r="N11" s="497"/>
      <c r="O11" s="404"/>
    </row>
    <row r="12" spans="1:15" ht="38.25" customHeight="1" thickBot="1">
      <c r="A12" s="845"/>
      <c r="B12" s="840"/>
      <c r="C12" s="842"/>
      <c r="D12" s="831"/>
      <c r="E12" s="826"/>
      <c r="F12" s="827"/>
      <c r="G12" s="80"/>
      <c r="H12" s="82"/>
      <c r="I12" s="497"/>
      <c r="J12" s="497"/>
      <c r="K12" s="497"/>
      <c r="L12" s="497"/>
      <c r="M12" s="497"/>
      <c r="N12" s="497"/>
      <c r="O12" s="232"/>
    </row>
    <row r="13" spans="1:15" ht="21">
      <c r="A13" s="551" t="s">
        <v>92</v>
      </c>
      <c r="B13" s="552"/>
      <c r="C13" s="552"/>
      <c r="D13" s="553"/>
      <c r="E13" s="834">
        <f>SUM(B13:D13)</f>
        <v>0</v>
      </c>
      <c r="F13" s="835"/>
      <c r="G13" s="80"/>
      <c r="H13" s="82"/>
      <c r="I13" s="82"/>
      <c r="J13" s="500"/>
      <c r="K13" s="82"/>
      <c r="L13" s="82"/>
      <c r="M13" s="82"/>
      <c r="N13" s="82"/>
      <c r="O13" s="404"/>
    </row>
    <row r="14" spans="1:15" ht="21">
      <c r="A14" s="503" t="s">
        <v>93</v>
      </c>
      <c r="B14" s="502"/>
      <c r="C14" s="502"/>
      <c r="D14" s="554"/>
      <c r="E14" s="836">
        <f>SUM(B14:D14)</f>
        <v>0</v>
      </c>
      <c r="F14" s="837"/>
      <c r="G14" s="80"/>
      <c r="H14" s="82"/>
      <c r="I14" s="497"/>
      <c r="J14" s="497"/>
      <c r="K14" s="497"/>
      <c r="L14" s="497"/>
      <c r="M14" s="497"/>
      <c r="N14" s="497"/>
      <c r="O14" s="232"/>
    </row>
    <row r="15" spans="1:15" ht="21.75" thickBot="1">
      <c r="A15" s="504" t="s">
        <v>104</v>
      </c>
      <c r="B15" s="505"/>
      <c r="C15" s="505"/>
      <c r="D15" s="506"/>
      <c r="E15" s="846">
        <f>SUM(B15:D15)</f>
        <v>0</v>
      </c>
      <c r="F15" s="847"/>
      <c r="G15" s="80"/>
      <c r="H15" s="82"/>
      <c r="I15" s="497"/>
      <c r="J15" s="497"/>
      <c r="K15" s="497"/>
      <c r="L15" s="497"/>
      <c r="M15" s="497"/>
      <c r="N15" s="497"/>
      <c r="O15" s="232"/>
    </row>
    <row r="16" spans="1:15" ht="194.25" customHeight="1" thickBot="1">
      <c r="A16" s="496"/>
      <c r="B16" s="497"/>
      <c r="C16" s="82"/>
      <c r="D16" s="82"/>
      <c r="E16" s="98"/>
      <c r="F16" s="104"/>
      <c r="G16" s="105"/>
      <c r="H16" s="395"/>
      <c r="I16" s="395"/>
      <c r="J16" s="411"/>
      <c r="K16" s="81"/>
      <c r="L16" s="81"/>
      <c r="M16" s="81"/>
      <c r="N16" s="104"/>
      <c r="O16" s="165"/>
    </row>
    <row r="17" spans="1:15" ht="32.25" customHeight="1" thickBot="1">
      <c r="A17" s="496"/>
      <c r="B17" s="497"/>
      <c r="C17" s="82"/>
      <c r="D17" s="82"/>
      <c r="E17" s="89"/>
      <c r="F17" s="82"/>
      <c r="H17" s="812" t="s">
        <v>157</v>
      </c>
      <c r="I17" s="813"/>
      <c r="J17" s="814"/>
      <c r="K17" s="227"/>
      <c r="L17" s="227"/>
      <c r="M17" s="227"/>
      <c r="N17" s="82"/>
      <c r="O17" s="165"/>
    </row>
    <row r="18" spans="1:15" ht="12.75" customHeight="1" thickBot="1">
      <c r="A18" s="496"/>
      <c r="B18" s="497"/>
      <c r="C18" s="82"/>
      <c r="D18" s="82"/>
      <c r="E18" s="89"/>
      <c r="F18" s="82"/>
      <c r="G18" s="80"/>
      <c r="H18" s="392"/>
      <c r="I18" s="392"/>
      <c r="J18" s="392"/>
      <c r="K18" s="227"/>
      <c r="L18" s="227"/>
      <c r="M18" s="227"/>
      <c r="N18" s="82"/>
      <c r="O18" s="165"/>
    </row>
    <row r="19" spans="1:15" ht="24" customHeight="1" thickBot="1">
      <c r="A19" s="525"/>
      <c r="B19" s="526"/>
      <c r="C19" s="494"/>
      <c r="D19" s="82"/>
      <c r="E19" s="80"/>
      <c r="F19" s="105"/>
      <c r="H19" s="193"/>
      <c r="I19" s="584" t="s">
        <v>177</v>
      </c>
      <c r="J19" s="523"/>
      <c r="K19" s="524"/>
      <c r="L19" s="387"/>
      <c r="M19" s="387"/>
      <c r="N19" s="104"/>
      <c r="O19" s="165"/>
    </row>
    <row r="20" spans="1:15" ht="29.25" customHeight="1" thickBot="1">
      <c r="A20" s="527"/>
      <c r="B20" s="526"/>
      <c r="C20" s="499"/>
      <c r="D20" s="82"/>
      <c r="E20" s="83"/>
      <c r="F20" s="83"/>
      <c r="H20" s="539" t="s">
        <v>50</v>
      </c>
      <c r="I20" s="585" t="s">
        <v>178</v>
      </c>
      <c r="J20" s="537" t="s">
        <v>51</v>
      </c>
      <c r="K20" s="538" t="s">
        <v>52</v>
      </c>
      <c r="L20" s="820" t="s">
        <v>53</v>
      </c>
      <c r="M20" s="821"/>
      <c r="N20" s="400"/>
      <c r="O20" s="165"/>
    </row>
    <row r="21" spans="1:15" ht="22.5" customHeight="1">
      <c r="A21" s="499"/>
      <c r="B21" s="528"/>
      <c r="C21" s="499"/>
      <c r="D21" s="82"/>
      <c r="E21" s="82"/>
      <c r="F21" s="82"/>
      <c r="G21" s="78"/>
      <c r="H21" s="579"/>
      <c r="I21" s="541"/>
      <c r="J21" s="541"/>
      <c r="K21" s="541"/>
      <c r="L21" s="822"/>
      <c r="M21" s="823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80"/>
      <c r="I22" s="540"/>
      <c r="J22" s="540"/>
      <c r="K22" s="540"/>
      <c r="L22" s="796"/>
      <c r="M22" s="797"/>
      <c r="N22" s="80"/>
      <c r="O22" s="165"/>
    </row>
    <row r="23" spans="1:15" ht="27.75" customHeight="1" thickBot="1">
      <c r="A23" s="817" t="s">
        <v>159</v>
      </c>
      <c r="B23" s="818"/>
      <c r="C23" s="818"/>
      <c r="D23" s="818"/>
      <c r="E23" s="818"/>
      <c r="F23" s="819"/>
      <c r="G23" s="78"/>
      <c r="H23" s="580"/>
      <c r="I23" s="540"/>
      <c r="J23" s="540"/>
      <c r="K23" s="540"/>
      <c r="L23" s="796"/>
      <c r="M23" s="797"/>
      <c r="N23" s="80"/>
      <c r="O23" s="165"/>
    </row>
    <row r="24" spans="1:15" ht="36" customHeight="1" thickBot="1">
      <c r="A24" s="547" t="s">
        <v>158</v>
      </c>
      <c r="B24" s="815" t="s">
        <v>183</v>
      </c>
      <c r="C24" s="816"/>
      <c r="D24" s="548" t="s">
        <v>161</v>
      </c>
      <c r="E24" s="549" t="s">
        <v>182</v>
      </c>
      <c r="F24" s="550" t="s">
        <v>88</v>
      </c>
      <c r="G24" s="78"/>
      <c r="H24" s="580"/>
      <c r="I24" s="540"/>
      <c r="J24" s="540"/>
      <c r="K24" s="540"/>
      <c r="L24" s="796"/>
      <c r="M24" s="797"/>
      <c r="N24" s="80"/>
      <c r="O24" s="165"/>
    </row>
    <row r="25" spans="1:15" ht="24.75" customHeight="1">
      <c r="A25" s="501" t="s">
        <v>94</v>
      </c>
      <c r="B25" s="838"/>
      <c r="C25" s="838"/>
      <c r="D25" s="508"/>
      <c r="E25" s="508"/>
      <c r="F25" s="507">
        <f>SUM(B25:D25)</f>
        <v>0</v>
      </c>
      <c r="G25" s="78"/>
      <c r="H25" s="581"/>
      <c r="I25" s="540"/>
      <c r="J25" s="540"/>
      <c r="K25" s="540"/>
      <c r="L25" s="796"/>
      <c r="M25" s="797"/>
      <c r="N25" s="80"/>
      <c r="O25" s="165"/>
    </row>
    <row r="26" spans="1:15" ht="31.5" customHeight="1">
      <c r="B26" s="492"/>
      <c r="C26" s="492"/>
      <c r="F26" s="493"/>
      <c r="G26" s="103"/>
      <c r="H26" s="581"/>
      <c r="I26" s="540"/>
      <c r="J26" s="540"/>
      <c r="K26" s="540"/>
      <c r="L26" s="796"/>
      <c r="M26" s="797"/>
      <c r="N26" s="80"/>
      <c r="O26" s="165"/>
    </row>
    <row r="27" spans="1:15" ht="27" customHeight="1">
      <c r="A27" s="811"/>
      <c r="B27" s="811"/>
      <c r="C27" s="811"/>
      <c r="D27" s="811"/>
      <c r="E27" s="495"/>
      <c r="F27" s="498"/>
      <c r="G27" s="89"/>
      <c r="H27" s="581"/>
      <c r="I27" s="540"/>
      <c r="J27" s="540"/>
      <c r="K27" s="540"/>
      <c r="L27" s="796"/>
      <c r="M27" s="797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81"/>
      <c r="I28" s="540"/>
      <c r="J28" s="540"/>
      <c r="K28" s="540"/>
      <c r="L28" s="796"/>
      <c r="M28" s="797"/>
      <c r="N28" s="105"/>
      <c r="O28" s="165"/>
    </row>
    <row r="29" spans="1:15" ht="29.25" customHeight="1">
      <c r="A29" s="496"/>
      <c r="B29" s="497"/>
      <c r="C29" s="82"/>
      <c r="D29" s="82"/>
      <c r="E29" s="82"/>
      <c r="F29" s="82"/>
      <c r="H29" s="581"/>
      <c r="I29" s="540"/>
      <c r="J29" s="540"/>
      <c r="K29" s="540"/>
      <c r="L29" s="796"/>
      <c r="M29" s="797"/>
      <c r="N29" s="80"/>
      <c r="O29" s="165"/>
    </row>
    <row r="30" spans="1:15" ht="24.75" customHeight="1">
      <c r="A30" s="496"/>
      <c r="B30" s="497"/>
      <c r="C30" s="82"/>
      <c r="D30" s="82"/>
      <c r="E30" s="82"/>
      <c r="F30" s="82"/>
      <c r="G30" s="78"/>
      <c r="H30" s="581"/>
      <c r="I30" s="540"/>
      <c r="J30" s="540"/>
      <c r="K30" s="540"/>
      <c r="L30" s="796"/>
      <c r="M30" s="797"/>
      <c r="N30" s="80"/>
      <c r="O30" s="165"/>
    </row>
    <row r="31" spans="1:15" ht="24" customHeight="1">
      <c r="A31" s="496"/>
      <c r="B31" s="497"/>
      <c r="C31" s="82"/>
      <c r="D31" s="82"/>
      <c r="E31" s="82"/>
      <c r="F31" s="82"/>
      <c r="G31" s="78"/>
      <c r="H31" s="580"/>
      <c r="I31" s="540"/>
      <c r="J31" s="540"/>
      <c r="K31" s="540"/>
      <c r="L31" s="796"/>
      <c r="M31" s="797"/>
      <c r="N31" s="80"/>
      <c r="O31" s="165"/>
    </row>
    <row r="32" spans="1:15" ht="27.75" customHeight="1">
      <c r="A32" s="496"/>
      <c r="B32" s="497"/>
      <c r="C32" s="82"/>
      <c r="D32" s="82"/>
      <c r="E32" s="82"/>
      <c r="F32" s="82"/>
      <c r="G32" s="78"/>
      <c r="H32" s="580"/>
      <c r="I32" s="540"/>
      <c r="J32" s="540"/>
      <c r="K32" s="540"/>
      <c r="L32" s="796"/>
      <c r="M32" s="797"/>
      <c r="N32" s="80"/>
      <c r="O32" s="165"/>
    </row>
    <row r="33" spans="1:15" ht="25.5" customHeight="1">
      <c r="A33" s="496"/>
      <c r="B33" s="497"/>
      <c r="C33" s="82"/>
      <c r="D33" s="82"/>
      <c r="E33" s="82"/>
      <c r="F33" s="82"/>
      <c r="G33" s="78"/>
      <c r="H33" s="581"/>
      <c r="I33" s="540"/>
      <c r="J33" s="540"/>
      <c r="K33" s="540"/>
      <c r="L33" s="796"/>
      <c r="M33" s="797"/>
      <c r="N33" s="80"/>
      <c r="O33" s="165"/>
    </row>
    <row r="34" spans="1:15" ht="27" customHeight="1">
      <c r="A34" s="496"/>
      <c r="B34" s="497"/>
      <c r="C34" s="82"/>
      <c r="D34" s="82"/>
      <c r="E34" s="82"/>
      <c r="F34" s="82"/>
      <c r="G34" s="78"/>
      <c r="H34" s="581"/>
      <c r="I34" s="540"/>
      <c r="J34" s="540"/>
      <c r="K34" s="540"/>
      <c r="L34" s="796"/>
      <c r="M34" s="797"/>
      <c r="N34" s="80"/>
      <c r="O34" s="165"/>
    </row>
    <row r="35" spans="1:15" ht="24" customHeight="1">
      <c r="A35" s="496"/>
      <c r="B35" s="497"/>
      <c r="C35" s="82"/>
      <c r="D35" s="82"/>
      <c r="E35" s="82"/>
      <c r="F35" s="82"/>
      <c r="G35" s="89"/>
      <c r="H35" s="580"/>
      <c r="I35" s="540"/>
      <c r="J35" s="540"/>
      <c r="K35" s="540"/>
      <c r="L35" s="796"/>
      <c r="M35" s="797"/>
      <c r="N35" s="80"/>
      <c r="O35" s="165"/>
    </row>
    <row r="36" spans="1:15" ht="24" customHeight="1">
      <c r="A36" s="496"/>
      <c r="B36" s="497"/>
      <c r="C36" s="82"/>
      <c r="D36" s="82"/>
      <c r="E36" s="82"/>
      <c r="F36" s="82"/>
      <c r="H36" s="582"/>
      <c r="I36" s="540"/>
      <c r="J36" s="540"/>
      <c r="K36" s="540"/>
      <c r="L36" s="796"/>
      <c r="M36" s="797"/>
      <c r="N36" s="80"/>
      <c r="O36" s="165"/>
    </row>
    <row r="37" spans="1:15" ht="22.5" customHeight="1" thickBot="1">
      <c r="A37" s="496"/>
      <c r="B37" s="497"/>
      <c r="C37" s="82"/>
      <c r="D37" s="82"/>
      <c r="E37" s="82"/>
      <c r="F37" s="82"/>
      <c r="G37" s="78"/>
      <c r="H37" s="583"/>
      <c r="I37" s="542"/>
      <c r="J37" s="542"/>
      <c r="K37" s="542"/>
      <c r="L37" s="798"/>
      <c r="M37" s="799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 verticalCentered="1"/>
  <pageMargins left="0" right="0" top="0" bottom="0" header="0" footer="0"/>
  <pageSetup paperSize="5" scale="55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81" t="s">
        <v>119</v>
      </c>
      <c r="C1" s="882"/>
      <c r="D1" s="882"/>
      <c r="E1" s="882"/>
      <c r="F1" s="882"/>
      <c r="G1" s="882"/>
      <c r="H1" s="882"/>
      <c r="I1" s="882"/>
      <c r="J1" s="882"/>
      <c r="K1" s="882"/>
      <c r="L1" s="882"/>
      <c r="M1" s="882"/>
      <c r="N1" s="882"/>
      <c r="O1" s="883"/>
      <c r="P1" s="82"/>
      <c r="Q1" s="82"/>
      <c r="R1" s="82"/>
      <c r="S1" s="82"/>
      <c r="T1" s="82"/>
    </row>
    <row r="2" spans="1:20" ht="18.75" customHeight="1">
      <c r="A2" s="82"/>
      <c r="B2" s="869" t="s">
        <v>120</v>
      </c>
      <c r="C2" s="870"/>
      <c r="D2" s="870"/>
      <c r="E2" s="870"/>
      <c r="F2" s="870"/>
      <c r="G2" s="871" t="s">
        <v>164</v>
      </c>
      <c r="H2" s="871"/>
      <c r="I2" s="871"/>
      <c r="J2" s="871"/>
      <c r="K2" s="871"/>
      <c r="L2" s="871"/>
      <c r="M2" s="871"/>
      <c r="N2" s="871"/>
      <c r="O2" s="872"/>
      <c r="P2" s="82"/>
      <c r="Q2" s="82"/>
      <c r="R2" s="82"/>
      <c r="S2" s="82"/>
      <c r="T2" s="82"/>
    </row>
    <row r="3" spans="1:20" ht="28.5" customHeight="1" thickBot="1">
      <c r="A3" s="82"/>
      <c r="B3" s="873" t="s">
        <v>173</v>
      </c>
      <c r="C3" s="874"/>
      <c r="D3" s="874"/>
      <c r="E3" s="874"/>
      <c r="F3" s="874"/>
      <c r="G3" s="874"/>
      <c r="H3" s="875"/>
      <c r="I3" s="208"/>
      <c r="J3" s="209"/>
      <c r="K3" s="477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91" t="s">
        <v>187</v>
      </c>
      <c r="L4" s="892"/>
      <c r="M4" s="892"/>
      <c r="N4" s="892"/>
      <c r="O4" s="893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88" t="s">
        <v>122</v>
      </c>
      <c r="L5" s="887"/>
      <c r="M5" s="887" t="s">
        <v>190</v>
      </c>
      <c r="N5" s="887"/>
      <c r="O5" s="529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94"/>
      <c r="L6" s="895"/>
      <c r="M6" s="885"/>
      <c r="N6" s="886"/>
      <c r="O6" s="560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9"/>
      <c r="F7" s="890"/>
      <c r="G7" s="890"/>
      <c r="H7" s="890"/>
      <c r="I7" s="82"/>
      <c r="J7" s="103"/>
      <c r="K7" s="850"/>
      <c r="L7" s="851"/>
      <c r="M7" s="848"/>
      <c r="N7" s="849"/>
      <c r="O7" s="561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50"/>
      <c r="L8" s="851"/>
      <c r="M8" s="848"/>
      <c r="N8" s="849"/>
      <c r="O8" s="561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50"/>
      <c r="L9" s="851"/>
      <c r="M9" s="848"/>
      <c r="N9" s="849"/>
      <c r="O9" s="561"/>
      <c r="P9" s="80"/>
      <c r="Q9" s="82"/>
      <c r="R9" s="82"/>
      <c r="S9" s="82"/>
      <c r="T9" s="82"/>
    </row>
    <row r="10" spans="1:20" ht="51" customHeight="1" thickBot="1">
      <c r="A10" s="79"/>
      <c r="B10" s="556"/>
      <c r="C10" s="557" t="s">
        <v>184</v>
      </c>
      <c r="D10" s="80"/>
      <c r="I10" s="82"/>
      <c r="J10" s="79"/>
      <c r="K10" s="850"/>
      <c r="L10" s="851"/>
      <c r="M10" s="848"/>
      <c r="N10" s="849"/>
      <c r="O10" s="561"/>
      <c r="P10" s="80"/>
      <c r="Q10" s="82"/>
      <c r="R10" s="82"/>
      <c r="S10" s="82"/>
      <c r="T10" s="82"/>
    </row>
    <row r="11" spans="1:20" ht="57" customHeight="1" thickBot="1">
      <c r="A11" s="79"/>
      <c r="B11" s="558"/>
      <c r="C11" s="559" t="s">
        <v>185</v>
      </c>
      <c r="D11" s="89"/>
      <c r="F11" s="89"/>
      <c r="H11" s="87"/>
      <c r="I11" s="80"/>
      <c r="J11" s="103"/>
      <c r="K11" s="850"/>
      <c r="L11" s="851"/>
      <c r="M11" s="848"/>
      <c r="N11" s="849"/>
      <c r="O11" s="561"/>
      <c r="P11" s="80"/>
      <c r="Q11" s="82"/>
      <c r="R11" s="82"/>
      <c r="S11" s="82"/>
      <c r="T11" s="82"/>
    </row>
    <row r="12" spans="1:20" ht="49.5" customHeight="1">
      <c r="A12" s="79"/>
      <c r="B12" s="555"/>
      <c r="C12" s="555"/>
      <c r="D12" s="89"/>
      <c r="G12" s="89"/>
      <c r="I12" s="80"/>
      <c r="J12" s="103"/>
      <c r="K12" s="850"/>
      <c r="L12" s="851"/>
      <c r="M12" s="848"/>
      <c r="N12" s="849"/>
      <c r="O12" s="561"/>
      <c r="P12" s="80"/>
      <c r="Q12" s="82"/>
      <c r="R12" s="82"/>
      <c r="S12" s="82"/>
      <c r="T12" s="82"/>
    </row>
    <row r="13" spans="1:20" ht="55.5" customHeight="1">
      <c r="A13" s="79"/>
      <c r="D13" s="89"/>
      <c r="E13" s="884" t="s">
        <v>174</v>
      </c>
      <c r="F13" s="884"/>
      <c r="G13" s="884"/>
      <c r="H13" s="884"/>
      <c r="I13" s="80"/>
      <c r="J13" s="103"/>
      <c r="K13" s="850"/>
      <c r="L13" s="851"/>
      <c r="M13" s="848"/>
      <c r="N13" s="849"/>
      <c r="O13" s="561"/>
      <c r="P13" s="80"/>
      <c r="Q13" s="82"/>
      <c r="R13" s="82"/>
      <c r="S13" s="82"/>
      <c r="T13" s="82"/>
    </row>
    <row r="14" spans="1:20" ht="47.25" customHeight="1">
      <c r="A14" s="79"/>
      <c r="B14" s="860" t="s">
        <v>170</v>
      </c>
      <c r="C14" s="860"/>
      <c r="D14" s="89"/>
      <c r="E14" s="877" t="s">
        <v>122</v>
      </c>
      <c r="F14" s="877"/>
      <c r="G14" s="877"/>
      <c r="H14" s="465" t="s">
        <v>123</v>
      </c>
      <c r="I14" s="80"/>
      <c r="J14" s="103"/>
      <c r="K14" s="850"/>
      <c r="L14" s="851"/>
      <c r="M14" s="848"/>
      <c r="N14" s="849"/>
      <c r="O14" s="561"/>
      <c r="P14" s="80"/>
      <c r="Q14" s="82"/>
      <c r="R14" s="82"/>
      <c r="S14" s="82"/>
      <c r="T14" s="82"/>
    </row>
    <row r="15" spans="1:20" ht="44.25" customHeight="1">
      <c r="A15" s="79"/>
      <c r="B15" s="472" t="s">
        <v>121</v>
      </c>
      <c r="C15" s="472" t="s">
        <v>172</v>
      </c>
      <c r="D15" s="89"/>
      <c r="E15" s="864"/>
      <c r="F15" s="864"/>
      <c r="G15" s="864"/>
      <c r="H15" s="474"/>
      <c r="I15" s="80"/>
      <c r="J15" s="103"/>
      <c r="K15" s="850"/>
      <c r="L15" s="851"/>
      <c r="M15" s="848"/>
      <c r="N15" s="849"/>
      <c r="O15" s="561"/>
      <c r="P15" s="80"/>
      <c r="Q15" s="82"/>
      <c r="R15" s="82"/>
      <c r="S15" s="82"/>
      <c r="T15" s="82"/>
    </row>
    <row r="16" spans="1:20" ht="47.25" customHeight="1">
      <c r="A16" s="79"/>
      <c r="B16" s="473"/>
      <c r="C16" s="473"/>
      <c r="D16" s="89"/>
      <c r="E16" s="864"/>
      <c r="F16" s="864"/>
      <c r="G16" s="864"/>
      <c r="H16" s="474"/>
      <c r="I16" s="80"/>
      <c r="J16" s="103"/>
      <c r="K16" s="850"/>
      <c r="L16" s="851"/>
      <c r="M16" s="848"/>
      <c r="N16" s="849"/>
      <c r="O16" s="561"/>
      <c r="P16" s="80"/>
      <c r="Q16" s="82"/>
      <c r="R16" s="82"/>
      <c r="S16" s="82"/>
      <c r="T16" s="82"/>
    </row>
    <row r="17" spans="1:20" ht="46.5" customHeight="1">
      <c r="A17" s="79"/>
      <c r="B17" s="473"/>
      <c r="C17" s="473"/>
      <c r="D17" s="89"/>
      <c r="E17" s="864"/>
      <c r="F17" s="864"/>
      <c r="G17" s="864"/>
      <c r="H17" s="474"/>
      <c r="I17" s="80"/>
      <c r="J17" s="79"/>
      <c r="K17" s="850"/>
      <c r="L17" s="851"/>
      <c r="M17" s="848"/>
      <c r="N17" s="849"/>
      <c r="O17" s="561"/>
      <c r="P17" s="80"/>
      <c r="Q17" s="82"/>
      <c r="R17" s="82"/>
      <c r="S17" s="82"/>
      <c r="T17" s="82"/>
    </row>
    <row r="18" spans="1:20" ht="54.75" customHeight="1" thickBot="1">
      <c r="A18" s="79"/>
      <c r="B18" s="473"/>
      <c r="C18" s="473"/>
      <c r="D18" s="89"/>
      <c r="E18" s="864"/>
      <c r="F18" s="864"/>
      <c r="G18" s="864"/>
      <c r="H18" s="474"/>
      <c r="I18" s="80"/>
      <c r="J18" s="87"/>
      <c r="K18" s="867"/>
      <c r="L18" s="868"/>
      <c r="M18" s="855"/>
      <c r="N18" s="856"/>
      <c r="O18" s="561"/>
      <c r="P18" s="80"/>
      <c r="Q18" s="82"/>
      <c r="R18" s="82"/>
      <c r="S18" s="82"/>
      <c r="T18" s="82"/>
    </row>
    <row r="19" spans="1:20" ht="42" customHeight="1" thickBot="1">
      <c r="A19" s="79"/>
      <c r="B19" s="473"/>
      <c r="C19" s="473"/>
      <c r="D19" s="89"/>
      <c r="E19" s="864"/>
      <c r="F19" s="864"/>
      <c r="G19" s="864"/>
      <c r="H19" s="474"/>
      <c r="I19" s="80"/>
      <c r="J19" s="79"/>
      <c r="K19" s="230"/>
      <c r="M19" s="855"/>
      <c r="N19" s="856"/>
      <c r="O19" s="561"/>
      <c r="P19" s="80"/>
      <c r="Q19" s="82"/>
      <c r="R19" s="82"/>
      <c r="S19" s="82"/>
      <c r="T19" s="82"/>
    </row>
    <row r="20" spans="1:20" ht="33.75" customHeight="1" thickBot="1">
      <c r="A20" s="79"/>
      <c r="B20" s="473"/>
      <c r="C20" s="473"/>
      <c r="D20" s="89"/>
      <c r="E20" s="865"/>
      <c r="F20" s="865"/>
      <c r="G20" s="865"/>
      <c r="H20" s="475"/>
      <c r="I20" s="80"/>
      <c r="J20" s="103"/>
      <c r="K20" s="230"/>
      <c r="M20" s="855"/>
      <c r="N20" s="856"/>
      <c r="O20" s="561"/>
      <c r="P20" s="80"/>
      <c r="Q20" s="82"/>
      <c r="R20" s="82"/>
      <c r="S20" s="82"/>
      <c r="T20" s="82"/>
    </row>
    <row r="21" spans="1:20" ht="46.5" customHeight="1" thickBot="1">
      <c r="A21" s="79"/>
      <c r="B21" s="473"/>
      <c r="C21" s="473"/>
      <c r="D21" s="98"/>
      <c r="E21" s="876" t="s">
        <v>10</v>
      </c>
      <c r="F21" s="876"/>
      <c r="G21" s="876"/>
      <c r="H21" s="476">
        <f>SUM(H15:H20)</f>
        <v>0</v>
      </c>
      <c r="I21" s="80"/>
      <c r="J21" s="103"/>
      <c r="K21" s="230"/>
      <c r="M21" s="855"/>
      <c r="N21" s="856"/>
      <c r="O21" s="561"/>
      <c r="P21" s="80"/>
      <c r="Q21" s="82"/>
      <c r="R21" s="82"/>
      <c r="S21" s="82"/>
      <c r="T21" s="82"/>
    </row>
    <row r="22" spans="1:20" ht="37.5" customHeight="1" thickBot="1">
      <c r="A22" s="79"/>
      <c r="B22" s="476" t="s">
        <v>10</v>
      </c>
      <c r="C22" s="476">
        <f>SUM(C16:C21)</f>
        <v>0</v>
      </c>
      <c r="D22" s="89"/>
      <c r="E22" s="852" t="s">
        <v>171</v>
      </c>
      <c r="F22" s="853"/>
      <c r="G22" s="853"/>
      <c r="H22" s="854"/>
      <c r="I22" s="80"/>
      <c r="J22" s="79"/>
      <c r="K22" s="230"/>
      <c r="M22" s="855"/>
      <c r="N22" s="856"/>
      <c r="O22" s="561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55"/>
      <c r="N23" s="856"/>
      <c r="O23" s="561"/>
      <c r="P23" s="80"/>
      <c r="Q23" s="82"/>
      <c r="R23" s="79"/>
      <c r="S23" s="82"/>
      <c r="T23" s="82"/>
    </row>
    <row r="24" spans="1:20" ht="25.5" customHeight="1" thickBot="1">
      <c r="A24" s="79"/>
      <c r="B24" s="463"/>
      <c r="C24" s="463"/>
      <c r="D24" s="212"/>
      <c r="I24" s="90"/>
      <c r="J24" s="87"/>
      <c r="K24" s="235"/>
      <c r="L24" s="234"/>
      <c r="M24" s="855"/>
      <c r="N24" s="856"/>
      <c r="O24" s="561"/>
      <c r="P24" s="80"/>
      <c r="Q24" s="82"/>
      <c r="S24" s="82"/>
      <c r="T24" s="82"/>
    </row>
    <row r="25" spans="1:20" ht="25.5" customHeight="1" thickBot="1">
      <c r="A25" s="79"/>
      <c r="B25" s="464"/>
      <c r="C25" s="464"/>
      <c r="D25" s="231"/>
      <c r="J25" s="89"/>
      <c r="K25" s="531" t="s">
        <v>144</v>
      </c>
      <c r="L25" s="532"/>
      <c r="M25" s="855"/>
      <c r="N25" s="856"/>
      <c r="O25" s="561"/>
      <c r="P25" s="80"/>
      <c r="Q25" s="82"/>
      <c r="S25" s="82"/>
      <c r="T25" s="82"/>
    </row>
    <row r="26" spans="1:20" ht="21" customHeight="1">
      <c r="A26" s="79"/>
      <c r="B26" s="464"/>
      <c r="C26" s="464"/>
      <c r="D26" s="231"/>
      <c r="E26" s="467"/>
      <c r="F26" s="468"/>
      <c r="H26" s="866"/>
      <c r="I26" s="866"/>
      <c r="J26" s="466"/>
      <c r="K26" s="861" t="s">
        <v>191</v>
      </c>
      <c r="L26" s="862"/>
      <c r="M26" s="862"/>
      <c r="N26" s="863"/>
      <c r="O26" s="530"/>
      <c r="P26" s="80"/>
      <c r="Q26" s="82"/>
      <c r="S26" s="82"/>
      <c r="T26" s="82"/>
    </row>
    <row r="27" spans="1:20" ht="26.25" customHeight="1">
      <c r="A27" s="79"/>
      <c r="B27" s="464"/>
      <c r="C27" s="464"/>
      <c r="D27" s="231"/>
      <c r="E27" s="469"/>
      <c r="F27" s="469"/>
      <c r="H27" s="470"/>
      <c r="I27" s="471"/>
      <c r="J27" s="211"/>
      <c r="K27" s="857" t="s">
        <v>189</v>
      </c>
      <c r="L27" s="858"/>
      <c r="M27" s="858"/>
      <c r="N27" s="858"/>
      <c r="O27" s="859"/>
      <c r="P27" s="80"/>
      <c r="Q27" s="82"/>
      <c r="S27" s="82"/>
      <c r="T27" s="82"/>
    </row>
    <row r="28" spans="1:20" ht="32.25" customHeight="1" thickBot="1">
      <c r="A28" s="79"/>
      <c r="J28" s="78"/>
      <c r="K28" s="878" t="s">
        <v>188</v>
      </c>
      <c r="L28" s="879"/>
      <c r="M28" s="879"/>
      <c r="N28" s="879"/>
      <c r="O28" s="880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9" t="s">
        <v>0</v>
      </c>
      <c r="B1" s="930"/>
      <c r="C1" s="930"/>
      <c r="D1" s="930"/>
      <c r="E1" s="930"/>
      <c r="F1" s="930"/>
      <c r="G1" s="930"/>
      <c r="H1" s="930"/>
      <c r="I1" s="930"/>
      <c r="J1" s="930"/>
      <c r="K1" s="930"/>
      <c r="L1" s="930"/>
      <c r="M1" s="930"/>
      <c r="N1" s="930"/>
      <c r="O1" s="930"/>
      <c r="P1" s="930"/>
      <c r="Q1" s="930"/>
      <c r="R1" s="930"/>
      <c r="S1" s="930"/>
      <c r="T1" s="930"/>
      <c r="U1" s="930"/>
      <c r="V1" s="930"/>
      <c r="W1" s="930"/>
      <c r="X1" s="930"/>
      <c r="Y1" s="930"/>
      <c r="Z1" s="930"/>
      <c r="AA1" s="930"/>
      <c r="AB1" s="930"/>
      <c r="AC1" s="930"/>
      <c r="AD1" s="930"/>
      <c r="AE1" s="930"/>
      <c r="AF1" s="930"/>
      <c r="AG1" s="930"/>
      <c r="AH1" s="930"/>
      <c r="AI1" s="931"/>
    </row>
    <row r="2" spans="1:36" ht="4.5" customHeight="1" thickBot="1">
      <c r="A2" s="949"/>
      <c r="B2" s="804"/>
      <c r="C2" s="804"/>
      <c r="D2" s="804"/>
      <c r="E2" s="804"/>
      <c r="F2" s="804"/>
      <c r="G2" s="804"/>
      <c r="H2" s="804"/>
      <c r="I2" s="804"/>
      <c r="J2" s="804"/>
      <c r="K2" s="804"/>
      <c r="L2" s="804"/>
      <c r="M2" s="804"/>
      <c r="N2" s="804"/>
      <c r="O2" s="804"/>
      <c r="P2" s="804"/>
      <c r="Q2" s="804"/>
      <c r="R2" s="804"/>
      <c r="S2" s="804"/>
      <c r="T2" s="804"/>
      <c r="U2" s="804"/>
      <c r="V2" s="804"/>
      <c r="W2" s="804"/>
      <c r="X2" s="804"/>
      <c r="Y2" s="804"/>
      <c r="Z2" s="804"/>
      <c r="AA2" s="804"/>
      <c r="AB2" s="804"/>
      <c r="AC2" s="804"/>
      <c r="AD2" s="804"/>
      <c r="AE2" s="804"/>
      <c r="AF2" s="804"/>
      <c r="AG2" s="804"/>
      <c r="AH2" s="804"/>
      <c r="AI2" s="805"/>
    </row>
    <row r="3" spans="1:36" ht="15.75">
      <c r="A3" s="965" t="s">
        <v>148</v>
      </c>
      <c r="B3" s="966"/>
      <c r="C3" s="966"/>
      <c r="D3" s="966"/>
      <c r="E3" s="966"/>
      <c r="F3" s="966"/>
      <c r="G3" s="966"/>
      <c r="H3" s="966"/>
      <c r="I3" s="966"/>
      <c r="J3" s="966"/>
      <c r="K3" s="966"/>
      <c r="L3" s="966"/>
      <c r="M3" s="966"/>
      <c r="N3" s="966"/>
      <c r="O3" s="966"/>
      <c r="P3" s="966"/>
      <c r="Q3" s="966"/>
      <c r="R3" s="966"/>
      <c r="S3" s="966"/>
      <c r="T3" s="966"/>
      <c r="U3" s="966"/>
      <c r="V3" s="966"/>
      <c r="W3" s="966"/>
      <c r="X3" s="966"/>
      <c r="Y3" s="966"/>
      <c r="Z3" s="966"/>
      <c r="AA3" s="966"/>
      <c r="AB3" s="966"/>
      <c r="AC3" s="966"/>
      <c r="AD3" s="966"/>
      <c r="AE3" s="966"/>
      <c r="AF3" s="966"/>
      <c r="AG3" s="966"/>
      <c r="AH3" s="966"/>
      <c r="AI3" s="967"/>
      <c r="AJ3" s="98"/>
    </row>
    <row r="4" spans="1:36" ht="19.5" customHeight="1" thickBot="1">
      <c r="A4" s="962" t="s">
        <v>149</v>
      </c>
      <c r="B4" s="963"/>
      <c r="C4" s="963"/>
      <c r="D4" s="963"/>
      <c r="E4" s="963"/>
      <c r="F4" s="963"/>
      <c r="G4" s="963"/>
      <c r="H4" s="963"/>
      <c r="I4" s="963"/>
      <c r="J4" s="963"/>
      <c r="K4" s="963"/>
      <c r="L4" s="963"/>
      <c r="M4" s="963"/>
      <c r="N4" s="963"/>
      <c r="O4" s="963"/>
      <c r="P4" s="963"/>
      <c r="Q4" s="963"/>
      <c r="R4" s="963"/>
      <c r="S4" s="963"/>
      <c r="T4" s="963"/>
      <c r="U4" s="963"/>
      <c r="V4" s="963"/>
      <c r="W4" s="963"/>
      <c r="X4" s="963"/>
      <c r="Y4" s="963"/>
      <c r="Z4" s="963"/>
      <c r="AA4" s="963"/>
      <c r="AB4" s="963"/>
      <c r="AC4" s="963"/>
      <c r="AD4" s="963"/>
      <c r="AE4" s="963"/>
      <c r="AF4" s="963"/>
      <c r="AG4" s="963"/>
      <c r="AH4" s="963"/>
      <c r="AI4" s="964"/>
    </row>
    <row r="5" spans="1:36" ht="11.25" customHeight="1" thickBot="1">
      <c r="A5" s="230"/>
      <c r="B5" s="104"/>
      <c r="D5" s="353"/>
      <c r="E5" s="353"/>
      <c r="F5" s="353"/>
      <c r="G5" s="353"/>
      <c r="H5" s="87"/>
      <c r="I5" s="355"/>
      <c r="J5" s="356"/>
      <c r="L5" s="355"/>
      <c r="M5" s="104"/>
      <c r="N5" s="356"/>
      <c r="P5" s="355"/>
      <c r="Q5" s="355"/>
      <c r="R5" s="355"/>
      <c r="S5" s="104"/>
      <c r="U5" s="355"/>
      <c r="V5" s="355"/>
      <c r="W5" s="356"/>
      <c r="X5" s="356"/>
      <c r="Y5" s="356"/>
      <c r="Z5" s="356"/>
      <c r="AA5" s="106"/>
      <c r="AB5" s="106"/>
      <c r="AC5" s="106"/>
      <c r="AD5" s="106"/>
      <c r="AE5" s="104"/>
      <c r="AF5" s="356"/>
      <c r="AH5" s="87"/>
      <c r="AI5" s="403"/>
    </row>
    <row r="6" spans="1:36" ht="9.75" customHeight="1">
      <c r="A6" s="136"/>
      <c r="C6" s="151"/>
      <c r="D6" s="124"/>
      <c r="E6" s="977" t="s">
        <v>155</v>
      </c>
      <c r="F6" s="978"/>
      <c r="G6" s="979"/>
      <c r="H6" s="354"/>
      <c r="I6" s="229"/>
      <c r="J6" s="950" t="s">
        <v>92</v>
      </c>
      <c r="K6" s="951"/>
      <c r="L6" s="952"/>
      <c r="M6" s="357"/>
      <c r="N6" s="229"/>
      <c r="O6" s="360"/>
      <c r="P6" s="360"/>
      <c r="Q6" s="971" t="s">
        <v>93</v>
      </c>
      <c r="R6" s="972"/>
      <c r="S6" s="358"/>
      <c r="T6" s="229"/>
      <c r="U6" s="360"/>
      <c r="V6" s="360"/>
      <c r="W6" s="950" t="s">
        <v>104</v>
      </c>
      <c r="X6" s="951"/>
      <c r="Y6" s="951"/>
      <c r="Z6" s="952"/>
      <c r="AA6" s="396"/>
      <c r="AB6" s="229"/>
      <c r="AC6" s="360"/>
      <c r="AD6" s="943" t="s">
        <v>94</v>
      </c>
      <c r="AE6" s="944"/>
      <c r="AF6" s="945"/>
      <c r="AG6" s="136"/>
      <c r="AH6" s="384"/>
      <c r="AI6" s="404"/>
    </row>
    <row r="7" spans="1:36" ht="15.75" customHeight="1">
      <c r="A7" s="136"/>
      <c r="B7" s="100"/>
      <c r="C7" s="23"/>
      <c r="E7" s="980"/>
      <c r="F7" s="981"/>
      <c r="G7" s="982"/>
      <c r="H7" s="354"/>
      <c r="I7" s="233"/>
      <c r="J7" s="968"/>
      <c r="K7" s="969"/>
      <c r="L7" s="970"/>
      <c r="M7" s="357"/>
      <c r="N7" s="233"/>
      <c r="O7" s="352"/>
      <c r="P7" s="359"/>
      <c r="Q7" s="873"/>
      <c r="R7" s="973"/>
      <c r="S7" s="358"/>
      <c r="T7" s="233"/>
      <c r="U7" s="352"/>
      <c r="V7" s="359"/>
      <c r="W7" s="953"/>
      <c r="X7" s="954"/>
      <c r="Y7" s="954"/>
      <c r="Z7" s="955"/>
      <c r="AA7" s="396"/>
      <c r="AB7" s="233"/>
      <c r="AC7" s="352"/>
      <c r="AD7" s="946"/>
      <c r="AE7" s="947"/>
      <c r="AF7" s="948"/>
      <c r="AG7" s="136"/>
      <c r="AH7" s="384"/>
      <c r="AI7" s="404"/>
    </row>
    <row r="8" spans="1:36" ht="12.75" customHeight="1">
      <c r="A8" s="136"/>
      <c r="B8" s="361"/>
      <c r="C8" s="206"/>
      <c r="E8" s="956">
        <v>64</v>
      </c>
      <c r="F8" s="957"/>
      <c r="G8" s="983"/>
      <c r="H8" s="152"/>
      <c r="I8" s="136"/>
      <c r="J8" s="79"/>
      <c r="K8" s="987">
        <v>16</v>
      </c>
      <c r="L8" s="988"/>
      <c r="M8" s="357"/>
      <c r="N8" s="136"/>
      <c r="O8" s="79"/>
      <c r="P8" s="956">
        <v>10</v>
      </c>
      <c r="Q8" s="957"/>
      <c r="R8" s="958"/>
      <c r="S8" s="358"/>
      <c r="T8" s="136"/>
      <c r="U8" s="79"/>
      <c r="V8" s="956">
        <v>38</v>
      </c>
      <c r="W8" s="957"/>
      <c r="X8" s="957"/>
      <c r="Y8" s="957"/>
      <c r="Z8" s="958"/>
      <c r="AA8" s="397"/>
      <c r="AB8" s="136"/>
      <c r="AC8" s="79"/>
      <c r="AD8" s="956">
        <v>20</v>
      </c>
      <c r="AE8" s="957"/>
      <c r="AF8" s="958"/>
      <c r="AG8" s="136"/>
      <c r="AH8" s="385"/>
      <c r="AI8" s="232"/>
    </row>
    <row r="9" spans="1:36" ht="13.5" customHeight="1" thickBot="1">
      <c r="A9" s="230"/>
      <c r="B9" s="100"/>
      <c r="C9" s="144"/>
      <c r="D9" s="350"/>
      <c r="E9" s="984"/>
      <c r="F9" s="985"/>
      <c r="G9" s="986"/>
      <c r="I9" s="137"/>
      <c r="J9" s="351"/>
      <c r="K9" s="989"/>
      <c r="L9" s="990"/>
      <c r="M9" s="358"/>
      <c r="N9" s="137"/>
      <c r="O9" s="351"/>
      <c r="P9" s="959"/>
      <c r="Q9" s="960"/>
      <c r="R9" s="961"/>
      <c r="S9" s="358"/>
      <c r="T9" s="137"/>
      <c r="U9" s="351"/>
      <c r="V9" s="959"/>
      <c r="W9" s="960"/>
      <c r="X9" s="960"/>
      <c r="Y9" s="960"/>
      <c r="Z9" s="961"/>
      <c r="AA9" s="397"/>
      <c r="AB9" s="137"/>
      <c r="AC9" s="351"/>
      <c r="AD9" s="959"/>
      <c r="AE9" s="960"/>
      <c r="AF9" s="961"/>
      <c r="AG9" s="398"/>
      <c r="AH9" s="385"/>
      <c r="AI9" s="165"/>
    </row>
    <row r="10" spans="1:36" ht="13.5" customHeight="1" thickBot="1">
      <c r="A10" s="136"/>
      <c r="B10" s="103"/>
      <c r="C10" s="107"/>
      <c r="D10" s="106"/>
      <c r="E10" s="433"/>
      <c r="F10" s="433"/>
      <c r="G10" s="433"/>
      <c r="H10" s="82"/>
      <c r="I10" s="164"/>
      <c r="K10" s="432"/>
      <c r="L10" s="432"/>
      <c r="M10" s="80"/>
      <c r="N10" s="431"/>
      <c r="O10" s="164"/>
      <c r="P10" s="429"/>
      <c r="Q10" s="427"/>
      <c r="R10" s="437"/>
      <c r="S10" s="103"/>
      <c r="T10" s="410"/>
      <c r="U10" s="363"/>
      <c r="V10" s="438"/>
      <c r="W10" s="427"/>
      <c r="X10" s="437"/>
      <c r="Y10" s="438"/>
      <c r="Z10" s="438"/>
      <c r="AA10" s="428"/>
      <c r="AB10" s="363"/>
      <c r="AD10" s="438"/>
      <c r="AE10" s="438"/>
      <c r="AF10" s="427"/>
      <c r="AG10" s="90"/>
      <c r="AH10" s="439"/>
      <c r="AI10" s="165"/>
    </row>
    <row r="11" spans="1:36" ht="26.25" customHeight="1" thickBot="1">
      <c r="A11" s="301"/>
      <c r="B11" s="148"/>
      <c r="C11" s="148"/>
      <c r="D11" s="148"/>
      <c r="E11" s="350"/>
      <c r="F11" s="148"/>
      <c r="G11" s="350"/>
      <c r="H11" s="148"/>
      <c r="I11" s="350"/>
      <c r="J11" s="148"/>
      <c r="K11" s="148"/>
      <c r="L11" s="148"/>
      <c r="M11" s="148"/>
      <c r="N11" s="148"/>
      <c r="O11" s="82"/>
      <c r="Q11" s="896" t="s">
        <v>163</v>
      </c>
      <c r="R11" s="897"/>
      <c r="S11" s="897"/>
      <c r="T11" s="897"/>
      <c r="U11" s="897"/>
      <c r="V11" s="897"/>
      <c r="W11" s="897"/>
      <c r="X11" s="897"/>
      <c r="Y11" s="897"/>
      <c r="Z11" s="897"/>
      <c r="AA11" s="897"/>
      <c r="AB11" s="897"/>
      <c r="AC11" s="897"/>
      <c r="AD11" s="897"/>
      <c r="AE11" s="897"/>
      <c r="AF11" s="436">
        <v>2025</v>
      </c>
      <c r="AG11" s="447"/>
      <c r="AH11" s="430"/>
      <c r="AI11" s="404"/>
    </row>
    <row r="12" spans="1:36" ht="15" customHeight="1">
      <c r="A12" s="405"/>
      <c r="B12" s="910" t="s">
        <v>150</v>
      </c>
      <c r="C12" s="911"/>
      <c r="D12" s="911"/>
      <c r="E12" s="912"/>
      <c r="F12" s="900" t="s">
        <v>151</v>
      </c>
      <c r="G12" s="901"/>
      <c r="H12" s="901"/>
      <c r="I12" s="901"/>
      <c r="J12" s="901"/>
      <c r="K12" s="901"/>
      <c r="L12" s="901"/>
      <c r="M12" s="900" t="s">
        <v>88</v>
      </c>
      <c r="N12" s="904"/>
      <c r="O12" s="364"/>
      <c r="P12" s="79"/>
      <c r="Q12" s="434"/>
      <c r="R12" s="435"/>
      <c r="S12" s="425">
        <v>0</v>
      </c>
      <c r="T12" s="426">
        <v>1</v>
      </c>
      <c r="U12" s="426">
        <v>2</v>
      </c>
      <c r="V12" s="425">
        <v>3</v>
      </c>
      <c r="W12" s="426">
        <v>4</v>
      </c>
      <c r="X12" s="426">
        <v>5</v>
      </c>
      <c r="Y12" s="425">
        <v>6</v>
      </c>
      <c r="Z12" s="426">
        <v>7</v>
      </c>
      <c r="AA12" s="426">
        <v>8</v>
      </c>
      <c r="AB12" s="425">
        <v>9</v>
      </c>
      <c r="AC12" s="426">
        <v>10</v>
      </c>
      <c r="AD12" s="426">
        <v>11</v>
      </c>
      <c r="AE12" s="425">
        <v>12</v>
      </c>
      <c r="AF12" s="443">
        <v>13</v>
      </c>
      <c r="AG12" s="412"/>
      <c r="AH12" s="448"/>
      <c r="AI12" s="232"/>
    </row>
    <row r="13" spans="1:36" ht="15.75" customHeight="1" thickBot="1">
      <c r="A13" s="230"/>
      <c r="B13" s="913"/>
      <c r="C13" s="914"/>
      <c r="D13" s="914"/>
      <c r="E13" s="915"/>
      <c r="F13" s="902"/>
      <c r="G13" s="903"/>
      <c r="H13" s="903"/>
      <c r="I13" s="903"/>
      <c r="J13" s="903"/>
      <c r="K13" s="903"/>
      <c r="L13" s="903"/>
      <c r="M13" s="905"/>
      <c r="N13" s="906"/>
      <c r="O13" s="364"/>
      <c r="P13" s="79"/>
      <c r="Q13" s="419"/>
      <c r="R13" s="409"/>
      <c r="S13" s="424">
        <f>IF(INT($J$18*14/64 - S$12) = 0,$J$18, INT($J$18*14/64 - S$12))</f>
        <v>5</v>
      </c>
      <c r="T13" s="424">
        <f t="shared" ref="T13:AF13" si="0">IF(INT($J$18*14/64 - T$12) = 0,$J$18, INT($J$18*14/64 - T$12))</f>
        <v>4</v>
      </c>
      <c r="U13" s="424">
        <f t="shared" si="0"/>
        <v>3</v>
      </c>
      <c r="V13" s="424">
        <f t="shared" si="0"/>
        <v>2</v>
      </c>
      <c r="W13" s="424">
        <f t="shared" si="0"/>
        <v>1</v>
      </c>
      <c r="X13" s="424">
        <f t="shared" si="0"/>
        <v>25</v>
      </c>
      <c r="Y13" s="424">
        <f t="shared" si="0"/>
        <v>-1</v>
      </c>
      <c r="Z13" s="424">
        <f t="shared" si="0"/>
        <v>-2</v>
      </c>
      <c r="AA13" s="424">
        <f t="shared" si="0"/>
        <v>-3</v>
      </c>
      <c r="AB13" s="424">
        <f t="shared" si="0"/>
        <v>-4</v>
      </c>
      <c r="AC13" s="424">
        <f t="shared" si="0"/>
        <v>-5</v>
      </c>
      <c r="AD13" s="424">
        <f t="shared" si="0"/>
        <v>-6</v>
      </c>
      <c r="AE13" s="424">
        <f t="shared" si="0"/>
        <v>-7</v>
      </c>
      <c r="AF13" s="442">
        <f t="shared" si="0"/>
        <v>-8</v>
      </c>
      <c r="AG13" s="409"/>
      <c r="AH13" s="448"/>
      <c r="AI13" s="404"/>
    </row>
    <row r="14" spans="1:36" ht="13.5" customHeight="1">
      <c r="A14" s="405"/>
      <c r="B14" s="913"/>
      <c r="C14" s="914"/>
      <c r="D14" s="914"/>
      <c r="E14" s="915"/>
      <c r="F14" s="919" t="s">
        <v>152</v>
      </c>
      <c r="G14" s="920"/>
      <c r="H14" s="923" t="s">
        <v>153</v>
      </c>
      <c r="I14" s="924"/>
      <c r="J14" s="927" t="s">
        <v>154</v>
      </c>
      <c r="K14" s="928"/>
      <c r="L14" s="928"/>
      <c r="M14" s="905"/>
      <c r="N14" s="906"/>
      <c r="O14" s="364"/>
      <c r="P14" s="79"/>
      <c r="Q14" s="419"/>
      <c r="R14" s="413" t="s">
        <v>104</v>
      </c>
      <c r="S14" s="422">
        <f>IF(INT($H$18*14/64 - S$12) = 0,$H$18, INT($H$18*14/64 - S$12))</f>
        <v>8</v>
      </c>
      <c r="T14" s="422">
        <f t="shared" ref="T14:AF14" si="1">IF(INT($H$18*14/64 - T$12) = 0,$H$18, INT($H$18*14/64 - T$12))</f>
        <v>7</v>
      </c>
      <c r="U14" s="422">
        <f t="shared" si="1"/>
        <v>6</v>
      </c>
      <c r="V14" s="422">
        <f t="shared" si="1"/>
        <v>5</v>
      </c>
      <c r="W14" s="422">
        <f t="shared" si="1"/>
        <v>4</v>
      </c>
      <c r="X14" s="422">
        <f t="shared" si="1"/>
        <v>3</v>
      </c>
      <c r="Y14" s="422">
        <f t="shared" si="1"/>
        <v>2</v>
      </c>
      <c r="Z14" s="422">
        <f t="shared" si="1"/>
        <v>1</v>
      </c>
      <c r="AA14" s="422">
        <f t="shared" si="1"/>
        <v>38</v>
      </c>
      <c r="AB14" s="422">
        <f t="shared" si="1"/>
        <v>-1</v>
      </c>
      <c r="AC14" s="422">
        <f t="shared" si="1"/>
        <v>-2</v>
      </c>
      <c r="AD14" s="422">
        <f t="shared" si="1"/>
        <v>-3</v>
      </c>
      <c r="AE14" s="422">
        <f t="shared" si="1"/>
        <v>-4</v>
      </c>
      <c r="AF14" s="422">
        <f t="shared" si="1"/>
        <v>-5</v>
      </c>
      <c r="AG14" s="409"/>
      <c r="AH14" s="448"/>
      <c r="AI14" s="404"/>
    </row>
    <row r="15" spans="1:36" ht="15" customHeight="1">
      <c r="A15" s="405"/>
      <c r="B15" s="916"/>
      <c r="C15" s="917"/>
      <c r="D15" s="917"/>
      <c r="E15" s="918"/>
      <c r="F15" s="921"/>
      <c r="G15" s="922"/>
      <c r="H15" s="925"/>
      <c r="I15" s="926"/>
      <c r="J15" s="927"/>
      <c r="K15" s="928"/>
      <c r="L15" s="928"/>
      <c r="M15" s="905"/>
      <c r="N15" s="906"/>
      <c r="P15" s="79"/>
      <c r="Q15" s="419"/>
      <c r="R15" s="409"/>
      <c r="S15" s="424">
        <f>IF(INT($F$18*14/64 - S$12) = 0,$F$18, INT($F$18*14/64 - S$12))</f>
        <v>2</v>
      </c>
      <c r="T15" s="424">
        <f t="shared" ref="T15:AF15" si="2">IF(INT($F$18*14/64 - T$12) = 0,$F$18, INT($F$18*14/64 - T$12))</f>
        <v>1</v>
      </c>
      <c r="U15" s="424">
        <f t="shared" si="2"/>
        <v>10</v>
      </c>
      <c r="V15" s="424">
        <f t="shared" si="2"/>
        <v>-1</v>
      </c>
      <c r="W15" s="424">
        <f t="shared" si="2"/>
        <v>-2</v>
      </c>
      <c r="X15" s="424">
        <f t="shared" si="2"/>
        <v>-3</v>
      </c>
      <c r="Y15" s="424">
        <f t="shared" si="2"/>
        <v>-4</v>
      </c>
      <c r="Z15" s="424">
        <f t="shared" si="2"/>
        <v>-5</v>
      </c>
      <c r="AA15" s="424">
        <f t="shared" si="2"/>
        <v>-6</v>
      </c>
      <c r="AB15" s="424">
        <f t="shared" si="2"/>
        <v>-7</v>
      </c>
      <c r="AC15" s="424">
        <f t="shared" si="2"/>
        <v>-8</v>
      </c>
      <c r="AD15" s="424">
        <f t="shared" si="2"/>
        <v>-9</v>
      </c>
      <c r="AE15" s="424">
        <f t="shared" si="2"/>
        <v>-10</v>
      </c>
      <c r="AF15" s="442">
        <f t="shared" si="2"/>
        <v>-11</v>
      </c>
      <c r="AG15" s="409"/>
      <c r="AH15" s="448"/>
      <c r="AI15" s="232"/>
    </row>
    <row r="16" spans="1:36" ht="15.75">
      <c r="A16" s="230"/>
      <c r="B16" s="907" t="s">
        <v>92</v>
      </c>
      <c r="C16" s="908"/>
      <c r="D16" s="908"/>
      <c r="E16" s="908"/>
      <c r="F16" s="795">
        <v>2</v>
      </c>
      <c r="G16" s="795"/>
      <c r="H16" s="795">
        <v>14</v>
      </c>
      <c r="I16" s="795"/>
      <c r="J16" s="795">
        <v>0</v>
      </c>
      <c r="K16" s="795"/>
      <c r="L16" s="795"/>
      <c r="M16" s="795">
        <v>16</v>
      </c>
      <c r="N16" s="909"/>
      <c r="O16" s="364"/>
      <c r="P16" s="79"/>
      <c r="Q16" s="419"/>
      <c r="R16" s="409"/>
      <c r="S16" s="414"/>
      <c r="T16" s="409"/>
      <c r="U16" s="409"/>
      <c r="V16" s="409"/>
      <c r="W16" s="415"/>
      <c r="X16" s="409"/>
      <c r="Y16" s="409"/>
      <c r="Z16" s="409"/>
      <c r="AA16" s="409"/>
      <c r="AB16" s="409"/>
      <c r="AC16" s="409"/>
      <c r="AD16" s="409"/>
      <c r="AE16" s="409"/>
      <c r="AF16" s="441"/>
      <c r="AG16" s="409"/>
      <c r="AH16" s="448"/>
      <c r="AI16" s="404"/>
    </row>
    <row r="17" spans="1:36" ht="15.75">
      <c r="A17" s="405"/>
      <c r="B17" s="907" t="s">
        <v>93</v>
      </c>
      <c r="C17" s="908"/>
      <c r="D17" s="908"/>
      <c r="E17" s="908"/>
      <c r="F17" s="795">
        <v>0</v>
      </c>
      <c r="G17" s="795"/>
      <c r="H17" s="795">
        <v>10</v>
      </c>
      <c r="I17" s="795"/>
      <c r="J17" s="795">
        <v>0</v>
      </c>
      <c r="K17" s="795"/>
      <c r="L17" s="795"/>
      <c r="M17" s="795">
        <v>10</v>
      </c>
      <c r="N17" s="909"/>
      <c r="O17" s="116"/>
      <c r="P17" s="79"/>
      <c r="Q17" s="416"/>
      <c r="R17" s="421"/>
      <c r="S17" s="424">
        <f>IF(INT($J$17*14/64 - S$12) = 0,$J$17, INT($J$17*14/64 - S$12))</f>
        <v>0</v>
      </c>
      <c r="T17" s="424">
        <f t="shared" ref="T17:AF17" si="3">IF(INT($J$17*14/64 - T$12) = 0,$J$17, INT($J$17*14/64 - T$12))</f>
        <v>-1</v>
      </c>
      <c r="U17" s="424">
        <f t="shared" si="3"/>
        <v>-2</v>
      </c>
      <c r="V17" s="424">
        <f t="shared" si="3"/>
        <v>-3</v>
      </c>
      <c r="W17" s="424">
        <f t="shared" si="3"/>
        <v>-4</v>
      </c>
      <c r="X17" s="424">
        <f t="shared" si="3"/>
        <v>-5</v>
      </c>
      <c r="Y17" s="424">
        <f t="shared" si="3"/>
        <v>-6</v>
      </c>
      <c r="Z17" s="424">
        <f t="shared" si="3"/>
        <v>-7</v>
      </c>
      <c r="AA17" s="424">
        <f t="shared" si="3"/>
        <v>-8</v>
      </c>
      <c r="AB17" s="424">
        <f t="shared" si="3"/>
        <v>-9</v>
      </c>
      <c r="AC17" s="424">
        <f t="shared" si="3"/>
        <v>-10</v>
      </c>
      <c r="AD17" s="424">
        <f t="shared" si="3"/>
        <v>-11</v>
      </c>
      <c r="AE17" s="424">
        <f t="shared" si="3"/>
        <v>-12</v>
      </c>
      <c r="AF17" s="442">
        <f t="shared" si="3"/>
        <v>-13</v>
      </c>
      <c r="AG17" s="409"/>
      <c r="AH17" s="448"/>
      <c r="AI17" s="232"/>
    </row>
    <row r="18" spans="1:36" ht="16.5" thickBot="1">
      <c r="A18" s="230"/>
      <c r="B18" s="991" t="s">
        <v>104</v>
      </c>
      <c r="C18" s="992"/>
      <c r="D18" s="992"/>
      <c r="E18" s="992"/>
      <c r="F18" s="898">
        <v>10</v>
      </c>
      <c r="G18" s="898"/>
      <c r="H18" s="898">
        <v>38</v>
      </c>
      <c r="I18" s="898"/>
      <c r="J18" s="974">
        <v>25</v>
      </c>
      <c r="K18" s="975"/>
      <c r="L18" s="976"/>
      <c r="M18" s="898">
        <v>38</v>
      </c>
      <c r="N18" s="899"/>
      <c r="O18" s="155"/>
      <c r="P18" s="81"/>
      <c r="Q18" s="419"/>
      <c r="R18" s="420" t="s">
        <v>93</v>
      </c>
      <c r="S18" s="422">
        <f>IF(INT($H$17*14/64 - S$12) = 0,$H$17, INT($H$17*14/64 - S$12))</f>
        <v>2</v>
      </c>
      <c r="T18" s="422">
        <f t="shared" ref="T18:AF18" si="4">IF(INT($H$17*14/64 - T$12) = 0,$H$17, INT($H$17*14/64 - T$12))</f>
        <v>1</v>
      </c>
      <c r="U18" s="422">
        <f t="shared" si="4"/>
        <v>10</v>
      </c>
      <c r="V18" s="422">
        <f t="shared" si="4"/>
        <v>-1</v>
      </c>
      <c r="W18" s="422">
        <f t="shared" si="4"/>
        <v>-2</v>
      </c>
      <c r="X18" s="422">
        <f t="shared" si="4"/>
        <v>-3</v>
      </c>
      <c r="Y18" s="422">
        <f t="shared" si="4"/>
        <v>-4</v>
      </c>
      <c r="Z18" s="422">
        <f t="shared" si="4"/>
        <v>-5</v>
      </c>
      <c r="AA18" s="422">
        <f t="shared" si="4"/>
        <v>-6</v>
      </c>
      <c r="AB18" s="422">
        <f t="shared" si="4"/>
        <v>-7</v>
      </c>
      <c r="AC18" s="422">
        <f t="shared" si="4"/>
        <v>-8</v>
      </c>
      <c r="AD18" s="422">
        <f t="shared" si="4"/>
        <v>-9</v>
      </c>
      <c r="AE18" s="422">
        <f t="shared" si="4"/>
        <v>-10</v>
      </c>
      <c r="AF18" s="422">
        <f t="shared" si="4"/>
        <v>-11</v>
      </c>
      <c r="AG18" s="409"/>
      <c r="AH18" s="448"/>
      <c r="AI18" s="232"/>
    </row>
    <row r="19" spans="1:36" ht="14.25" customHeight="1">
      <c r="A19" s="233"/>
      <c r="B19" s="125"/>
      <c r="C19" s="362"/>
      <c r="D19" s="362"/>
      <c r="E19" s="362"/>
      <c r="F19" s="107"/>
      <c r="G19" s="107"/>
      <c r="I19" s="362"/>
      <c r="J19" s="107"/>
      <c r="K19" s="362"/>
      <c r="L19" s="362"/>
      <c r="M19" s="107"/>
      <c r="N19" s="124"/>
      <c r="O19" s="82"/>
      <c r="P19" s="79"/>
      <c r="Q19" s="419"/>
      <c r="R19" s="10"/>
      <c r="S19" s="424">
        <f>IF(INT($F$17*14/64 - S$12) = 0,$F$17, INT($F$17*14/64 - S$12))</f>
        <v>0</v>
      </c>
      <c r="T19" s="424">
        <f t="shared" ref="T19:AF19" si="5">IF(INT($F$17*14/64 - T$12) = 0,$F$17, INT($F$17*14/64 - T$12))</f>
        <v>-1</v>
      </c>
      <c r="U19" s="424">
        <f t="shared" si="5"/>
        <v>-2</v>
      </c>
      <c r="V19" s="424">
        <f t="shared" si="5"/>
        <v>-3</v>
      </c>
      <c r="W19" s="424">
        <f t="shared" si="5"/>
        <v>-4</v>
      </c>
      <c r="X19" s="424">
        <f t="shared" si="5"/>
        <v>-5</v>
      </c>
      <c r="Y19" s="424">
        <f t="shared" si="5"/>
        <v>-6</v>
      </c>
      <c r="Z19" s="424">
        <f t="shared" si="5"/>
        <v>-7</v>
      </c>
      <c r="AA19" s="424">
        <f t="shared" si="5"/>
        <v>-8</v>
      </c>
      <c r="AB19" s="424">
        <f t="shared" si="5"/>
        <v>-9</v>
      </c>
      <c r="AC19" s="424">
        <f t="shared" si="5"/>
        <v>-10</v>
      </c>
      <c r="AD19" s="424">
        <f t="shared" si="5"/>
        <v>-11</v>
      </c>
      <c r="AE19" s="424">
        <f t="shared" si="5"/>
        <v>-12</v>
      </c>
      <c r="AF19" s="442">
        <f t="shared" si="5"/>
        <v>-13</v>
      </c>
      <c r="AG19" s="409"/>
      <c r="AH19" s="448"/>
      <c r="AI19" s="404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6"/>
      <c r="R20" s="10"/>
      <c r="S20" s="409"/>
      <c r="T20" s="409"/>
      <c r="U20" s="409"/>
      <c r="V20" s="409"/>
      <c r="W20" s="409"/>
      <c r="X20" s="409"/>
      <c r="Y20" s="409"/>
      <c r="Z20" s="409"/>
      <c r="AA20" s="409"/>
      <c r="AB20" s="409"/>
      <c r="AC20" s="409"/>
      <c r="AD20" s="409"/>
      <c r="AE20" s="409"/>
      <c r="AF20" s="441"/>
      <c r="AG20" s="409"/>
      <c r="AH20" s="448"/>
      <c r="AI20" s="406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18"/>
      <c r="R21" s="408"/>
      <c r="S21" s="423">
        <f>IF(INT($J$16*14/64 - S$12) = 0,$J$16, INT($J$16*14/64 - S$12))</f>
        <v>0</v>
      </c>
      <c r="T21" s="423">
        <f t="shared" ref="T21:AF21" si="6">IF(INT($J$16*14/64 - T$12) = 0,$J$16, INT($J$16*14/64 - T$12))</f>
        <v>-1</v>
      </c>
      <c r="U21" s="423">
        <f t="shared" si="6"/>
        <v>-2</v>
      </c>
      <c r="V21" s="423">
        <f t="shared" si="6"/>
        <v>-3</v>
      </c>
      <c r="W21" s="423">
        <f t="shared" si="6"/>
        <v>-4</v>
      </c>
      <c r="X21" s="423">
        <f t="shared" si="6"/>
        <v>-5</v>
      </c>
      <c r="Y21" s="423">
        <f t="shared" si="6"/>
        <v>-6</v>
      </c>
      <c r="Z21" s="423">
        <f t="shared" si="6"/>
        <v>-7</v>
      </c>
      <c r="AA21" s="423">
        <f t="shared" si="6"/>
        <v>-8</v>
      </c>
      <c r="AB21" s="423">
        <f t="shared" si="6"/>
        <v>-9</v>
      </c>
      <c r="AC21" s="423">
        <f t="shared" si="6"/>
        <v>-10</v>
      </c>
      <c r="AD21" s="423">
        <f t="shared" si="6"/>
        <v>-11</v>
      </c>
      <c r="AE21" s="423">
        <f t="shared" si="6"/>
        <v>-12</v>
      </c>
      <c r="AF21" s="444">
        <f t="shared" si="6"/>
        <v>-13</v>
      </c>
      <c r="AG21" s="409"/>
      <c r="AH21" s="448"/>
      <c r="AI21" s="349"/>
    </row>
    <row r="22" spans="1:36" ht="15.75">
      <c r="A22" s="302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19"/>
      <c r="R22" s="420" t="s">
        <v>92</v>
      </c>
      <c r="S22" s="422">
        <f>IF(INT($H$16*14/64 - S$12) = 0,$H$16, INT($H$16*14/64 - S$12))</f>
        <v>3</v>
      </c>
      <c r="T22" s="422">
        <f t="shared" ref="T22:AF22" si="7">IF(INT($H$16*14/64 - T$12) = 0,$H$16, INT($H$16*14/64 - T$12))</f>
        <v>2</v>
      </c>
      <c r="U22" s="422">
        <f t="shared" si="7"/>
        <v>1</v>
      </c>
      <c r="V22" s="422">
        <f t="shared" si="7"/>
        <v>14</v>
      </c>
      <c r="W22" s="422">
        <f t="shared" si="7"/>
        <v>-1</v>
      </c>
      <c r="X22" s="422">
        <f t="shared" si="7"/>
        <v>-2</v>
      </c>
      <c r="Y22" s="422">
        <f t="shared" si="7"/>
        <v>-3</v>
      </c>
      <c r="Z22" s="422">
        <f t="shared" si="7"/>
        <v>-4</v>
      </c>
      <c r="AA22" s="422">
        <f t="shared" si="7"/>
        <v>-5</v>
      </c>
      <c r="AB22" s="422">
        <f t="shared" si="7"/>
        <v>-6</v>
      </c>
      <c r="AC22" s="422">
        <f t="shared" si="7"/>
        <v>-7</v>
      </c>
      <c r="AD22" s="422">
        <f t="shared" si="7"/>
        <v>-8</v>
      </c>
      <c r="AE22" s="422">
        <f t="shared" si="7"/>
        <v>-9</v>
      </c>
      <c r="AF22" s="422">
        <f t="shared" si="7"/>
        <v>-10</v>
      </c>
      <c r="AG22" s="409"/>
      <c r="AH22" s="448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19"/>
      <c r="R23" s="409"/>
      <c r="S23" s="424">
        <f>IF(INT($F$16*14/64 - S$12) = 0,$F$16, INT($F$16*14/64 - S$12))</f>
        <v>2</v>
      </c>
      <c r="T23" s="424">
        <f t="shared" ref="T23:AF23" si="8">IF(INT($F$16*14/64 - T$12) = 0,$F$16, INT($F$16*14/64 - T$12))</f>
        <v>-1</v>
      </c>
      <c r="U23" s="424">
        <f t="shared" si="8"/>
        <v>-2</v>
      </c>
      <c r="V23" s="424">
        <f t="shared" si="8"/>
        <v>-3</v>
      </c>
      <c r="W23" s="424">
        <f t="shared" si="8"/>
        <v>-4</v>
      </c>
      <c r="X23" s="424">
        <f t="shared" si="8"/>
        <v>-5</v>
      </c>
      <c r="Y23" s="424">
        <f t="shared" si="8"/>
        <v>-6</v>
      </c>
      <c r="Z23" s="424">
        <f t="shared" si="8"/>
        <v>-7</v>
      </c>
      <c r="AA23" s="424">
        <f t="shared" si="8"/>
        <v>-8</v>
      </c>
      <c r="AB23" s="424">
        <f t="shared" si="8"/>
        <v>-9</v>
      </c>
      <c r="AC23" s="424">
        <f t="shared" si="8"/>
        <v>-10</v>
      </c>
      <c r="AD23" s="424">
        <f t="shared" si="8"/>
        <v>-11</v>
      </c>
      <c r="AE23" s="424">
        <f t="shared" si="8"/>
        <v>-12</v>
      </c>
      <c r="AF23" s="424">
        <f t="shared" si="8"/>
        <v>-13</v>
      </c>
      <c r="AG23" s="409"/>
      <c r="AH23" s="448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19"/>
      <c r="R24" s="409"/>
      <c r="S24" s="446"/>
      <c r="T24" s="446"/>
      <c r="U24" s="446"/>
      <c r="V24" s="446"/>
      <c r="W24" s="446"/>
      <c r="X24" s="446"/>
      <c r="Y24" s="446"/>
      <c r="Z24" s="446"/>
      <c r="AA24" s="446"/>
      <c r="AB24" s="446"/>
      <c r="AC24" s="446"/>
      <c r="AD24" s="446"/>
      <c r="AE24" s="446"/>
      <c r="AF24" s="414"/>
      <c r="AG24" s="409"/>
      <c r="AH24" s="448"/>
      <c r="AI24" s="404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0"/>
      <c r="R25" s="417"/>
      <c r="S25" s="417"/>
      <c r="T25" s="417"/>
      <c r="U25" s="417"/>
      <c r="V25" s="417"/>
      <c r="W25" s="417"/>
      <c r="X25" s="417"/>
      <c r="Y25" s="417"/>
      <c r="Z25" s="417"/>
      <c r="AA25" s="417"/>
      <c r="AB25" s="417"/>
      <c r="AC25" s="417"/>
      <c r="AD25" s="417"/>
      <c r="AE25" s="417"/>
      <c r="AF25" s="445"/>
      <c r="AG25" s="449"/>
      <c r="AH25" s="450"/>
      <c r="AI25" s="404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5"/>
      <c r="S26" s="395"/>
      <c r="T26" s="395"/>
      <c r="U26" s="395"/>
      <c r="V26" s="395"/>
      <c r="W26" s="411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0"/>
      <c r="Q27" s="932" t="s">
        <v>157</v>
      </c>
      <c r="R27" s="933"/>
      <c r="S27" s="933"/>
      <c r="T27" s="933"/>
      <c r="U27" s="933"/>
      <c r="V27" s="933"/>
      <c r="W27" s="934"/>
      <c r="X27" s="394"/>
      <c r="Y27" s="386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2"/>
      <c r="R28" s="393"/>
      <c r="S28" s="391"/>
      <c r="T28" s="392"/>
      <c r="U28" s="226"/>
      <c r="V28" s="392"/>
      <c r="W28" s="392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399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7"/>
      <c r="R29" s="193"/>
      <c r="S29" s="193"/>
      <c r="T29" s="937" t="s">
        <v>156</v>
      </c>
      <c r="U29" s="938"/>
      <c r="V29" s="939"/>
      <c r="W29" s="400"/>
      <c r="X29" s="387"/>
      <c r="Y29" s="193"/>
      <c r="Z29" s="387"/>
      <c r="AA29" s="226"/>
      <c r="AB29" s="193"/>
      <c r="AC29" s="387"/>
      <c r="AD29" s="226"/>
      <c r="AE29" s="387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35" t="s">
        <v>50</v>
      </c>
      <c r="R30" s="936"/>
      <c r="S30" s="936"/>
      <c r="T30" s="940"/>
      <c r="U30" s="941"/>
      <c r="V30" s="942"/>
      <c r="W30" s="935" t="s">
        <v>51</v>
      </c>
      <c r="X30" s="936"/>
      <c r="Y30" s="936"/>
      <c r="Z30" s="1015" t="s">
        <v>52</v>
      </c>
      <c r="AA30" s="936"/>
      <c r="AB30" s="1024"/>
      <c r="AC30" s="1015" t="s">
        <v>53</v>
      </c>
      <c r="AD30" s="936"/>
      <c r="AE30" s="1016"/>
      <c r="AF30" s="388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62"/>
      <c r="R31" s="1063"/>
      <c r="S31" s="1064"/>
      <c r="T31" s="1065"/>
      <c r="U31" s="1066"/>
      <c r="V31" s="1067"/>
      <c r="W31" s="1051"/>
      <c r="X31" s="1052"/>
      <c r="Y31" s="1052"/>
      <c r="Z31" s="1017"/>
      <c r="AA31" s="1018"/>
      <c r="AB31" s="1025"/>
      <c r="AC31" s="1017"/>
      <c r="AD31" s="1018"/>
      <c r="AE31" s="1019"/>
      <c r="AF31" s="389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1002"/>
      <c r="R32" s="1003"/>
      <c r="S32" s="1004"/>
      <c r="T32" s="1012"/>
      <c r="U32" s="1013"/>
      <c r="V32" s="1014"/>
      <c r="W32" s="1010"/>
      <c r="X32" s="1011"/>
      <c r="Y32" s="1011"/>
      <c r="Z32" s="1020"/>
      <c r="AA32" s="1021"/>
      <c r="AB32" s="1026"/>
      <c r="AC32" s="1020"/>
      <c r="AD32" s="1021"/>
      <c r="AE32" s="1022"/>
      <c r="AF32" s="80"/>
      <c r="AG32" s="82"/>
      <c r="AH32" s="82"/>
      <c r="AI32" s="165"/>
    </row>
    <row r="33" spans="1:35" ht="19.5" thickBot="1">
      <c r="A33" s="230"/>
      <c r="B33" s="1031" t="s">
        <v>158</v>
      </c>
      <c r="C33" s="1032"/>
      <c r="D33" s="1032"/>
      <c r="E33" s="1033"/>
      <c r="F33" s="1078" t="s">
        <v>159</v>
      </c>
      <c r="G33" s="1079"/>
      <c r="H33" s="1079"/>
      <c r="I33" s="1079"/>
      <c r="J33" s="1079"/>
      <c r="K33" s="1079"/>
      <c r="L33" s="1080"/>
      <c r="M33" s="1031" t="s">
        <v>88</v>
      </c>
      <c r="N33" s="1033"/>
      <c r="O33" s="78"/>
      <c r="P33" s="103"/>
      <c r="Q33" s="1002"/>
      <c r="R33" s="1003"/>
      <c r="S33" s="1004"/>
      <c r="T33" s="1012"/>
      <c r="U33" s="1013"/>
      <c r="V33" s="1014"/>
      <c r="W33" s="1010"/>
      <c r="X33" s="1011"/>
      <c r="Y33" s="1011"/>
      <c r="Z33" s="1020"/>
      <c r="AA33" s="1021"/>
      <c r="AB33" s="1026"/>
      <c r="AC33" s="1020"/>
      <c r="AD33" s="1021"/>
      <c r="AE33" s="1022"/>
      <c r="AF33" s="80"/>
      <c r="AG33" s="82"/>
      <c r="AH33" s="82"/>
      <c r="AI33" s="165"/>
    </row>
    <row r="34" spans="1:35" ht="30.75" customHeight="1" thickBot="1">
      <c r="A34" s="233"/>
      <c r="B34" s="1034"/>
      <c r="C34" s="1035"/>
      <c r="D34" s="1035"/>
      <c r="E34" s="1036"/>
      <c r="F34" s="1037" t="s">
        <v>160</v>
      </c>
      <c r="G34" s="1038"/>
      <c r="H34" s="1039"/>
      <c r="I34" s="1040" t="s">
        <v>161</v>
      </c>
      <c r="J34" s="1041"/>
      <c r="K34" s="1076" t="s">
        <v>162</v>
      </c>
      <c r="L34" s="1077"/>
      <c r="M34" s="1034"/>
      <c r="N34" s="1036"/>
      <c r="O34" s="78"/>
      <c r="P34" s="103"/>
      <c r="Q34" s="1002"/>
      <c r="R34" s="1003"/>
      <c r="S34" s="1004"/>
      <c r="T34" s="1012"/>
      <c r="U34" s="1013"/>
      <c r="V34" s="1014"/>
      <c r="W34" s="1010"/>
      <c r="X34" s="1011"/>
      <c r="Y34" s="1011"/>
      <c r="Z34" s="1020"/>
      <c r="AA34" s="1021"/>
      <c r="AB34" s="1026"/>
      <c r="AC34" s="1020"/>
      <c r="AD34" s="1021"/>
      <c r="AE34" s="1022"/>
      <c r="AF34" s="80"/>
      <c r="AG34" s="82"/>
      <c r="AH34" s="82"/>
      <c r="AI34" s="165"/>
    </row>
    <row r="35" spans="1:35" ht="22.5" customHeight="1">
      <c r="A35" s="407"/>
      <c r="B35" s="1050" t="s">
        <v>94</v>
      </c>
      <c r="C35" s="1050"/>
      <c r="D35" s="1050"/>
      <c r="E35" s="1050"/>
      <c r="F35" s="1050">
        <v>4</v>
      </c>
      <c r="G35" s="1050"/>
      <c r="H35" s="1050"/>
      <c r="I35" s="1050">
        <v>10</v>
      </c>
      <c r="J35" s="1050"/>
      <c r="K35" s="1050">
        <v>0</v>
      </c>
      <c r="L35" s="1050"/>
      <c r="M35" s="1050">
        <v>20</v>
      </c>
      <c r="N35" s="1050"/>
      <c r="O35" s="83"/>
      <c r="P35" s="79"/>
      <c r="Q35" s="999"/>
      <c r="R35" s="1000"/>
      <c r="S35" s="1001"/>
      <c r="T35" s="1005"/>
      <c r="U35" s="1006"/>
      <c r="V35" s="1007"/>
      <c r="W35" s="1008"/>
      <c r="X35" s="1009"/>
      <c r="Y35" s="1009"/>
      <c r="Z35" s="993"/>
      <c r="AA35" s="994"/>
      <c r="AB35" s="1023"/>
      <c r="AC35" s="993"/>
      <c r="AD35" s="994"/>
      <c r="AE35" s="995"/>
      <c r="AF35" s="80"/>
      <c r="AG35" s="82"/>
      <c r="AH35" s="82"/>
      <c r="AI35" s="165"/>
    </row>
    <row r="36" spans="1:35">
      <c r="A36" s="398"/>
      <c r="C36" s="401"/>
      <c r="E36" s="401"/>
      <c r="F36" s="401"/>
      <c r="H36" s="401"/>
      <c r="I36" s="401"/>
      <c r="K36" s="401"/>
      <c r="L36" s="402"/>
      <c r="M36" s="402"/>
      <c r="N36" s="401"/>
      <c r="O36" s="90"/>
      <c r="Q36" s="999"/>
      <c r="R36" s="1000"/>
      <c r="S36" s="1001"/>
      <c r="T36" s="1005"/>
      <c r="U36" s="1006"/>
      <c r="V36" s="1007"/>
      <c r="W36" s="1008"/>
      <c r="X36" s="1009"/>
      <c r="Y36" s="1009"/>
      <c r="Z36" s="993"/>
      <c r="AA36" s="994"/>
      <c r="AB36" s="1023"/>
      <c r="AC36" s="993"/>
      <c r="AD36" s="994"/>
      <c r="AE36" s="995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9"/>
      <c r="R37" s="1000"/>
      <c r="S37" s="1001"/>
      <c r="T37" s="1005"/>
      <c r="U37" s="1006"/>
      <c r="V37" s="1007"/>
      <c r="W37" s="1008"/>
      <c r="X37" s="1009"/>
      <c r="Y37" s="1009"/>
      <c r="Z37" s="993"/>
      <c r="AA37" s="994"/>
      <c r="AB37" s="1023"/>
      <c r="AC37" s="993"/>
      <c r="AD37" s="994"/>
      <c r="AE37" s="995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9"/>
      <c r="R38" s="1000"/>
      <c r="S38" s="1001"/>
      <c r="T38" s="1005"/>
      <c r="U38" s="1006"/>
      <c r="V38" s="1007"/>
      <c r="W38" s="1008"/>
      <c r="X38" s="1009"/>
      <c r="Y38" s="1009"/>
      <c r="Z38" s="993"/>
      <c r="AA38" s="994"/>
      <c r="AB38" s="1023"/>
      <c r="AC38" s="993"/>
      <c r="AD38" s="994"/>
      <c r="AE38" s="995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9"/>
      <c r="R39" s="1000"/>
      <c r="S39" s="1001"/>
      <c r="T39" s="1005"/>
      <c r="U39" s="1006"/>
      <c r="V39" s="1007"/>
      <c r="W39" s="1008"/>
      <c r="X39" s="1009"/>
      <c r="Y39" s="1009"/>
      <c r="Z39" s="993"/>
      <c r="AA39" s="994"/>
      <c r="AB39" s="1023"/>
      <c r="AC39" s="993"/>
      <c r="AD39" s="994"/>
      <c r="AE39" s="995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9"/>
      <c r="R40" s="1000"/>
      <c r="S40" s="1001"/>
      <c r="T40" s="1005"/>
      <c r="U40" s="1006"/>
      <c r="V40" s="1007"/>
      <c r="W40" s="1008"/>
      <c r="X40" s="1009"/>
      <c r="Y40" s="1009"/>
      <c r="Z40" s="993"/>
      <c r="AA40" s="994"/>
      <c r="AB40" s="1023"/>
      <c r="AC40" s="993"/>
      <c r="AD40" s="994"/>
      <c r="AE40" s="995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1002"/>
      <c r="R41" s="1003"/>
      <c r="S41" s="1004"/>
      <c r="T41" s="1012"/>
      <c r="U41" s="1013"/>
      <c r="V41" s="1014"/>
      <c r="W41" s="1010"/>
      <c r="X41" s="1011"/>
      <c r="Y41" s="1011"/>
      <c r="Z41" s="1020"/>
      <c r="AA41" s="1021"/>
      <c r="AB41" s="1026"/>
      <c r="AC41" s="1020"/>
      <c r="AD41" s="1021"/>
      <c r="AE41" s="1022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1002"/>
      <c r="R42" s="1003"/>
      <c r="S42" s="1004"/>
      <c r="T42" s="1012"/>
      <c r="U42" s="1013"/>
      <c r="V42" s="1014"/>
      <c r="W42" s="1010"/>
      <c r="X42" s="1011"/>
      <c r="Y42" s="1011"/>
      <c r="Z42" s="1020"/>
      <c r="AA42" s="1021"/>
      <c r="AB42" s="1026"/>
      <c r="AC42" s="1020"/>
      <c r="AD42" s="1021"/>
      <c r="AE42" s="1022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96"/>
      <c r="R43" s="997"/>
      <c r="S43" s="998"/>
      <c r="T43" s="1005"/>
      <c r="U43" s="1006"/>
      <c r="V43" s="1007"/>
      <c r="W43" s="1008"/>
      <c r="X43" s="1009"/>
      <c r="Y43" s="1009"/>
      <c r="Z43" s="993"/>
      <c r="AA43" s="994"/>
      <c r="AB43" s="1023"/>
      <c r="AC43" s="993"/>
      <c r="AD43" s="994"/>
      <c r="AE43" s="995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96"/>
      <c r="R44" s="997"/>
      <c r="S44" s="998"/>
      <c r="T44" s="1005"/>
      <c r="U44" s="1006"/>
      <c r="V44" s="1007"/>
      <c r="W44" s="1008"/>
      <c r="X44" s="1009"/>
      <c r="Y44" s="1009"/>
      <c r="Z44" s="993"/>
      <c r="AA44" s="994"/>
      <c r="AB44" s="1023"/>
      <c r="AC44" s="993"/>
      <c r="AD44" s="994"/>
      <c r="AE44" s="995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71"/>
      <c r="R45" s="1072"/>
      <c r="S45" s="1073"/>
      <c r="T45" s="1059"/>
      <c r="U45" s="1060"/>
      <c r="V45" s="1061"/>
      <c r="W45" s="1048"/>
      <c r="X45" s="1049"/>
      <c r="Y45" s="1049"/>
      <c r="Z45" s="1042"/>
      <c r="AA45" s="1043"/>
      <c r="AB45" s="1047"/>
      <c r="AC45" s="1042"/>
      <c r="AD45" s="1043"/>
      <c r="AE45" s="1044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74"/>
      <c r="R46" s="1075"/>
      <c r="S46" s="1075"/>
      <c r="T46" s="1058"/>
      <c r="U46" s="1058"/>
      <c r="V46" s="1058"/>
      <c r="W46" s="1045"/>
      <c r="X46" s="1045"/>
      <c r="Y46" s="1045"/>
      <c r="Z46" s="1045"/>
      <c r="AA46" s="1045"/>
      <c r="AB46" s="1045"/>
      <c r="AC46" s="1045"/>
      <c r="AD46" s="1045"/>
      <c r="AE46" s="1046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68"/>
      <c r="R47" s="1069"/>
      <c r="S47" s="1070"/>
      <c r="T47" s="1053"/>
      <c r="U47" s="1054"/>
      <c r="V47" s="1055"/>
      <c r="W47" s="1056"/>
      <c r="X47" s="1057"/>
      <c r="Y47" s="1057"/>
      <c r="Z47" s="1027"/>
      <c r="AA47" s="1028"/>
      <c r="AB47" s="1029"/>
      <c r="AC47" s="1027"/>
      <c r="AD47" s="1028"/>
      <c r="AE47" s="1030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1"/>
      <c r="B3" s="453"/>
      <c r="C3" s="342"/>
      <c r="D3" s="342"/>
    </row>
    <row r="4" spans="1:4" ht="27.75" customHeight="1">
      <c r="A4" s="341"/>
      <c r="B4" s="453"/>
      <c r="C4" s="342"/>
      <c r="D4" s="342"/>
    </row>
    <row r="5" spans="1:4" ht="26.25" customHeight="1">
      <c r="A5" s="341"/>
      <c r="B5" s="453"/>
      <c r="C5" s="342"/>
      <c r="D5" s="342"/>
    </row>
    <row r="6" spans="1:4" ht="24" customHeight="1">
      <c r="A6" s="341"/>
      <c r="B6" s="453"/>
      <c r="C6" s="342"/>
      <c r="D6" s="342"/>
    </row>
    <row r="7" spans="1:4" ht="27.75" customHeight="1">
      <c r="A7" s="341"/>
      <c r="B7" s="453"/>
      <c r="C7" s="342"/>
      <c r="D7" s="342"/>
    </row>
    <row r="8" spans="1:4" ht="27.75" customHeight="1">
      <c r="A8" s="341"/>
      <c r="B8" s="453"/>
      <c r="C8" s="342"/>
      <c r="D8" s="342"/>
    </row>
    <row r="9" spans="1:4" ht="24.75" customHeight="1">
      <c r="A9" s="341"/>
      <c r="B9" s="453"/>
      <c r="C9" s="342"/>
      <c r="D9" s="342"/>
    </row>
    <row r="10" spans="1:4" ht="33.75" customHeight="1">
      <c r="A10" s="341"/>
      <c r="B10" s="340"/>
      <c r="C10" s="342"/>
      <c r="D10" s="342"/>
    </row>
    <row r="11" spans="1:4" ht="14.25" customHeight="1">
      <c r="A11" s="341"/>
      <c r="B11" s="453"/>
      <c r="C11" s="342"/>
      <c r="D11" s="342"/>
    </row>
    <row r="12" spans="1:4">
      <c r="A12" s="341"/>
      <c r="B12" s="453"/>
      <c r="C12" s="342"/>
      <c r="D12" s="342"/>
    </row>
    <row r="13" spans="1:4">
      <c r="A13" s="341"/>
      <c r="B13" s="453"/>
      <c r="C13" s="342"/>
      <c r="D13" s="342"/>
    </row>
    <row r="14" spans="1:4">
      <c r="A14" s="451"/>
      <c r="B14" s="455"/>
      <c r="C14" s="452"/>
      <c r="D14" s="452"/>
    </row>
    <row r="15" spans="1:4">
      <c r="A15" s="456"/>
      <c r="B15" s="454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Props1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2025-07-28T21:54:28Z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