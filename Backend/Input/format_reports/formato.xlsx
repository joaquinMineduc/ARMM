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filterPrivacy="1" hidePivotFieldList="1" defaultThemeVersion="124226"/>
  <xr:revisionPtr revIDLastSave="0" documentId="13_ncr:1_{933F256E-C509-4681-8CE2-31BAAEB0C6A3}" xr6:coauthVersionLast="47" xr6:coauthVersionMax="47" xr10:uidLastSave="{00000000-0000-0000-0000-000000000000}"/>
  <bookViews>
    <workbookView xWindow="20370" yWindow="-120" windowWidth="29040" windowHeight="15720" tabRatio="733" firstSheet="4" activeTab="7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Gestión de riesgos" sheetId="48" r:id="rId10"/>
    <sheet name="data_riesgos" sheetId="49" state="hidden" r:id="rId11"/>
    <sheet name="programas sociales" sheetId="50" r:id="rId12"/>
    <sheet name="datos_graficos" sheetId="51" state="hidden" r:id="rId13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7">'Ev Proveedores'!$B$2:$O$34</definedName>
    <definedName name="_xlnm.Print_Area" localSheetId="9">'Gestión de riesgos'!$A$1:$AA$48</definedName>
    <definedName name="_xlnm.Print_Area" localSheetId="0">Portada!$B$1:$J$21</definedName>
    <definedName name="_xlnm.Print_Area" localSheetId="11">'programas sociales'!$A$1:$P$27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32" l="1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H27" i="50"/>
  <c r="H23" i="50"/>
  <c r="F23" i="50"/>
  <c r="D25" i="35"/>
  <c r="D14" i="35"/>
  <c r="D12" i="35"/>
  <c r="D11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D52" i="33"/>
  <c r="D48" i="33"/>
  <c r="R10" i="35"/>
  <c r="D13" i="35" s="1"/>
  <c r="R11" i="35"/>
  <c r="R12" i="35"/>
  <c r="R13" i="35"/>
  <c r="D26" i="35"/>
  <c r="D54" i="33"/>
  <c r="D51" i="33"/>
  <c r="D50" i="33"/>
  <c r="D53" i="33"/>
  <c r="D49" i="33"/>
  <c r="D45" i="33"/>
  <c r="D44" i="33"/>
  <c r="D43" i="33"/>
  <c r="D42" i="33"/>
  <c r="D41" i="33"/>
  <c r="D46" i="33"/>
  <c r="D38" i="33"/>
  <c r="D37" i="33"/>
  <c r="D36" i="33"/>
  <c r="D35" i="33"/>
  <c r="D39" i="33"/>
  <c r="D33" i="33"/>
  <c r="D32" i="33"/>
  <c r="D31" i="33"/>
  <c r="D30" i="33"/>
  <c r="D29" i="33"/>
  <c r="D28" i="33"/>
  <c r="D27" i="33"/>
  <c r="D26" i="33"/>
  <c r="D22" i="33"/>
  <c r="D21" i="33"/>
  <c r="D20" i="33"/>
  <c r="D23" i="33"/>
  <c r="D24" i="33"/>
  <c r="D18" i="33"/>
  <c r="D15" i="33"/>
  <c r="D17" i="33"/>
  <c r="D16" i="33"/>
  <c r="D13" i="33"/>
  <c r="D10" i="33"/>
  <c r="D12" i="33"/>
  <c r="D11" i="33"/>
  <c r="D9" i="33"/>
  <c r="D8" i="33"/>
  <c r="D7" i="33"/>
  <c r="D3" i="33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5" i="33"/>
  <c r="O14" i="35"/>
  <c r="D28" i="35"/>
  <c r="D27" i="35"/>
  <c r="M14" i="35"/>
  <c r="K14" i="35"/>
  <c r="O45" i="48" l="1"/>
  <c r="R14" i="35"/>
  <c r="D15" i="35" s="1"/>
  <c r="D29" i="35"/>
  <c r="D4" i="33" l="1"/>
</calcChain>
</file>

<file path=xl/sharedStrings.xml><?xml version="1.0" encoding="utf-8"?>
<sst xmlns="http://schemas.openxmlformats.org/spreadsheetml/2006/main" count="271" uniqueCount="235">
  <si>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</si>
  <si>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</si>
  <si>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</si>
  <si>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</si>
  <si>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</si>
  <si>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</si>
  <si>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</si>
  <si>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</si>
  <si>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</si>
  <si>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</si>
  <si>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</si>
  <si>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</si>
  <si>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</si>
  <si>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</si>
  <si>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</si>
  <si>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</si>
  <si>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</si>
  <si>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</si>
  <si>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</si>
  <si>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</si>
  <si>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</si>
  <si>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</si>
  <si>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</si>
  <si>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</si>
  <si>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</si>
  <si>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</si>
  <si>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</si>
  <si>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</si>
  <si>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</si>
  <si>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</si>
  <si>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</si>
  <si>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</si>
  <si>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</si>
  <si>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</si>
  <si>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</si>
  <si>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</si>
  <si>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</si>
  <si>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</si>
  <si>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</si>
  <si>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</si>
  <si>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</si>
  <si>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</si>
  <si>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</si>
  <si>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</si>
  <si>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</si>
  <si>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PMG: Medidas de Equidad de Género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</si>
  <si>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</si>
  <si>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</si>
  <si>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</si>
  <si>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</si>
  <si>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</si>
  <si>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Kit material Educación No Sexista</t>
  </si>
  <si>
    <t>H: Servicio de conectividad a internet</t>
  </si>
  <si>
    <t>H: Sesión de tutoria de cupos</t>
  </si>
  <si>
    <t>CDC: Formación inicial docente</t>
  </si>
  <si>
    <t>CDC: Diseño de ofertas formativas</t>
  </si>
  <si>
    <t>CDC: Diseño de modelos de inducción docente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</si>
  <si>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</si>
  <si>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</si>
  <si>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</si>
  <si>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</si>
  <si>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>H: Acompañamiento EE con subvención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</si>
  <si>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</si>
  <si>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</si>
  <si>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</si>
  <si>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</si>
  <si>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</si>
  <si>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</si>
  <si>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</si>
  <si>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</si>
  <si>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</si>
  <si>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</si>
  <si>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</si>
  <si>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</si>
  <si>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</si>
  <si>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</si>
  <si>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</si>
  <si>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</si>
  <si>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</si>
  <si>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</si>
  <si>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</si>
  <si>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</si>
  <si>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</si>
  <si>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</si>
  <si>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</si>
  <si>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</si>
  <si>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</si>
  <si>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</si>
  <si>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</si>
  <si>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OCTUBRE 2024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</si>
  <si>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</si>
  <si>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</si>
  <si>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</si>
  <si>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</si>
  <si>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</si>
  <si>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</si>
  <si>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</si>
  <si>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</si>
  <si>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</si>
  <si>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</si>
  <si>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</si>
  <si>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</si>
  <si>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</si>
  <si>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</si>
  <si>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</si>
  <si>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</si>
  <si>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</si>
  <si>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</si>
  <si>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</si>
  <si>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</si>
  <si>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</si>
  <si>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</si>
  <si>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</si>
  <si>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</si>
  <si>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</si>
  <si>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</si>
  <si>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</si>
  <si>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</si>
  <si>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</si>
  <si>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</si>
  <si>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</si>
  <si>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Convenios Alta Dirección Pública</t>
  </si>
  <si>
    <t>Hitos ADP ocurridos al {31 de octubre}</t>
  </si>
  <si>
    <t>El cumplimiento de los hitos está normado por la ley 19.882 e instructivo del Servicio Civil (SC)</t>
  </si>
  <si>
    <t>Acum oct - 24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</si>
  <si>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</si>
  <si>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</si>
  <si>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</si>
  <si>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</si>
  <si>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 xml:space="preserve"> - JUNAEB:</t>
  </si>
  <si>
    <t xml:space="preserve"> - CRUCH:</t>
  </si>
  <si>
    <t xml:space="preserve"> - Agencia de Calidad(ACE):</t>
  </si>
  <si>
    <t xml:space="preserve"> - DEP</t>
  </si>
  <si>
    <t xml:space="preserve"> - Super intendencia de Educación:</t>
  </si>
  <si>
    <t xml:space="preserve"> - JUNJI:</t>
  </si>
  <si>
    <t xml:space="preserve"> - Super intendencia de Educación Superior: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</si>
  <si>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</si>
  <si>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</si>
  <si>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</si>
  <si>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</si>
  <si>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</si>
  <si>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</si>
  <si>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</si>
  <si>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</si>
  <si>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</si>
  <si>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</si>
  <si>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</si>
  <si>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</si>
  <si>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</si>
  <si>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</si>
  <si>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</si>
  <si>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</si>
  <si>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</si>
  <si>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</si>
  <si>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</si>
  <si>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</si>
  <si>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</si>
  <si>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</si>
  <si>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</si>
  <si>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</si>
  <si>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</si>
  <si>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</si>
  <si>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</si>
  <si>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</si>
  <si>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</si>
  <si>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</si>
  <si>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</si>
  <si>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</si>
  <si>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</si>
  <si>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</si>
  <si>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</si>
  <si>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</si>
  <si>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</si>
  <si>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</si>
  <si>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</si>
  <si>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</si>
  <si>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</si>
  <si>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</si>
  <si>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</si>
  <si>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</si>
  <si>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</si>
  <si>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</si>
  <si>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</si>
  <si>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>ENERO 2025</t>
  </si>
  <si>
    <t xml:space="preserve">NIVEL CENTRAL: ESTADO DE RIESGO INDICADORES POR CR AL CIERRE DE </t>
  </si>
  <si>
    <t>POR INSTRUMENTO DE GESTIÓN</t>
  </si>
  <si>
    <t>OCTUBRE - 2024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</si>
  <si>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</si>
  <si>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</si>
  <si>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</si>
  <si>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</si>
  <si>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</si>
  <si>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</si>
  <si>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Monitoreo</t>
  </si>
  <si>
    <t>PROGRAMA</t>
  </si>
  <si>
    <t>CATEGORÍA</t>
  </si>
  <si>
    <t>Total programas</t>
  </si>
  <si>
    <t>Fecha</t>
  </si>
  <si>
    <t>FECHA</t>
  </si>
  <si>
    <t>EVENTO</t>
  </si>
  <si>
    <t>POSICIÓN</t>
  </si>
  <si>
    <t>EJE</t>
  </si>
  <si>
    <t xml:space="preserve">Reporte mensual de avance de indicadores </t>
  </si>
  <si>
    <t>Cierre Octubre</t>
  </si>
  <si>
    <t>Departamento de Planificación y Control de Gestión</t>
  </si>
  <si>
    <t>División de Planificación y Presupuesto</t>
  </si>
  <si>
    <t>Subsecretaría de Educación</t>
  </si>
  <si>
    <t>Junta Nacional de Auxilio Escolar y Becas</t>
  </si>
  <si>
    <t>Junta Nacional de Jardines Infantiles</t>
  </si>
  <si>
    <t>Dirección de Educación Pública</t>
  </si>
  <si>
    <t>Subsecretaria de Educación</t>
  </si>
  <si>
    <t>Subsecretaría Educación Parvularia</t>
  </si>
  <si>
    <t>Subsecretaría Educación Superior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</si>
  <si>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</si>
  <si>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</si>
  <si>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</si>
  <si>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</si>
  <si>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</si>
  <si>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</si>
  <si>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</si>
  <si>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</si>
  <si>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</si>
  <si>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</si>
  <si>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</si>
  <si>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</si>
  <si>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NÚMERO DE PROGRAMAS 2024</t>
  </si>
  <si>
    <t>Total Ex - ante</t>
  </si>
  <si>
    <t>Leyenda:</t>
  </si>
  <si>
    <r>
      <t xml:space="preserve">BP: </t>
    </r>
    <r>
      <rPr>
        <sz val="24"/>
        <color theme="3"/>
        <rFont val="Calibri"/>
        <family val="2"/>
        <scheme val="minor"/>
      </rPr>
      <t>Baja del Proceso</t>
    </r>
  </si>
  <si>
    <r>
      <rPr>
        <b/>
        <sz val="24"/>
        <color theme="3"/>
        <rFont val="Calibri"/>
        <family val="2"/>
        <scheme val="minor"/>
      </rPr>
      <t xml:space="preserve">RF: </t>
    </r>
    <r>
      <rPr>
        <sz val="24"/>
        <color theme="3"/>
        <rFont val="Calibri"/>
        <family val="2"/>
        <scheme val="minor"/>
      </rPr>
      <t>Recomendación Favorable</t>
    </r>
  </si>
  <si>
    <t xml:space="preserve">RESULTADO EX ANTE 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</si>
  <si>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</si>
  <si>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</si>
  <si>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</si>
  <si>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OCTUBRE-2025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</si>
</sst>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6"/>
      <color rgb="FF00808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sz val="14"/>
      <color rgb="FF000000"/>
      <name val="Aptos Narrow"/>
      <family val="2"/>
    </font>
    <font>
      <sz val="14"/>
      <name val="Aptos Narrow"/>
      <family val="2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3"/>
      <name val="Calibri"/>
      <family val="2"/>
      <scheme val="minor"/>
    </font>
    <font>
      <b/>
      <sz val="26"/>
      <color theme="3"/>
      <name val="Calibri"/>
      <family val="2"/>
      <scheme val="minor"/>
    </font>
    <font>
      <sz val="24"/>
      <color theme="3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002060"/>
        <bgColor theme="7"/>
      </patternFill>
    </fill>
  </fills>
  <borders count="2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FF0000"/>
      </right>
      <top style="thin">
        <color theme="0"/>
      </top>
      <bottom style="thin">
        <color theme="0"/>
      </bottom>
      <diagonal/>
    </border>
    <border>
      <left/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/>
      <top style="medium">
        <color rgb="FFFF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thin">
        <color theme="0"/>
      </right>
      <top/>
      <bottom/>
      <diagonal/>
    </border>
    <border>
      <left style="thin">
        <color theme="0"/>
      </left>
      <right style="medium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rgb="FFFF0000"/>
      </left>
      <right style="medium">
        <color rgb="FFFF000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/>
      <right style="thin">
        <color auto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auto="1"/>
      </top>
      <bottom style="thin">
        <color auto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/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/>
      <top/>
      <bottom style="medium">
        <color theme="0"/>
      </bottom>
      <diagonal/>
    </border>
    <border>
      <left/>
      <right style="thin">
        <color indexed="64"/>
      </right>
      <top style="thin">
        <color theme="1"/>
      </top>
      <bottom style="thin">
        <color auto="1"/>
      </bottom>
      <diagonal/>
    </border>
    <border>
      <left style="medium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/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theme="0"/>
      </left>
      <right style="medium">
        <color theme="0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1"/>
      </top>
      <bottom style="thin">
        <color theme="0"/>
      </bottom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0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8" fillId="0" borderId="0" xfId="0" applyFont="1"/>
    <xf numFmtId="165" fontId="9" fillId="0" borderId="0" xfId="0" applyNumberFormat="1" applyFont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165" fontId="11" fillId="0" borderId="0" xfId="0" applyNumberFormat="1" applyFont="1"/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/>
    </xf>
    <xf numFmtId="0" fontId="30" fillId="8" borderId="65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/>
    </xf>
    <xf numFmtId="0" fontId="30" fillId="9" borderId="65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6" xfId="0" applyBorder="1"/>
    <xf numFmtId="0" fontId="33" fillId="0" borderId="66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7" xfId="0" applyBorder="1"/>
    <xf numFmtId="0" fontId="0" fillId="0" borderId="68" xfId="0" applyBorder="1"/>
    <xf numFmtId="0" fontId="0" fillId="0" borderId="49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72" xfId="0" applyBorder="1"/>
    <xf numFmtId="0" fontId="0" fillId="0" borderId="59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0" fillId="0" borderId="50" xfId="0" applyBorder="1"/>
    <xf numFmtId="0" fontId="0" fillId="0" borderId="55" xfId="0" applyBorder="1"/>
    <xf numFmtId="0" fontId="0" fillId="0" borderId="76" xfId="0" applyBorder="1"/>
    <xf numFmtId="0" fontId="0" fillId="0" borderId="77" xfId="0" applyBorder="1"/>
    <xf numFmtId="0" fontId="24" fillId="0" borderId="66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0" fillId="0" borderId="76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9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6" xfId="0" applyFont="1" applyBorder="1" applyAlignment="1">
      <alignment horizontal="left" vertical="center"/>
    </xf>
    <xf numFmtId="0" fontId="0" fillId="0" borderId="80" xfId="0" applyBorder="1"/>
    <xf numFmtId="0" fontId="0" fillId="0" borderId="81" xfId="0" applyBorder="1"/>
    <xf numFmtId="0" fontId="0" fillId="0" borderId="82" xfId="0" applyBorder="1"/>
    <xf numFmtId="0" fontId="0" fillId="0" borderId="83" xfId="0" applyBorder="1"/>
    <xf numFmtId="0" fontId="0" fillId="0" borderId="84" xfId="0" applyBorder="1"/>
    <xf numFmtId="0" fontId="0" fillId="0" borderId="48" xfId="0" applyBorder="1" applyAlignment="1">
      <alignment vertical="center" wrapText="1"/>
    </xf>
    <xf numFmtId="0" fontId="0" fillId="0" borderId="85" xfId="0" applyBorder="1"/>
    <xf numFmtId="0" fontId="0" fillId="0" borderId="86" xfId="0" applyBorder="1"/>
    <xf numFmtId="0" fontId="41" fillId="0" borderId="88" xfId="0" applyFont="1" applyBorder="1"/>
    <xf numFmtId="0" fontId="10" fillId="0" borderId="89" xfId="0" applyFont="1" applyBorder="1"/>
    <xf numFmtId="0" fontId="10" fillId="0" borderId="90" xfId="0" applyFont="1" applyBorder="1"/>
    <xf numFmtId="0" fontId="10" fillId="0" borderId="88" xfId="0" applyFont="1" applyBorder="1"/>
    <xf numFmtId="0" fontId="10" fillId="0" borderId="91" xfId="0" applyFont="1" applyBorder="1"/>
    <xf numFmtId="0" fontId="10" fillId="0" borderId="92" xfId="0" applyFont="1" applyBorder="1"/>
    <xf numFmtId="0" fontId="0" fillId="0" borderId="54" xfId="0" applyBorder="1" applyAlignment="1">
      <alignment horizontal="center"/>
    </xf>
    <xf numFmtId="0" fontId="0" fillId="0" borderId="95" xfId="0" applyBorder="1"/>
    <xf numFmtId="0" fontId="40" fillId="0" borderId="59" xfId="0" applyFont="1" applyBorder="1" applyAlignment="1">
      <alignment vertical="center"/>
    </xf>
    <xf numFmtId="0" fontId="38" fillId="4" borderId="96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/>
    </xf>
    <xf numFmtId="0" fontId="43" fillId="12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0" fillId="0" borderId="98" xfId="0" applyBorder="1"/>
    <xf numFmtId="0" fontId="0" fillId="0" borderId="100" xfId="0" applyBorder="1"/>
    <xf numFmtId="0" fontId="0" fillId="0" borderId="102" xfId="0" applyBorder="1"/>
    <xf numFmtId="0" fontId="0" fillId="0" borderId="103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107" xfId="0" applyBorder="1"/>
    <xf numFmtId="0" fontId="0" fillId="0" borderId="108" xfId="0" applyBorder="1"/>
    <xf numFmtId="0" fontId="0" fillId="0" borderId="109" xfId="0" applyBorder="1"/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14" xfId="0" applyBorder="1"/>
    <xf numFmtId="0" fontId="0" fillId="0" borderId="105" xfId="0" applyBorder="1"/>
    <xf numFmtId="0" fontId="0" fillId="0" borderId="115" xfId="0" applyBorder="1"/>
    <xf numFmtId="0" fontId="0" fillId="0" borderId="118" xfId="0" applyBorder="1"/>
    <xf numFmtId="0" fontId="0" fillId="0" borderId="119" xfId="0" applyBorder="1"/>
    <xf numFmtId="0" fontId="0" fillId="0" borderId="122" xfId="0" applyBorder="1"/>
    <xf numFmtId="0" fontId="43" fillId="12" borderId="33" xfId="0" applyFont="1" applyFill="1" applyBorder="1" applyAlignment="1">
      <alignment horizontal="center" vertical="center"/>
    </xf>
    <xf numFmtId="0" fontId="43" fillId="12" borderId="34" xfId="0" applyFont="1" applyFill="1" applyBorder="1" applyAlignment="1">
      <alignment horizontal="center" vertical="center"/>
    </xf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2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3" xfId="0" applyBorder="1"/>
    <xf numFmtId="0" fontId="0" fillId="0" borderId="101" xfId="0" applyBorder="1"/>
    <xf numFmtId="0" fontId="0" fillId="0" borderId="134" xfId="0" applyBorder="1"/>
    <xf numFmtId="0" fontId="0" fillId="0" borderId="141" xfId="0" applyBorder="1"/>
    <xf numFmtId="0" fontId="0" fillId="13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46" xfId="0" applyBorder="1"/>
    <xf numFmtId="0" fontId="0" fillId="0" borderId="147" xfId="0" applyBorder="1"/>
    <xf numFmtId="0" fontId="3" fillId="0" borderId="80" xfId="0" applyFont="1" applyBorder="1" applyAlignment="1">
      <alignment vertical="center"/>
    </xf>
    <xf numFmtId="0" fontId="25" fillId="0" borderId="151" xfId="0" applyFont="1" applyBorder="1" applyAlignment="1">
      <alignment vertical="top" wrapText="1"/>
    </xf>
    <xf numFmtId="17" fontId="26" fillId="0" borderId="151" xfId="0" applyNumberFormat="1" applyFont="1" applyBorder="1" applyAlignment="1">
      <alignment vertical="top" wrapText="1"/>
    </xf>
    <xf numFmtId="0" fontId="0" fillId="0" borderId="152" xfId="0" applyBorder="1"/>
    <xf numFmtId="0" fontId="44" fillId="0" borderId="6" xfId="0" applyFont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/>
    </xf>
    <xf numFmtId="0" fontId="43" fillId="12" borderId="156" xfId="0" applyFont="1" applyFill="1" applyBorder="1" applyAlignment="1">
      <alignment horizontal="center" vertical="center" wrapText="1"/>
    </xf>
    <xf numFmtId="0" fontId="43" fillId="12" borderId="157" xfId="0" applyFont="1" applyFill="1" applyBorder="1" applyAlignment="1">
      <alignment horizontal="center" vertical="center"/>
    </xf>
    <xf numFmtId="0" fontId="0" fillId="0" borderId="158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56" xfId="0" applyFont="1" applyBorder="1" applyAlignment="1">
      <alignment horizontal="center" vertical="center"/>
    </xf>
    <xf numFmtId="0" fontId="44" fillId="0" borderId="164" xfId="0" applyFont="1" applyBorder="1" applyAlignment="1">
      <alignment horizontal="center" vertical="center"/>
    </xf>
    <xf numFmtId="0" fontId="43" fillId="12" borderId="165" xfId="0" applyFont="1" applyFill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66" xfId="0" applyFont="1" applyBorder="1" applyAlignment="1">
      <alignment horizontal="left" vertical="center"/>
    </xf>
    <xf numFmtId="0" fontId="44" fillId="0" borderId="167" xfId="0" applyFont="1" applyBorder="1" applyAlignment="1">
      <alignment horizontal="left" vertical="center"/>
    </xf>
    <xf numFmtId="0" fontId="44" fillId="0" borderId="168" xfId="0" applyFont="1" applyBorder="1" applyAlignment="1">
      <alignment horizontal="left" vertical="center"/>
    </xf>
    <xf numFmtId="0" fontId="44" fillId="0" borderId="106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96" xfId="0" applyBorder="1"/>
    <xf numFmtId="0" fontId="0" fillId="0" borderId="34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53" fillId="15" borderId="176" xfId="0" applyFont="1" applyFill="1" applyBorder="1" applyAlignment="1">
      <alignment horizontal="center" vertical="center"/>
    </xf>
    <xf numFmtId="0" fontId="44" fillId="0" borderId="159" xfId="0" applyFont="1" applyBorder="1" applyAlignment="1">
      <alignment horizontal="center" vertical="center"/>
    </xf>
    <xf numFmtId="0" fontId="44" fillId="0" borderId="160" xfId="0" applyFont="1" applyBorder="1" applyAlignment="1">
      <alignment horizontal="center" vertical="center"/>
    </xf>
    <xf numFmtId="0" fontId="44" fillId="0" borderId="157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top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4" borderId="177" xfId="0" applyFont="1" applyFill="1" applyBorder="1" applyAlignment="1">
      <alignment horizontal="center" vertical="center" wrapText="1"/>
    </xf>
    <xf numFmtId="0" fontId="38" fillId="4" borderId="178" xfId="0" applyFont="1" applyFill="1" applyBorder="1" applyAlignment="1">
      <alignment horizontal="center" vertical="center" wrapText="1"/>
    </xf>
    <xf numFmtId="0" fontId="38" fillId="4" borderId="179" xfId="0" applyFont="1" applyFill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0" fillId="0" borderId="180" xfId="0" applyBorder="1"/>
    <xf numFmtId="0" fontId="7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54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6" xfId="0" applyFont="1" applyBorder="1" applyAlignment="1">
      <alignment horizontal="center" vertical="center"/>
    </xf>
    <xf numFmtId="0" fontId="0" fillId="0" borderId="189" xfId="0" applyBorder="1"/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/>
    </xf>
    <xf numFmtId="0" fontId="19" fillId="0" borderId="181" xfId="0" applyFont="1" applyBorder="1" applyAlignment="1">
      <alignment horizontal="center" vertical="center" wrapText="1"/>
    </xf>
    <xf numFmtId="0" fontId="19" fillId="0" borderId="182" xfId="0" applyFont="1" applyBorder="1" applyAlignment="1">
      <alignment horizontal="center" vertical="center" wrapText="1"/>
    </xf>
    <xf numFmtId="0" fontId="19" fillId="0" borderId="183" xfId="0" applyFont="1" applyBorder="1" applyAlignment="1">
      <alignment horizontal="center" vertical="center" wrapText="1"/>
    </xf>
    <xf numFmtId="0" fontId="19" fillId="0" borderId="106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19" fillId="0" borderId="184" xfId="0" applyFont="1" applyBorder="1" applyAlignment="1">
      <alignment horizontal="center" vertical="center" wrapText="1"/>
    </xf>
    <xf numFmtId="0" fontId="19" fillId="0" borderId="185" xfId="0" applyFont="1" applyBorder="1" applyAlignment="1">
      <alignment horizontal="center" vertical="center" wrapText="1"/>
    </xf>
    <xf numFmtId="0" fontId="65" fillId="0" borderId="24" xfId="0" applyFont="1" applyBorder="1" applyAlignment="1">
      <alignment horizontal="right" vertical="center"/>
    </xf>
    <xf numFmtId="0" fontId="66" fillId="18" borderId="1" xfId="0" applyFont="1" applyFill="1" applyBorder="1" applyAlignment="1">
      <alignment horizontal="center"/>
    </xf>
    <xf numFmtId="0" fontId="66" fillId="18" borderId="1" xfId="0" applyFont="1" applyFill="1" applyBorder="1" applyAlignment="1">
      <alignment horizontal="center" vertical="center"/>
    </xf>
    <xf numFmtId="0" fontId="69" fillId="0" borderId="63" xfId="0" applyFont="1" applyBorder="1" applyAlignment="1">
      <alignment horizontal="center" vertical="center"/>
    </xf>
    <xf numFmtId="0" fontId="69" fillId="0" borderId="33" xfId="0" applyFont="1" applyBorder="1" applyAlignment="1">
      <alignment horizontal="center" vertical="center"/>
    </xf>
    <xf numFmtId="0" fontId="69" fillId="0" borderId="35" xfId="0" applyFont="1" applyBorder="1" applyAlignment="1">
      <alignment horizontal="center" vertical="center" wrapText="1"/>
    </xf>
    <xf numFmtId="0" fontId="69" fillId="0" borderId="6" xfId="0" applyFont="1" applyBorder="1" applyAlignment="1">
      <alignment horizontal="center" vertical="center"/>
    </xf>
    <xf numFmtId="0" fontId="69" fillId="0" borderId="45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69" fillId="0" borderId="34" xfId="0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37" xfId="0" applyFont="1" applyBorder="1" applyAlignment="1">
      <alignment horizontal="center" vertical="center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71" fillId="0" borderId="46" xfId="0" applyFont="1" applyBorder="1"/>
    <xf numFmtId="0" fontId="71" fillId="0" borderId="46" xfId="0" applyFont="1" applyBorder="1" applyAlignment="1">
      <alignment vertical="center"/>
    </xf>
    <xf numFmtId="0" fontId="72" fillId="0" borderId="46" xfId="0" applyFont="1" applyBorder="1" applyAlignment="1">
      <alignment vertical="center" wrapText="1"/>
    </xf>
    <xf numFmtId="0" fontId="72" fillId="0" borderId="46" xfId="0" applyFont="1" applyBorder="1" applyAlignment="1">
      <alignment horizontal="right" vertical="top" wrapText="1"/>
    </xf>
    <xf numFmtId="0" fontId="70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61" xfId="0" applyBorder="1"/>
    <xf numFmtId="0" fontId="0" fillId="0" borderId="193" xfId="0" applyBorder="1"/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vertical="center"/>
    </xf>
    <xf numFmtId="0" fontId="64" fillId="0" borderId="102" xfId="0" applyFont="1" applyBorder="1" applyAlignment="1">
      <alignment horizontal="right" vertical="center"/>
    </xf>
    <xf numFmtId="0" fontId="65" fillId="0" borderId="103" xfId="0" applyFont="1" applyBorder="1" applyAlignment="1">
      <alignment vertical="center"/>
    </xf>
    <xf numFmtId="0" fontId="0" fillId="0" borderId="99" xfId="0" applyBorder="1"/>
    <xf numFmtId="0" fontId="0" fillId="0" borderId="207" xfId="0" applyBorder="1"/>
    <xf numFmtId="0" fontId="0" fillId="0" borderId="196" xfId="0" applyBorder="1"/>
    <xf numFmtId="0" fontId="0" fillId="0" borderId="144" xfId="0" applyBorder="1"/>
    <xf numFmtId="0" fontId="0" fillId="0" borderId="138" xfId="0" applyBorder="1" applyAlignment="1">
      <alignment horizontal="right"/>
    </xf>
    <xf numFmtId="0" fontId="67" fillId="0" borderId="100" xfId="0" applyFont="1" applyBorder="1" applyAlignment="1">
      <alignment horizontal="right"/>
    </xf>
    <xf numFmtId="0" fontId="0" fillId="0" borderId="208" xfId="0" applyBorder="1" applyAlignment="1">
      <alignment vertical="center"/>
    </xf>
    <xf numFmtId="0" fontId="65" fillId="0" borderId="203" xfId="0" applyFont="1" applyBorder="1" applyAlignment="1">
      <alignment horizontal="center" vertical="center"/>
    </xf>
    <xf numFmtId="0" fontId="65" fillId="0" borderId="205" xfId="0" applyFont="1" applyBorder="1" applyAlignment="1">
      <alignment horizontal="right"/>
    </xf>
    <xf numFmtId="16" fontId="65" fillId="0" borderId="205" xfId="0" applyNumberFormat="1" applyFont="1" applyBorder="1" applyAlignment="1">
      <alignment horizontal="right" vertical="center"/>
    </xf>
    <xf numFmtId="0" fontId="68" fillId="0" borderId="98" xfId="0" applyFont="1" applyBorder="1" applyAlignment="1">
      <alignment horizontal="right"/>
    </xf>
    <xf numFmtId="16" fontId="65" fillId="0" borderId="103" xfId="0" applyNumberFormat="1" applyFont="1" applyBorder="1" applyAlignment="1">
      <alignment horizontal="right" vertical="center"/>
    </xf>
    <xf numFmtId="0" fontId="0" fillId="0" borderId="206" xfId="0" applyBorder="1"/>
    <xf numFmtId="0" fontId="0" fillId="0" borderId="206" xfId="0" applyBorder="1" applyAlignment="1">
      <alignment horizontal="center"/>
    </xf>
    <xf numFmtId="0" fontId="0" fillId="0" borderId="209" xfId="0" applyBorder="1"/>
    <xf numFmtId="0" fontId="19" fillId="0" borderId="211" xfId="0" applyFont="1" applyBorder="1" applyAlignment="1">
      <alignment horizontal="center" vertical="center" wrapText="1"/>
    </xf>
    <xf numFmtId="0" fontId="19" fillId="0" borderId="213" xfId="0" applyFont="1" applyBorder="1" applyAlignment="1">
      <alignment horizontal="center" vertical="center" wrapText="1"/>
    </xf>
    <xf numFmtId="0" fontId="0" fillId="0" borderId="194" xfId="0" applyBorder="1"/>
    <xf numFmtId="0" fontId="0" fillId="0" borderId="214" xfId="0" applyBorder="1"/>
    <xf numFmtId="0" fontId="0" fillId="0" borderId="215" xfId="0" applyBorder="1"/>
    <xf numFmtId="0" fontId="0" fillId="0" borderId="216" xfId="0" applyBorder="1"/>
    <xf numFmtId="0" fontId="0" fillId="0" borderId="210" xfId="0" applyBorder="1"/>
    <xf numFmtId="0" fontId="0" fillId="0" borderId="217" xfId="0" applyBorder="1"/>
    <xf numFmtId="0" fontId="73" fillId="0" borderId="163" xfId="0" applyFont="1" applyBorder="1" applyAlignment="1">
      <alignment horizontal="center" vertical="center"/>
    </xf>
    <xf numFmtId="0" fontId="74" fillId="0" borderId="101" xfId="0" applyFont="1" applyBorder="1" applyAlignment="1">
      <alignment horizontal="center" vertical="top"/>
    </xf>
    <xf numFmtId="0" fontId="75" fillId="0" borderId="221" xfId="0" applyFont="1" applyBorder="1" applyAlignment="1">
      <alignment horizontal="center" vertical="center" wrapText="1"/>
    </xf>
    <xf numFmtId="0" fontId="75" fillId="0" borderId="222" xfId="0" applyFont="1" applyBorder="1" applyAlignment="1">
      <alignment horizontal="center" vertical="center" wrapText="1"/>
    </xf>
    <xf numFmtId="0" fontId="76" fillId="0" borderId="223" xfId="0" applyFont="1" applyBorder="1" applyAlignment="1">
      <alignment horizontal="center" vertical="center" wrapText="1"/>
    </xf>
    <xf numFmtId="0" fontId="77" fillId="19" borderId="44" xfId="0" applyFont="1" applyFill="1" applyBorder="1" applyAlignment="1">
      <alignment horizontal="center" vertical="center"/>
    </xf>
    <xf numFmtId="0" fontId="0" fillId="0" borderId="224" xfId="0" applyBorder="1"/>
    <xf numFmtId="0" fontId="79" fillId="4" borderId="0" xfId="0" applyFont="1" applyFill="1" applyAlignment="1">
      <alignment vertical="center"/>
    </xf>
    <xf numFmtId="0" fontId="78" fillId="4" borderId="0" xfId="0" applyFont="1" applyFill="1" applyAlignment="1">
      <alignment vertical="top" wrapText="1"/>
    </xf>
    <xf numFmtId="0" fontId="25" fillId="4" borderId="0" xfId="0" applyFont="1" applyFill="1" applyAlignment="1">
      <alignment vertical="top" wrapText="1"/>
    </xf>
    <xf numFmtId="49" fontId="60" fillId="4" borderId="0" xfId="0" applyNumberFormat="1" applyFont="1" applyFill="1" applyAlignment="1">
      <alignment vertical="top" wrapText="1"/>
    </xf>
    <xf numFmtId="0" fontId="27" fillId="4" borderId="0" xfId="0" applyFont="1" applyFill="1" applyAlignment="1">
      <alignment vertical="top" wrapText="1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226" xfId="0" applyFont="1" applyFill="1" applyBorder="1"/>
    <xf numFmtId="0" fontId="8" fillId="3" borderId="225" xfId="0" applyFont="1" applyFill="1" applyBorder="1"/>
    <xf numFmtId="0" fontId="8" fillId="3" borderId="227" xfId="0" applyFont="1" applyFill="1" applyBorder="1"/>
    <xf numFmtId="0" fontId="8" fillId="3" borderId="7" xfId="0" applyFont="1" applyFill="1" applyBorder="1"/>
    <xf numFmtId="0" fontId="29" fillId="3" borderId="193" xfId="0" applyFont="1" applyFill="1" applyBorder="1" applyAlignment="1">
      <alignment horizontal="center"/>
    </xf>
    <xf numFmtId="0" fontId="8" fillId="3" borderId="193" xfId="0" applyFont="1" applyFill="1" applyBorder="1"/>
    <xf numFmtId="0" fontId="8" fillId="3" borderId="228" xfId="0" applyFont="1" applyFill="1" applyBorder="1"/>
    <xf numFmtId="0" fontId="8" fillId="3" borderId="229" xfId="0" applyFont="1" applyFill="1" applyBorder="1"/>
    <xf numFmtId="0" fontId="8" fillId="3" borderId="231" xfId="0" applyFont="1" applyFill="1" applyBorder="1"/>
    <xf numFmtId="0" fontId="8" fillId="3" borderId="233" xfId="0" applyFont="1" applyFill="1" applyBorder="1"/>
    <xf numFmtId="0" fontId="8" fillId="3" borderId="234" xfId="0" applyFont="1" applyFill="1" applyBorder="1"/>
    <xf numFmtId="0" fontId="8" fillId="3" borderId="235" xfId="0" applyFont="1" applyFill="1" applyBorder="1"/>
    <xf numFmtId="0" fontId="8" fillId="3" borderId="236" xfId="0" applyFont="1" applyFill="1" applyBorder="1"/>
    <xf numFmtId="0" fontId="8" fillId="3" borderId="49" xfId="0" applyFont="1" applyFill="1" applyBorder="1"/>
    <xf numFmtId="0" fontId="8" fillId="3" borderId="237" xfId="0" applyFont="1" applyFill="1" applyBorder="1"/>
    <xf numFmtId="0" fontId="8" fillId="3" borderId="60" xfId="0" applyFont="1" applyFill="1" applyBorder="1"/>
    <xf numFmtId="0" fontId="8" fillId="3" borderId="205" xfId="0" applyFont="1" applyFill="1" applyBorder="1"/>
    <xf numFmtId="0" fontId="8" fillId="3" borderId="238" xfId="0" applyFont="1" applyFill="1" applyBorder="1"/>
    <xf numFmtId="0" fontId="8" fillId="3" borderId="58" xfId="0" applyFont="1" applyFill="1" applyBorder="1"/>
    <xf numFmtId="0" fontId="8" fillId="3" borderId="174" xfId="0" applyFont="1" applyFill="1" applyBorder="1"/>
    <xf numFmtId="0" fontId="8" fillId="3" borderId="76" xfId="0" applyFont="1" applyFill="1" applyBorder="1"/>
    <xf numFmtId="0" fontId="35" fillId="6" borderId="13" xfId="0" applyFont="1" applyFill="1" applyBorder="1" applyAlignment="1">
      <alignment vertical="center"/>
    </xf>
    <xf numFmtId="0" fontId="82" fillId="0" borderId="49" xfId="0" applyFont="1" applyBorder="1" applyAlignment="1">
      <alignment horizontal="left"/>
    </xf>
    <xf numFmtId="0" fontId="82" fillId="0" borderId="51" xfId="0" applyFont="1" applyBorder="1" applyAlignment="1">
      <alignment horizontal="left"/>
    </xf>
    <xf numFmtId="0" fontId="82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82" fillId="0" borderId="46" xfId="0" applyFont="1" applyBorder="1"/>
    <xf numFmtId="0" fontId="82" fillId="0" borderId="47" xfId="0" applyFont="1" applyBorder="1"/>
    <xf numFmtId="0" fontId="82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82" fillId="0" borderId="46" xfId="0" applyFont="1" applyBorder="1" applyAlignment="1">
      <alignment horizontal="left"/>
    </xf>
    <xf numFmtId="0" fontId="82" fillId="0" borderId="47" xfId="0" applyFont="1" applyBorder="1" applyAlignment="1">
      <alignment horizontal="left"/>
    </xf>
    <xf numFmtId="0" fontId="81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81" fillId="0" borderId="50" xfId="0" applyFont="1" applyBorder="1" applyAlignment="1">
      <alignment horizontal="left"/>
    </xf>
    <xf numFmtId="0" fontId="82" fillId="0" borderId="48" xfId="0" applyFont="1" applyBorder="1" applyAlignment="1">
      <alignment horizontal="left"/>
    </xf>
    <xf numFmtId="0" fontId="82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82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239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6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84" fillId="0" borderId="87" xfId="0" applyFont="1" applyBorder="1"/>
    <xf numFmtId="0" fontId="83" fillId="0" borderId="62" xfId="0" applyFont="1" applyBorder="1" applyAlignment="1">
      <alignment horizontal="left" vertical="center"/>
    </xf>
    <xf numFmtId="0" fontId="16" fillId="0" borderId="94" xfId="0" applyFont="1" applyBorder="1"/>
    <xf numFmtId="0" fontId="70" fillId="0" borderId="240" xfId="0" applyFont="1" applyBorder="1" applyAlignment="1">
      <alignment horizontal="left" vertical="top" wrapText="1"/>
    </xf>
    <xf numFmtId="0" fontId="70" fillId="0" borderId="240" xfId="0" applyFont="1" applyBorder="1" applyAlignment="1">
      <alignment horizontal="left" vertical="center" wrapText="1"/>
    </xf>
    <xf numFmtId="0" fontId="10" fillId="0" borderId="93" xfId="0" applyFont="1" applyBorder="1"/>
    <xf numFmtId="0" fontId="10" fillId="0" borderId="66" xfId="0" applyFont="1" applyBorder="1"/>
    <xf numFmtId="0" fontId="10" fillId="0" borderId="59" xfId="0" applyFont="1" applyBorder="1"/>
    <xf numFmtId="0" fontId="10" fillId="0" borderId="241" xfId="0" applyFont="1" applyBorder="1"/>
    <xf numFmtId="0" fontId="72" fillId="0" borderId="242" xfId="0" applyFont="1" applyBorder="1" applyAlignment="1">
      <alignment horizontal="center" vertical="center"/>
    </xf>
    <xf numFmtId="0" fontId="72" fillId="0" borderId="242" xfId="0" applyFont="1" applyBorder="1" applyAlignment="1">
      <alignment horizontal="center" vertical="center" wrapText="1"/>
    </xf>
    <xf numFmtId="0" fontId="72" fillId="0" borderId="148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84" fillId="0" borderId="148" xfId="0" applyFont="1" applyBorder="1" applyAlignment="1">
      <alignment horizontal="center" vertical="center"/>
    </xf>
    <xf numFmtId="0" fontId="0" fillId="0" borderId="244" xfId="0" applyBorder="1"/>
    <xf numFmtId="0" fontId="0" fillId="0" borderId="105" xfId="0" applyBorder="1" applyAlignment="1">
      <alignment horizontal="center"/>
    </xf>
    <xf numFmtId="0" fontId="0" fillId="0" borderId="135" xfId="0" applyBorder="1"/>
    <xf numFmtId="0" fontId="86" fillId="0" borderId="161" xfId="0" applyFont="1" applyBorder="1"/>
    <xf numFmtId="0" fontId="0" fillId="0" borderId="197" xfId="0" applyBorder="1"/>
    <xf numFmtId="0" fontId="0" fillId="0" borderId="245" xfId="0" applyBorder="1"/>
    <xf numFmtId="0" fontId="40" fillId="0" borderId="52" xfId="0" applyFont="1" applyBorder="1" applyAlignment="1">
      <alignment vertical="center"/>
    </xf>
    <xf numFmtId="0" fontId="83" fillId="0" borderId="246" xfId="0" applyFont="1" applyBorder="1" applyAlignment="1">
      <alignment horizontal="left" vertical="center"/>
    </xf>
    <xf numFmtId="0" fontId="16" fillId="0" borderId="247" xfId="0" applyFont="1" applyBorder="1"/>
    <xf numFmtId="0" fontId="70" fillId="0" borderId="246" xfId="0" applyFont="1" applyBorder="1" applyAlignment="1">
      <alignment horizontal="left" vertical="top" wrapText="1"/>
    </xf>
    <xf numFmtId="0" fontId="70" fillId="0" borderId="246" xfId="0" applyFont="1" applyBorder="1" applyAlignment="1">
      <alignment horizontal="left" vertical="center" wrapText="1"/>
    </xf>
    <xf numFmtId="0" fontId="0" fillId="0" borderId="248" xfId="0" applyBorder="1"/>
    <xf numFmtId="0" fontId="0" fillId="0" borderId="249" xfId="0" applyBorder="1"/>
    <xf numFmtId="0" fontId="0" fillId="0" borderId="250" xfId="0" applyBorder="1"/>
    <xf numFmtId="0" fontId="0" fillId="0" borderId="100" xfId="0" applyBorder="1" applyAlignment="1">
      <alignment vertical="center"/>
    </xf>
    <xf numFmtId="0" fontId="72" fillId="0" borderId="148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93" xfId="0" applyFill="1" applyBorder="1"/>
    <xf numFmtId="0" fontId="0" fillId="2" borderId="0" xfId="0" applyFill="1" applyAlignment="1">
      <alignment vertical="top"/>
    </xf>
    <xf numFmtId="0" fontId="0" fillId="2" borderId="252" xfId="0" applyFill="1" applyBorder="1"/>
    <xf numFmtId="0" fontId="0" fillId="2" borderId="231" xfId="0" applyFill="1" applyBorder="1"/>
    <xf numFmtId="0" fontId="9" fillId="0" borderId="161" xfId="0" applyFont="1" applyBorder="1" applyAlignment="1">
      <alignment vertical="center"/>
    </xf>
    <xf numFmtId="0" fontId="12" fillId="0" borderId="162" xfId="0" applyFont="1" applyBorder="1" applyAlignment="1">
      <alignment horizontal="left" vertical="center"/>
    </xf>
    <xf numFmtId="0" fontId="9" fillId="0" borderId="162" xfId="0" applyFont="1" applyBorder="1" applyAlignment="1">
      <alignment horizontal="left" vertical="center"/>
    </xf>
    <xf numFmtId="0" fontId="9" fillId="3" borderId="254" xfId="0" applyFont="1" applyFill="1" applyBorder="1" applyAlignment="1">
      <alignment horizontal="left" vertical="center"/>
    </xf>
    <xf numFmtId="0" fontId="9" fillId="3" borderId="163" xfId="0" applyFont="1" applyFill="1" applyBorder="1" applyAlignment="1">
      <alignment horizontal="left" vertical="center"/>
    </xf>
    <xf numFmtId="0" fontId="9" fillId="0" borderId="193" xfId="0" applyFont="1" applyBorder="1" applyAlignment="1">
      <alignment vertical="center"/>
    </xf>
    <xf numFmtId="0" fontId="0" fillId="3" borderId="228" xfId="0" applyFill="1" applyBorder="1"/>
    <xf numFmtId="0" fontId="9" fillId="0" borderId="252" xfId="0" applyFont="1" applyBorder="1" applyAlignment="1">
      <alignment vertical="center"/>
    </xf>
    <xf numFmtId="0" fontId="12" fillId="0" borderId="231" xfId="0" applyFont="1" applyBorder="1" applyAlignment="1">
      <alignment horizontal="left" vertical="center"/>
    </xf>
    <xf numFmtId="0" fontId="9" fillId="0" borderId="231" xfId="0" applyFont="1" applyBorder="1" applyAlignment="1">
      <alignment horizontal="left" vertical="center"/>
    </xf>
    <xf numFmtId="0" fontId="0" fillId="0" borderId="231" xfId="0" applyBorder="1"/>
    <xf numFmtId="0" fontId="12" fillId="0" borderId="231" xfId="0" applyFont="1" applyBorder="1" applyAlignment="1">
      <alignment vertical="center"/>
    </xf>
    <xf numFmtId="0" fontId="12" fillId="3" borderId="255" xfId="0" applyFont="1" applyFill="1" applyBorder="1" applyAlignment="1">
      <alignment vertical="center"/>
    </xf>
    <xf numFmtId="0" fontId="0" fillId="3" borderId="233" xfId="0" applyFill="1" applyBorder="1"/>
    <xf numFmtId="0" fontId="6" fillId="6" borderId="161" xfId="0" applyFont="1" applyFill="1" applyBorder="1" applyAlignment="1">
      <alignment horizontal="center" vertical="center"/>
    </xf>
    <xf numFmtId="0" fontId="6" fillId="6" borderId="193" xfId="0" applyFont="1" applyFill="1" applyBorder="1" applyAlignment="1">
      <alignment vertical="center"/>
    </xf>
    <xf numFmtId="0" fontId="6" fillId="6" borderId="252" xfId="0" applyFont="1" applyFill="1" applyBorder="1" applyAlignment="1">
      <alignment vertical="center"/>
    </xf>
    <xf numFmtId="0" fontId="9" fillId="3" borderId="256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57" xfId="0" applyFont="1" applyFill="1" applyBorder="1" applyAlignment="1">
      <alignment vertical="center"/>
    </xf>
    <xf numFmtId="0" fontId="88" fillId="0" borderId="0" xfId="0" applyFont="1" applyAlignment="1">
      <alignment horizontal="center" vertical="center"/>
    </xf>
    <xf numFmtId="0" fontId="88" fillId="0" borderId="231" xfId="0" applyFont="1" applyBorder="1" applyAlignment="1">
      <alignment horizontal="center" vertical="center"/>
    </xf>
    <xf numFmtId="0" fontId="89" fillId="0" borderId="44" xfId="0" applyFont="1" applyBorder="1" applyAlignment="1">
      <alignment horizontal="left" vertical="center" wrapText="1"/>
    </xf>
    <xf numFmtId="0" fontId="89" fillId="0" borderId="259" xfId="0" applyFont="1" applyBorder="1" applyAlignment="1">
      <alignment horizontal="left" vertical="center" wrapText="1"/>
    </xf>
    <xf numFmtId="0" fontId="89" fillId="0" borderId="260" xfId="0" applyFont="1" applyBorder="1" applyAlignment="1">
      <alignment horizontal="left" vertical="center" wrapText="1"/>
    </xf>
    <xf numFmtId="0" fontId="89" fillId="0" borderId="258" xfId="0" applyFont="1" applyBorder="1" applyAlignment="1">
      <alignment horizontal="left" vertical="center" wrapText="1"/>
    </xf>
    <xf numFmtId="14" fontId="89" fillId="0" borderId="261" xfId="0" applyNumberFormat="1" applyFont="1" applyBorder="1" applyAlignment="1">
      <alignment horizontal="center" vertical="center"/>
    </xf>
    <xf numFmtId="16" fontId="89" fillId="0" borderId="261" xfId="0" applyNumberFormat="1" applyFont="1" applyBorder="1" applyAlignment="1">
      <alignment horizontal="center" vertical="center"/>
    </xf>
    <xf numFmtId="0" fontId="89" fillId="0" borderId="1" xfId="0" applyFont="1" applyBorder="1" applyAlignment="1">
      <alignment horizontal="center" vertical="center"/>
    </xf>
    <xf numFmtId="0" fontId="7" fillId="4" borderId="157" xfId="0" applyFont="1" applyFill="1" applyBorder="1" applyAlignment="1">
      <alignment horizontal="center" vertical="center" wrapText="1"/>
    </xf>
    <xf numFmtId="0" fontId="0" fillId="4" borderId="80" xfId="0" applyFill="1" applyBorder="1" applyAlignment="1">
      <alignment horizontal="center" vertical="center" wrapText="1"/>
    </xf>
    <xf numFmtId="0" fontId="0" fillId="4" borderId="186" xfId="0" applyFill="1" applyBorder="1" applyAlignment="1">
      <alignment horizontal="center" vertical="center" wrapText="1"/>
    </xf>
    <xf numFmtId="0" fontId="19" fillId="4" borderId="212" xfId="0" applyFont="1" applyFill="1" applyBorder="1" applyAlignment="1">
      <alignment horizontal="center" vertical="center" wrapText="1"/>
    </xf>
    <xf numFmtId="0" fontId="19" fillId="4" borderId="0" xfId="0" applyFont="1" applyFill="1" applyAlignment="1">
      <alignment horizontal="center" vertical="center" wrapText="1"/>
    </xf>
    <xf numFmtId="9" fontId="20" fillId="9" borderId="32" xfId="0" applyNumberFormat="1" applyFont="1" applyFill="1" applyBorder="1" applyAlignment="1">
      <alignment horizontal="center" vertical="center"/>
    </xf>
    <xf numFmtId="9" fontId="20" fillId="9" borderId="28" xfId="0" applyNumberFormat="1" applyFont="1" applyFill="1" applyBorder="1" applyAlignment="1">
      <alignment horizontal="center" vertical="center"/>
    </xf>
    <xf numFmtId="9" fontId="20" fillId="9" borderId="1" xfId="0" applyNumberFormat="1" applyFont="1" applyFill="1" applyBorder="1" applyAlignment="1">
      <alignment horizontal="center" vertical="center"/>
    </xf>
    <xf numFmtId="9" fontId="20" fillId="9" borderId="34" xfId="0" applyNumberFormat="1" applyFont="1" applyFill="1" applyBorder="1" applyAlignment="1">
      <alignment horizontal="center" vertical="center"/>
    </xf>
    <xf numFmtId="9" fontId="20" fillId="9" borderId="36" xfId="0" applyNumberFormat="1" applyFont="1" applyFill="1" applyBorder="1" applyAlignment="1">
      <alignment horizontal="center" vertical="center"/>
    </xf>
    <xf numFmtId="9" fontId="20" fillId="9" borderId="37" xfId="0" applyNumberFormat="1" applyFont="1" applyFill="1" applyBorder="1" applyAlignment="1">
      <alignment horizontal="center" vertical="center"/>
    </xf>
    <xf numFmtId="9" fontId="20" fillId="9" borderId="27" xfId="0" applyNumberFormat="1" applyFont="1" applyFill="1" applyBorder="1" applyAlignment="1">
      <alignment horizontal="center" vertical="center"/>
    </xf>
    <xf numFmtId="9" fontId="20" fillId="9" borderId="33" xfId="0" applyNumberFormat="1" applyFont="1" applyFill="1" applyBorder="1" applyAlignment="1">
      <alignment horizontal="center" vertical="center"/>
    </xf>
    <xf numFmtId="9" fontId="20" fillId="9" borderId="35" xfId="0" applyNumberFormat="1" applyFont="1" applyFill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72" fillId="0" borderId="46" xfId="0" applyNumberFormat="1" applyFont="1" applyBorder="1" applyAlignment="1">
      <alignment horizontal="left" vertical="top"/>
    </xf>
    <xf numFmtId="0" fontId="70" fillId="0" borderId="47" xfId="0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29" fillId="4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49" fontId="80" fillId="4" borderId="0" xfId="0" applyNumberFormat="1" applyFont="1" applyFill="1" applyAlignment="1">
      <alignment horizontal="left" vertical="center" wrapText="1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right" vertical="top" wrapText="1"/>
    </xf>
    <xf numFmtId="0" fontId="34" fillId="6" borderId="148" xfId="0" applyFont="1" applyFill="1" applyBorder="1" applyAlignment="1">
      <alignment horizontal="center" vertical="center"/>
    </xf>
    <xf numFmtId="0" fontId="34" fillId="6" borderId="149" xfId="0" applyFont="1" applyFill="1" applyBorder="1" applyAlignment="1">
      <alignment horizontal="center" vertical="center"/>
    </xf>
    <xf numFmtId="0" fontId="34" fillId="6" borderId="150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22" fillId="4" borderId="22" xfId="0" applyFont="1" applyFill="1" applyBorder="1" applyAlignment="1">
      <alignment horizontal="right" vertical="center"/>
    </xf>
    <xf numFmtId="0" fontId="22" fillId="4" borderId="0" xfId="0" applyFont="1" applyFill="1" applyAlignment="1">
      <alignment horizontal="right" vertical="center"/>
    </xf>
    <xf numFmtId="49" fontId="23" fillId="4" borderId="0" xfId="0" applyNumberFormat="1" applyFont="1" applyFill="1" applyAlignment="1">
      <alignment horizontal="left" vertical="center"/>
    </xf>
    <xf numFmtId="49" fontId="23" fillId="4" borderId="23" xfId="0" applyNumberFormat="1" applyFont="1" applyFill="1" applyBorder="1" applyAlignment="1">
      <alignment horizontal="left" vertical="center"/>
    </xf>
    <xf numFmtId="0" fontId="5" fillId="4" borderId="161" xfId="0" applyFont="1" applyFill="1" applyBorder="1" applyAlignment="1">
      <alignment horizontal="center" vertical="center"/>
    </xf>
    <xf numFmtId="0" fontId="5" fillId="4" borderId="162" xfId="0" applyFont="1" applyFill="1" applyBorder="1" applyAlignment="1">
      <alignment horizontal="center" vertical="center"/>
    </xf>
    <xf numFmtId="49" fontId="59" fillId="4" borderId="253" xfId="0" applyNumberFormat="1" applyFont="1" applyFill="1" applyBorder="1" applyAlignment="1">
      <alignment horizontal="center" vertical="center"/>
    </xf>
    <xf numFmtId="49" fontId="59" fillId="4" borderId="25" xfId="0" applyNumberFormat="1" applyFont="1" applyFill="1" applyBorder="1" applyAlignment="1">
      <alignment horizontal="center" vertical="center"/>
    </xf>
    <xf numFmtId="0" fontId="17" fillId="6" borderId="162" xfId="0" applyFont="1" applyFill="1" applyBorder="1" applyAlignment="1">
      <alignment horizontal="center" vertical="center" wrapText="1"/>
    </xf>
    <xf numFmtId="0" fontId="17" fillId="6" borderId="163" xfId="0" applyFont="1" applyFill="1" applyBorder="1" applyAlignment="1">
      <alignment horizontal="center" vertical="center" wrapText="1"/>
    </xf>
    <xf numFmtId="0" fontId="27" fillId="4" borderId="193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228" xfId="0" applyFont="1" applyFill="1" applyBorder="1" applyAlignment="1">
      <alignment horizontal="center" vertical="center"/>
    </xf>
    <xf numFmtId="0" fontId="20" fillId="3" borderId="230" xfId="0" applyFont="1" applyFill="1" applyBorder="1" applyAlignment="1">
      <alignment horizontal="center" vertical="center"/>
    </xf>
    <xf numFmtId="0" fontId="20" fillId="3" borderId="199" xfId="0" applyFont="1" applyFill="1" applyBorder="1" applyAlignment="1">
      <alignment horizontal="center" vertical="center"/>
    </xf>
    <xf numFmtId="0" fontId="20" fillId="3" borderId="231" xfId="0" applyFont="1" applyFill="1" applyBorder="1" applyAlignment="1">
      <alignment horizontal="left" vertical="center" wrapText="1"/>
    </xf>
    <xf numFmtId="0" fontId="20" fillId="3" borderId="232" xfId="0" applyFont="1" applyFill="1" applyBorder="1" applyAlignment="1">
      <alignment horizontal="left" vertical="center" wrapText="1"/>
    </xf>
    <xf numFmtId="0" fontId="28" fillId="3" borderId="193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4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4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9" fillId="0" borderId="123" xfId="0" applyFont="1" applyBorder="1" applyAlignment="1">
      <alignment horizontal="center" vertical="center" wrapText="1"/>
    </xf>
    <xf numFmtId="0" fontId="69" fillId="0" borderId="124" xfId="0" applyFont="1" applyBorder="1" applyAlignment="1">
      <alignment horizontal="center" vertical="center" wrapText="1"/>
    </xf>
    <xf numFmtId="0" fontId="70" fillId="0" borderId="243" xfId="0" applyFont="1" applyBorder="1" applyAlignment="1">
      <alignment horizontal="left" vertical="top" wrapText="1"/>
    </xf>
    <xf numFmtId="0" fontId="70" fillId="0" borderId="149" xfId="0" applyFont="1" applyBorder="1" applyAlignment="1">
      <alignment horizontal="left" vertical="top" wrapText="1"/>
    </xf>
    <xf numFmtId="0" fontId="70" fillId="0" borderId="150" xfId="0" applyFont="1" applyBorder="1" applyAlignment="1">
      <alignment horizontal="left" vertical="top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38" fillId="4" borderId="19" xfId="0" applyFont="1" applyFill="1" applyBorder="1" applyAlignment="1">
      <alignment horizontal="center" vertical="center" wrapText="1"/>
    </xf>
    <xf numFmtId="0" fontId="38" fillId="4" borderId="251" xfId="0" applyFont="1" applyFill="1" applyBorder="1" applyAlignment="1">
      <alignment horizontal="center" vertical="center" wrapText="1"/>
    </xf>
    <xf numFmtId="0" fontId="69" fillId="0" borderId="12" xfId="0" applyFont="1" applyBorder="1" applyAlignment="1">
      <alignment horizontal="center" vertical="center"/>
    </xf>
    <xf numFmtId="0" fontId="69" fillId="0" borderId="14" xfId="0" applyFont="1" applyBorder="1" applyAlignment="1">
      <alignment horizontal="center" vertical="center"/>
    </xf>
    <xf numFmtId="0" fontId="69" fillId="0" borderId="3" xfId="0" applyFont="1" applyBorder="1" applyAlignment="1">
      <alignment horizontal="center" vertical="center"/>
    </xf>
    <xf numFmtId="0" fontId="69" fillId="0" borderId="4" xfId="0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58" fillId="0" borderId="117" xfId="0" applyFont="1" applyBorder="1" applyAlignment="1">
      <alignment horizontal="center"/>
    </xf>
    <xf numFmtId="0" fontId="58" fillId="0" borderId="116" xfId="0" applyFont="1" applyBorder="1" applyAlignment="1">
      <alignment horizontal="center"/>
    </xf>
    <xf numFmtId="0" fontId="49" fillId="14" borderId="1" xfId="0" applyFont="1" applyFill="1" applyBorder="1" applyAlignment="1">
      <alignment horizontal="center" vertical="center" wrapText="1" readingOrder="1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4" borderId="148" xfId="0" applyFont="1" applyFill="1" applyBorder="1" applyAlignment="1">
      <alignment horizontal="center" vertical="center"/>
    </xf>
    <xf numFmtId="0" fontId="3" fillId="4" borderId="149" xfId="0" applyFont="1" applyFill="1" applyBorder="1" applyAlignment="1">
      <alignment horizontal="center" vertical="center"/>
    </xf>
    <xf numFmtId="0" fontId="3" fillId="4" borderId="150" xfId="0" applyFont="1" applyFill="1" applyBorder="1" applyAlignment="1">
      <alignment horizontal="center" vertical="center"/>
    </xf>
    <xf numFmtId="0" fontId="25" fillId="4" borderId="161" xfId="0" applyFont="1" applyFill="1" applyBorder="1" applyAlignment="1">
      <alignment horizontal="center" vertical="top" wrapText="1"/>
    </xf>
    <xf numFmtId="0" fontId="25" fillId="4" borderId="162" xfId="0" applyFont="1" applyFill="1" applyBorder="1" applyAlignment="1">
      <alignment horizontal="center" vertical="top" wrapText="1"/>
    </xf>
    <xf numFmtId="0" fontId="25" fillId="4" borderId="163" xfId="0" applyFont="1" applyFill="1" applyBorder="1" applyAlignment="1">
      <alignment horizontal="center" vertical="top" wrapText="1"/>
    </xf>
    <xf numFmtId="49" fontId="26" fillId="4" borderId="169" xfId="0" applyNumberFormat="1" applyFont="1" applyFill="1" applyBorder="1" applyAlignment="1">
      <alignment horizontal="center" vertical="top" wrapText="1"/>
    </xf>
    <xf numFmtId="49" fontId="26" fillId="4" borderId="170" xfId="0" applyNumberFormat="1" applyFont="1" applyFill="1" applyBorder="1" applyAlignment="1">
      <alignment horizontal="center" vertical="top" wrapText="1"/>
    </xf>
    <xf numFmtId="49" fontId="26" fillId="4" borderId="171" xfId="0" applyNumberFormat="1" applyFont="1" applyFill="1" applyBorder="1" applyAlignment="1">
      <alignment horizontal="center" vertical="top" wrapText="1"/>
    </xf>
    <xf numFmtId="0" fontId="42" fillId="12" borderId="27" xfId="0" applyFont="1" applyFill="1" applyBorder="1" applyAlignment="1">
      <alignment horizontal="center" vertical="center"/>
    </xf>
    <xf numFmtId="0" fontId="42" fillId="12" borderId="32" xfId="0" applyFont="1" applyFill="1" applyBorder="1" applyAlignment="1">
      <alignment horizontal="center" vertical="center"/>
    </xf>
    <xf numFmtId="0" fontId="42" fillId="12" borderId="28" xfId="0" applyFont="1" applyFill="1" applyBorder="1" applyAlignment="1">
      <alignment horizontal="center" vertical="center"/>
    </xf>
    <xf numFmtId="0" fontId="42" fillId="12" borderId="153" xfId="0" applyFont="1" applyFill="1" applyBorder="1" applyAlignment="1">
      <alignment horizontal="center" vertical="center"/>
    </xf>
    <xf numFmtId="0" fontId="42" fillId="12" borderId="154" xfId="0" applyFont="1" applyFill="1" applyBorder="1" applyAlignment="1">
      <alignment horizontal="center" vertical="center"/>
    </xf>
    <xf numFmtId="0" fontId="42" fillId="12" borderId="155" xfId="0" applyFont="1" applyFill="1" applyBorder="1" applyAlignment="1">
      <alignment horizontal="center" vertical="center"/>
    </xf>
    <xf numFmtId="0" fontId="49" fillId="14" borderId="34" xfId="0" applyFont="1" applyFill="1" applyBorder="1" applyAlignment="1">
      <alignment horizontal="center" vertical="center" wrapText="1" readingOrder="1"/>
    </xf>
    <xf numFmtId="0" fontId="49" fillId="14" borderId="5" xfId="0" applyFont="1" applyFill="1" applyBorder="1" applyAlignment="1">
      <alignment horizontal="center" vertical="center" wrapText="1" readingOrder="1"/>
    </xf>
    <xf numFmtId="0" fontId="49" fillId="14" borderId="172" xfId="0" applyFont="1" applyFill="1" applyBorder="1" applyAlignment="1">
      <alignment horizontal="center" vertical="center" wrapText="1" readingOrder="1"/>
    </xf>
    <xf numFmtId="0" fontId="52" fillId="14" borderId="1" xfId="0" applyFont="1" applyFill="1" applyBorder="1" applyAlignment="1">
      <alignment horizontal="center" vertical="center" wrapText="1" readingOrder="1"/>
    </xf>
    <xf numFmtId="0" fontId="52" fillId="14" borderId="34" xfId="0" applyFont="1" applyFill="1" applyBorder="1" applyAlignment="1">
      <alignment horizontal="center" vertical="center" wrapText="1" readingOrder="1"/>
    </xf>
    <xf numFmtId="0" fontId="51" fillId="14" borderId="27" xfId="0" applyFont="1" applyFill="1" applyBorder="1" applyAlignment="1">
      <alignment horizontal="center" vertical="center" wrapText="1" readingOrder="1"/>
    </xf>
    <xf numFmtId="0" fontId="51" fillId="14" borderId="32" xfId="0" applyFont="1" applyFill="1" applyBorder="1" applyAlignment="1">
      <alignment horizontal="center" vertical="center" wrapText="1" readingOrder="1"/>
    </xf>
    <xf numFmtId="0" fontId="51" fillId="14" borderId="28" xfId="0" applyFont="1" applyFill="1" applyBorder="1" applyAlignment="1">
      <alignment horizontal="center" vertical="center" wrapText="1" readingOrder="1"/>
    </xf>
    <xf numFmtId="0" fontId="52" fillId="14" borderId="33" xfId="0" applyFont="1" applyFill="1" applyBorder="1" applyAlignment="1">
      <alignment horizontal="center" vertical="center" wrapText="1" readingOrder="1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top"/>
    </xf>
    <xf numFmtId="0" fontId="48" fillId="0" borderId="72" xfId="0" applyFont="1" applyBorder="1" applyAlignment="1">
      <alignment horizontal="center" vertical="top"/>
    </xf>
    <xf numFmtId="0" fontId="54" fillId="15" borderId="36" xfId="0" applyFont="1" applyFill="1" applyBorder="1" applyAlignment="1">
      <alignment horizontal="center" vertical="center"/>
    </xf>
    <xf numFmtId="0" fontId="54" fillId="15" borderId="37" xfId="0" applyFont="1" applyFill="1" applyBorder="1" applyAlignment="1">
      <alignment horizontal="center" vertical="center"/>
    </xf>
    <xf numFmtId="0" fontId="56" fillId="0" borderId="117" xfId="0" applyFont="1" applyBorder="1" applyAlignment="1">
      <alignment horizontal="center"/>
    </xf>
    <xf numFmtId="0" fontId="56" fillId="0" borderId="126" xfId="0" applyFont="1" applyBorder="1" applyAlignment="1">
      <alignment horizontal="center"/>
    </xf>
    <xf numFmtId="0" fontId="56" fillId="0" borderId="116" xfId="0" applyFont="1" applyBorder="1" applyAlignment="1">
      <alignment horizontal="center"/>
    </xf>
    <xf numFmtId="0" fontId="54" fillId="15" borderId="123" xfId="0" applyFont="1" applyFill="1" applyBorder="1" applyAlignment="1">
      <alignment horizontal="center" vertical="center"/>
    </xf>
    <xf numFmtId="0" fontId="54" fillId="15" borderId="61" xfId="0" applyFont="1" applyFill="1" applyBorder="1" applyAlignment="1">
      <alignment horizontal="center" vertical="center"/>
    </xf>
    <xf numFmtId="0" fontId="54" fillId="15" borderId="124" xfId="0" applyFont="1" applyFill="1" applyBorder="1" applyAlignment="1">
      <alignment horizontal="center" vertical="center"/>
    </xf>
    <xf numFmtId="0" fontId="54" fillId="15" borderId="35" xfId="0" applyFont="1" applyFill="1" applyBorder="1" applyAlignment="1">
      <alignment horizontal="center" vertical="center"/>
    </xf>
    <xf numFmtId="0" fontId="48" fillId="0" borderId="51" xfId="0" applyFont="1" applyBorder="1" applyAlignment="1">
      <alignment horizontal="center" vertical="top"/>
    </xf>
    <xf numFmtId="0" fontId="56" fillId="0" borderId="117" xfId="0" applyFont="1" applyBorder="1" applyAlignment="1">
      <alignment horizontal="right"/>
    </xf>
    <xf numFmtId="0" fontId="56" fillId="0" borderId="126" xfId="0" applyFont="1" applyBorder="1" applyAlignment="1">
      <alignment horizontal="right"/>
    </xf>
    <xf numFmtId="0" fontId="56" fillId="0" borderId="116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9" fillId="14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0" fontId="0" fillId="0" borderId="139" xfId="0" applyBorder="1" applyAlignment="1">
      <alignment horizontal="center" vertical="center"/>
    </xf>
    <xf numFmtId="0" fontId="53" fillId="15" borderId="175" xfId="0" applyFont="1" applyFill="1" applyBorder="1" applyAlignment="1">
      <alignment horizontal="center" vertical="center"/>
    </xf>
    <xf numFmtId="0" fontId="0" fillId="0" borderId="14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3" xfId="0" applyBorder="1" applyAlignment="1">
      <alignment horizontal="center"/>
    </xf>
    <xf numFmtId="0" fontId="0" fillId="0" borderId="127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9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31" xfId="0" applyBorder="1" applyAlignment="1">
      <alignment horizontal="center"/>
    </xf>
    <xf numFmtId="0" fontId="0" fillId="0" borderId="132" xfId="0" applyBorder="1" applyAlignment="1">
      <alignment horizontal="center"/>
    </xf>
    <xf numFmtId="0" fontId="0" fillId="0" borderId="104" xfId="0" applyBorder="1" applyAlignment="1">
      <alignment horizontal="center"/>
    </xf>
    <xf numFmtId="0" fontId="53" fillId="15" borderId="35" xfId="0" applyFont="1" applyFill="1" applyBorder="1" applyAlignment="1">
      <alignment horizontal="center" vertical="center"/>
    </xf>
    <xf numFmtId="0" fontId="53" fillId="15" borderId="36" xfId="0" applyFont="1" applyFill="1" applyBorder="1" applyAlignment="1">
      <alignment horizontal="center" vertical="center"/>
    </xf>
    <xf numFmtId="0" fontId="53" fillId="15" borderId="123" xfId="0" applyFont="1" applyFill="1" applyBorder="1" applyAlignment="1">
      <alignment horizontal="center" vertical="center"/>
    </xf>
    <xf numFmtId="0" fontId="0" fillId="0" borderId="173" xfId="0" applyBorder="1" applyAlignment="1">
      <alignment horizontal="center"/>
    </xf>
    <xf numFmtId="0" fontId="0" fillId="0" borderId="174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30" xfId="0" applyBorder="1" applyAlignment="1">
      <alignment horizontal="center"/>
    </xf>
    <xf numFmtId="0" fontId="0" fillId="0" borderId="1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38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 wrapText="1"/>
    </xf>
    <xf numFmtId="0" fontId="46" fillId="0" borderId="136" xfId="0" applyFont="1" applyBorder="1" applyAlignment="1">
      <alignment horizontal="center" vertical="center" wrapText="1"/>
    </xf>
    <xf numFmtId="0" fontId="46" fillId="0" borderId="137" xfId="0" applyFont="1" applyBorder="1" applyAlignment="1">
      <alignment horizontal="center" vertical="center" wrapText="1"/>
    </xf>
    <xf numFmtId="0" fontId="57" fillId="0" borderId="135" xfId="0" applyFont="1" applyBorder="1" applyAlignment="1">
      <alignment horizontal="center"/>
    </xf>
    <xf numFmtId="0" fontId="57" fillId="0" borderId="136" xfId="0" applyFont="1" applyBorder="1" applyAlignment="1">
      <alignment horizontal="center"/>
    </xf>
    <xf numFmtId="0" fontId="57" fillId="0" borderId="137" xfId="0" applyFont="1" applyBorder="1" applyAlignment="1">
      <alignment horizontal="center"/>
    </xf>
    <xf numFmtId="0" fontId="52" fillId="14" borderId="19" xfId="0" applyFont="1" applyFill="1" applyBorder="1" applyAlignment="1">
      <alignment horizontal="center" vertical="center" wrapText="1" readingOrder="1"/>
    </xf>
    <xf numFmtId="0" fontId="52" fillId="14" borderId="20" xfId="0" applyFont="1" applyFill="1" applyBorder="1" applyAlignment="1">
      <alignment horizontal="center" vertical="center" wrapText="1" readingOrder="1"/>
    </xf>
    <xf numFmtId="0" fontId="52" fillId="14" borderId="17" xfId="0" applyFont="1" applyFill="1" applyBorder="1" applyAlignment="1">
      <alignment horizontal="center" vertical="center" wrapText="1" readingOrder="1"/>
    </xf>
    <xf numFmtId="0" fontId="82" fillId="0" borderId="47" xfId="0" applyFont="1" applyBorder="1" applyAlignment="1">
      <alignment horizontal="left" vertical="center"/>
    </xf>
    <xf numFmtId="0" fontId="82" fillId="0" borderId="51" xfId="0" applyFont="1" applyBorder="1" applyAlignment="1">
      <alignment horizontal="left" vertical="center"/>
    </xf>
    <xf numFmtId="0" fontId="82" fillId="0" borderId="48" xfId="0" applyFont="1" applyBorder="1" applyAlignment="1">
      <alignment horizontal="left" vertical="center"/>
    </xf>
    <xf numFmtId="0" fontId="57" fillId="0" borderId="135" xfId="0" applyFont="1" applyBorder="1" applyAlignment="1">
      <alignment horizontal="center" vertical="center" wrapText="1"/>
    </xf>
    <xf numFmtId="0" fontId="57" fillId="0" borderId="136" xfId="0" applyFont="1" applyBorder="1" applyAlignment="1">
      <alignment horizontal="center" vertical="center" wrapText="1"/>
    </xf>
    <xf numFmtId="0" fontId="57" fillId="0" borderId="137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45" fillId="0" borderId="140" xfId="0" applyFont="1" applyBorder="1" applyAlignment="1">
      <alignment horizontal="center" vertical="center"/>
    </xf>
    <xf numFmtId="0" fontId="45" fillId="0" borderId="97" xfId="0" applyFont="1" applyBorder="1" applyAlignment="1">
      <alignment horizontal="center" vertical="center"/>
    </xf>
    <xf numFmtId="0" fontId="82" fillId="0" borderId="129" xfId="0" applyFont="1" applyBorder="1" applyAlignment="1">
      <alignment horizontal="left" vertical="center"/>
    </xf>
    <xf numFmtId="0" fontId="82" fillId="0" borderId="120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33" xfId="0" applyFont="1" applyBorder="1" applyAlignment="1">
      <alignment horizontal="center" vertical="top"/>
    </xf>
    <xf numFmtId="0" fontId="57" fillId="0" borderId="99" xfId="0" applyFont="1" applyBorder="1" applyAlignment="1">
      <alignment horizontal="center" vertical="top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54" fillId="4" borderId="58" xfId="0" applyFont="1" applyFill="1" applyBorder="1" applyAlignment="1">
      <alignment horizontal="right" vertical="center"/>
    </xf>
    <xf numFmtId="0" fontId="54" fillId="4" borderId="0" xfId="0" applyFont="1" applyFill="1" applyAlignment="1">
      <alignment horizontal="right" vertical="center"/>
    </xf>
    <xf numFmtId="49" fontId="90" fillId="4" borderId="0" xfId="0" applyNumberFormat="1" applyFont="1" applyFill="1" applyAlignment="1">
      <alignment horizontal="left" vertical="center"/>
    </xf>
    <xf numFmtId="49" fontId="90" fillId="4" borderId="60" xfId="0" applyNumberFormat="1" applyFont="1" applyFill="1" applyBorder="1" applyAlignment="1">
      <alignment horizontal="left" vertical="center"/>
    </xf>
    <xf numFmtId="0" fontId="54" fillId="4" borderId="58" xfId="0" applyFont="1" applyFill="1" applyBorder="1" applyAlignment="1">
      <alignment horizontal="center" vertical="center"/>
    </xf>
    <xf numFmtId="0" fontId="54" fillId="4" borderId="0" xfId="0" applyFont="1" applyFill="1" applyAlignment="1">
      <alignment horizontal="center" vertical="center"/>
    </xf>
    <xf numFmtId="0" fontId="54" fillId="4" borderId="60" xfId="0" applyFont="1" applyFill="1" applyBorder="1" applyAlignment="1">
      <alignment horizontal="center" vertical="center"/>
    </xf>
    <xf numFmtId="0" fontId="63" fillId="4" borderId="191" xfId="0" applyFont="1" applyFill="1" applyBorder="1" applyAlignment="1">
      <alignment horizontal="center" vertical="center"/>
    </xf>
    <xf numFmtId="0" fontId="63" fillId="4" borderId="198" xfId="0" applyFont="1" applyFill="1" applyBorder="1" applyAlignment="1">
      <alignment horizontal="center" vertical="center"/>
    </xf>
    <xf numFmtId="0" fontId="63" fillId="4" borderId="192" xfId="0" applyFont="1" applyFill="1" applyBorder="1" applyAlignment="1">
      <alignment horizontal="center" vertical="center"/>
    </xf>
    <xf numFmtId="0" fontId="16" fillId="0" borderId="135" xfId="0" applyFont="1" applyBorder="1" applyAlignment="1">
      <alignment horizontal="center" vertical="center" wrapText="1"/>
    </xf>
    <xf numFmtId="0" fontId="16" fillId="0" borderId="197" xfId="0" applyFont="1" applyBorder="1" applyAlignment="1">
      <alignment horizontal="center" vertical="center" wrapText="1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38" xfId="0" applyFont="1" applyBorder="1" applyAlignment="1">
      <alignment horizontal="center" vertical="center" wrapText="1"/>
    </xf>
    <xf numFmtId="0" fontId="66" fillId="20" borderId="5" xfId="0" applyFont="1" applyFill="1" applyBorder="1" applyAlignment="1">
      <alignment horizontal="center" vertical="center" wrapText="1"/>
    </xf>
    <xf numFmtId="0" fontId="16" fillId="0" borderId="137" xfId="0" applyFont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63" fillId="4" borderId="185" xfId="0" applyFont="1" applyFill="1" applyBorder="1" applyAlignment="1">
      <alignment horizontal="center" vertical="center"/>
    </xf>
    <xf numFmtId="0" fontId="16" fillId="0" borderId="206" xfId="0" applyFont="1" applyBorder="1" applyAlignment="1">
      <alignment horizontal="center" vertical="center" wrapText="1"/>
    </xf>
    <xf numFmtId="0" fontId="7" fillId="4" borderId="200" xfId="0" applyFont="1" applyFill="1" applyBorder="1" applyAlignment="1">
      <alignment horizontal="center" vertical="center" wrapText="1"/>
    </xf>
    <xf numFmtId="0" fontId="7" fillId="4" borderId="199" xfId="0" applyFont="1" applyFill="1" applyBorder="1" applyAlignment="1">
      <alignment horizontal="center" vertical="center" wrapText="1"/>
    </xf>
    <xf numFmtId="0" fontId="7" fillId="4" borderId="164" xfId="0" applyFont="1" applyFill="1" applyBorder="1" applyAlignment="1">
      <alignment horizontal="center" vertical="center" wrapText="1"/>
    </xf>
    <xf numFmtId="0" fontId="16" fillId="0" borderId="191" xfId="0" applyFont="1" applyBorder="1" applyAlignment="1">
      <alignment horizontal="center" vertical="center" wrapText="1"/>
    </xf>
    <xf numFmtId="0" fontId="16" fillId="0" borderId="198" xfId="0" applyFont="1" applyBorder="1" applyAlignment="1">
      <alignment horizontal="center" vertical="center" wrapText="1"/>
    </xf>
    <xf numFmtId="0" fontId="16" fillId="0" borderId="201" xfId="0" applyFont="1" applyBorder="1" applyAlignment="1">
      <alignment horizontal="center" vertical="center" wrapText="1"/>
    </xf>
    <xf numFmtId="0" fontId="16" fillId="0" borderId="20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204" xfId="0" applyFont="1" applyBorder="1" applyAlignment="1">
      <alignment horizontal="center" vertical="center" wrapText="1"/>
    </xf>
    <xf numFmtId="0" fontId="16" fillId="0" borderId="219" xfId="0" applyFont="1" applyBorder="1" applyAlignment="1">
      <alignment horizontal="center" vertical="center" wrapText="1"/>
    </xf>
    <xf numFmtId="0" fontId="16" fillId="0" borderId="220" xfId="0" applyFont="1" applyBorder="1" applyAlignment="1">
      <alignment horizontal="center" vertical="center" wrapText="1"/>
    </xf>
    <xf numFmtId="0" fontId="85" fillId="0" borderId="206" xfId="0" applyFont="1" applyBorder="1" applyAlignment="1">
      <alignment horizontal="left"/>
    </xf>
    <xf numFmtId="0" fontId="85" fillId="0" borderId="51" xfId="0" applyFont="1" applyBorder="1" applyAlignment="1">
      <alignment horizontal="left"/>
    </xf>
    <xf numFmtId="0" fontId="85" fillId="0" borderId="48" xfId="0" applyFont="1" applyBorder="1" applyAlignment="1">
      <alignment horizontal="left"/>
    </xf>
    <xf numFmtId="0" fontId="85" fillId="0" borderId="205" xfId="0" applyFont="1" applyBorder="1" applyAlignment="1">
      <alignment horizontal="left"/>
    </xf>
    <xf numFmtId="0" fontId="85" fillId="0" borderId="236" xfId="0" applyFont="1" applyBorder="1" applyAlignment="1">
      <alignment horizontal="left"/>
    </xf>
    <xf numFmtId="0" fontId="85" fillId="0" borderId="195" xfId="0" applyFont="1" applyBorder="1" applyAlignment="1">
      <alignment horizontal="left"/>
    </xf>
    <xf numFmtId="0" fontId="62" fillId="0" borderId="200" xfId="0" applyFont="1" applyBorder="1" applyAlignment="1">
      <alignment horizontal="center" vertical="center" wrapText="1"/>
    </xf>
    <xf numFmtId="0" fontId="62" fillId="0" borderId="199" xfId="0" applyFont="1" applyBorder="1" applyAlignment="1">
      <alignment horizontal="center" vertical="center" wrapText="1"/>
    </xf>
    <xf numFmtId="0" fontId="62" fillId="0" borderId="164" xfId="0" applyFont="1" applyBorder="1" applyAlignment="1">
      <alignment horizontal="center" vertical="center" wrapText="1"/>
    </xf>
    <xf numFmtId="0" fontId="74" fillId="0" borderId="206" xfId="0" applyFont="1" applyBorder="1" applyAlignment="1">
      <alignment horizontal="right" vertical="top"/>
    </xf>
    <xf numFmtId="0" fontId="74" fillId="0" borderId="138" xfId="0" applyFont="1" applyBorder="1" applyAlignment="1">
      <alignment horizontal="right" vertical="top"/>
    </xf>
    <xf numFmtId="0" fontId="74" fillId="0" borderId="114" xfId="0" applyFont="1" applyBorder="1" applyAlignment="1">
      <alignment horizontal="right" vertical="center"/>
    </xf>
    <xf numFmtId="0" fontId="74" fillId="0" borderId="116" xfId="0" applyFont="1" applyBorder="1" applyAlignment="1">
      <alignment horizontal="right" vertical="center"/>
    </xf>
    <xf numFmtId="0" fontId="16" fillId="0" borderId="190" xfId="0" applyFont="1" applyBorder="1" applyAlignment="1">
      <alignment horizontal="center" vertical="center" wrapText="1"/>
    </xf>
    <xf numFmtId="0" fontId="16" fillId="0" borderId="218" xfId="0" applyFont="1" applyBorder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1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>
        <top style="thin">
          <color theme="1"/>
        </top>
      </border>
    </dxf>
    <dxf>
      <border diagonalUp="0" diagonalDown="0">
        <left style="thin">
          <color theme="1"/>
        </left>
        <right style="thin">
          <color theme="1"/>
        </right>
        <top/>
        <bottom/>
        <vertical style="thin">
          <color theme="1"/>
        </vertical>
        <horizontal style="thin">
          <color theme="1"/>
        </horizontal>
      </border>
    </dxf>
    <dxf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>
        <bottom style="thin">
          <color theme="1"/>
        </bottom>
      </border>
    </dxf>
    <dxf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697242247427557E-2"/>
          <c:y val="4.35432955180617E-2"/>
          <c:w val="0.92309393052529887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data_panel!$C$13:$C$20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data_panel!$D$13:$D$20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data_panel!$B$13:$B$20</c:f>
              <c:numCache>
                <c:formatCode>General</c:formatCode>
                <c:ptCount val="8"/>
              </c:numCache>
            </c:numRef>
          </c:cat>
          <c:val>
            <c:numRef>
              <c:f>data_panel!$E$13:$E$20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709163395433994E-2"/>
          <c:y val="8.1435337294087626E-2"/>
          <c:w val="0.91295668860039247"/>
          <c:h val="0.5005890334283796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data_panel!$C$25:$C$40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94BF-447D-B67C-8F8ECC1C294E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solidFill>
                <a:srgbClr val="FFFFFF"/>
              </a:solidFill>
              <a:prstDash val="solid"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data_panel!$D$25:$D$40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94BF-447D-B67C-8F8ECC1C294E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data_panel!$B$25:$B$40</c:f>
              <c:numCache>
                <c:formatCode>General</c:formatCode>
                <c:ptCount val="16"/>
              </c:numCache>
            </c:numRef>
          </c:cat>
          <c:val>
            <c:numRef>
              <c:f>data_panel!$E$25:$E$40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94BF-447D-B67C-8F8ECC1C2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039469696"/>
        <c:axId val="2039466784"/>
      </c:barChart>
      <c:catAx>
        <c:axId val="203946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2039466784"/>
        <c:crosses val="autoZero"/>
        <c:auto val="1"/>
        <c:lblAlgn val="ctr"/>
        <c:lblOffset val="100"/>
        <c:noMultiLvlLbl val="0"/>
      </c:catAx>
      <c:valAx>
        <c:axId val="203946678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39469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934856307378159E-2"/>
          <c:y val="3.4142142488755474E-2"/>
          <c:w val="0.95857805199716217"/>
          <c:h val="0.83839320742381174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data_panel!$C$7</c:f>
              <c:strCache>
                <c:ptCount val="1"/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data_panel!$C$8:$C$11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F304-4D31-BB1A-9F118D16F6D0}"/>
            </c:ext>
          </c:extLst>
        </c:ser>
        <c:ser>
          <c:idx val="1"/>
          <c:order val="1"/>
          <c:tx>
            <c:strRef>
              <c:f>data_panel!$D$7</c:f>
              <c:strCache>
                <c:ptCount val="1"/>
              </c:strCache>
            </c:strRef>
          </c:tx>
          <c:spPr>
            <a:solidFill>
              <a:srgbClr val="F4EE00"/>
            </a:solidFill>
            <a:ln>
              <a:noFill/>
              <a:prstDash val="solid"/>
            </a:ln>
            <a:effectLst/>
          </c:spPr>
          <c:invertIfNegative val="0"/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data_panel!$D$8:$D$11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1-F304-4D31-BB1A-9F118D16F6D0}"/>
            </c:ext>
          </c:extLst>
        </c:ser>
        <c:ser>
          <c:idx val="2"/>
          <c:order val="2"/>
          <c:tx>
            <c:strRef>
              <c:f>data_panel!$E$7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284-4D22-BD3E-3936ED402D5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3FF-426D-88AC-58D3D2E4116F}"/>
              </c:ext>
            </c:extLst>
          </c:dPt>
          <c:dLbls>
            <c:delete val="1"/>
          </c:dLbls>
          <c:cat>
            <c:numRef>
              <c:f>data_panel!$B$8:$B$11</c:f>
              <c:numCache>
                <c:formatCode>General</c:formatCode>
                <c:ptCount val="4"/>
              </c:numCache>
            </c:numRef>
          </c:cat>
          <c:val>
            <c:numRef>
              <c:f>data_panel!$E$8:$E$11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F304-4D31-BB1A-9F118D16F6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1960716143"/>
        <c:axId val="317602463"/>
      </c:barChart>
      <c:catAx>
        <c:axId val="1960716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17602463"/>
        <c:crosses val="autoZero"/>
        <c:auto val="1"/>
        <c:lblAlgn val="ctr"/>
        <c:lblOffset val="100"/>
        <c:noMultiLvlLbl val="0"/>
      </c:catAx>
      <c:valAx>
        <c:axId val="3176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6071614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/>
      </a:pPr>
      <a:endParaRPr lang="es-CL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5.5485724260529812E-4"/>
          <c:w val="1"/>
          <c:h val="0.99944525218387836"/>
        </c:manualLayout>
      </c:layout>
      <c:lineChart>
        <c:grouping val="standard"/>
        <c:varyColors val="0"/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tx2">
                    <a:lumMod val="75000"/>
                    <a:lumOff val="25000"/>
                  </a:schemeClr>
                </a:solidFill>
                <a:ln w="9525">
                  <a:solidFill>
                    <a:schemeClr val="accent4">
                      <a:tint val="77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>
                    <a:tint val="77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800B-48A3-B694-03BD4409CB6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00B-48A3-B694-03BD4409CB6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00B-48A3-B694-03BD4409CB6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00B-48A3-B694-03BD4409CB6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00B-48A3-B694-03BD4409CB6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00B-48A3-B694-03BD4409CB6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00B-48A3-B694-03BD4409CB6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00B-48A3-B694-03BD4409CB6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00B-48A3-B694-03BD4409CB6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00B-48A3-B694-03BD4409CB6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00B-48A3-B694-03BD4409CB6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00B-48A3-B694-03BD4409CB64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cat>
            <c:multiLvlStrRef>
              <c:f>datos_graficos!$A$3:$B$14</c:f>
            </c:multiLvlStrRef>
          </c:cat>
          <c:val>
            <c:numRef>
              <c:f>datos_graficos!$D$3:$D$14</c:f>
              <c:numCache>
                <c:formatCode>General</c:formatCode>
                <c:ptCount val="12"/>
              </c:numCache>
            </c:numRef>
          </c:val>
          <c:smooth val="1"/>
          <c:extLst>
            <c:ext xmlns:c15="http://schemas.microsoft.com/office/drawing/2012/chart" uri="{02D57815-91ED-43cb-92C2-25804820EDAC}">
              <c15:datalabelsRange>
                <c15:f>datos_graficos!$A$3:$A$14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1A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1967439"/>
        <c:axId val="684485663"/>
      </c:lineChar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6245167666039477E-2"/>
                  <c:y val="4.4496481858428666E-2"/>
                </c:manualLayout>
              </c:layout>
              <c:tx>
                <c:rich>
                  <a:bodyPr/>
                  <a:lstStyle/>
                  <a:p>
                    <a:fld id="{C1F7EDFA-CF84-47CE-AFC0-13931C126617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0B-48A3-B694-03BD4409CB64}"/>
                </c:ext>
              </c:extLst>
            </c:dLbl>
            <c:dLbl>
              <c:idx val="1"/>
              <c:layout>
                <c:manualLayout>
                  <c:x val="-7.3452447068452151E-2"/>
                  <c:y val="-7.3811760822160025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800B-48A3-B694-03BD4409CB64}"/>
                </c:ext>
              </c:extLst>
            </c:dLbl>
            <c:dLbl>
              <c:idx val="2"/>
              <c:layout>
                <c:manualLayout>
                  <c:x val="-4.8792641017219765E-2"/>
                  <c:y val="-9.4163851555766481E-3"/>
                </c:manualLayout>
              </c:layout>
              <c:tx>
                <c:rich>
                  <a:bodyPr/>
                  <a:lstStyle/>
                  <a:p>
                    <a:fld id="{B877A485-532C-4D99-8A4B-78BF0E5579EF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800B-48A3-B694-03BD4409CB64}"/>
                </c:ext>
              </c:extLst>
            </c:dLbl>
            <c:dLbl>
              <c:idx val="3"/>
              <c:layout>
                <c:manualLayout>
                  <c:x val="-4.5017561182955884E-2"/>
                  <c:y val="-4.1088154381095962E-2"/>
                </c:manualLayout>
              </c:layout>
              <c:tx>
                <c:rich>
                  <a:bodyPr/>
                  <a:lstStyle/>
                  <a:p>
                    <a:fld id="{161E5CEC-39EF-4EB1-ACB2-84AFCE35ADAC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800B-48A3-B694-03BD4409CB64}"/>
                </c:ext>
              </c:extLst>
            </c:dLbl>
            <c:dLbl>
              <c:idx val="4"/>
              <c:layout>
                <c:manualLayout>
                  <c:x val="-5.6278713465467263E-2"/>
                  <c:y val="-5.7540772319761152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244A4D6-5126-4AEE-A9A3-1A5CB70ACB8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800B-48A3-B694-03BD4409CB64}"/>
                </c:ext>
              </c:extLst>
            </c:dLbl>
            <c:dLbl>
              <c:idx val="5"/>
              <c:layout>
                <c:manualLayout>
                  <c:x val="-4.0510424610904094E-2"/>
                  <c:y val="-5.7691568218312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086D2EA-B5EF-4FBA-9550-10F0040C6E17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800B-48A3-B694-03BD4409CB64}"/>
                </c:ext>
              </c:extLst>
            </c:dLbl>
            <c:dLbl>
              <c:idx val="6"/>
              <c:layout>
                <c:manualLayout>
                  <c:x val="-3.195754200246443E-2"/>
                  <c:y val="-0.1016625525673310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2DAC156-6CF6-4D35-924C-D05A33A5EA72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800B-48A3-B694-03BD4409CB64}"/>
                </c:ext>
              </c:extLst>
            </c:dLbl>
            <c:dLbl>
              <c:idx val="7"/>
              <c:layout>
                <c:manualLayout>
                  <c:x val="-4.5015673424156202E-2"/>
                  <c:y val="4.3202281860632075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9CA356-DD66-4349-801B-7FC05950038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800B-48A3-B694-03BD4409CB64}"/>
                </c:ext>
              </c:extLst>
            </c:dLbl>
            <c:dLbl>
              <c:idx val="8"/>
              <c:layout>
                <c:manualLayout>
                  <c:x val="-4.7432505128990603E-2"/>
                  <c:y val="4.06804704305767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4499F8-87C0-4A1B-9A58-E8CBD786183A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00B-48A3-B694-03BD4409CB64}"/>
                </c:ext>
              </c:extLst>
            </c:dLbl>
            <c:dLbl>
              <c:idx val="9"/>
              <c:layout>
                <c:manualLayout>
                  <c:x val="-3.9095773569145759E-2"/>
                  <c:y val="3.6279226149580034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029FF19-F393-4041-BB7B-1EF9752B0464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00B-48A3-B694-03BD4409CB64}"/>
                </c:ext>
              </c:extLst>
            </c:dLbl>
            <c:dLbl>
              <c:idx val="10"/>
              <c:layout>
                <c:manualLayout>
                  <c:x val="-2.4817169437332896E-2"/>
                  <c:y val="-3.6382578313794177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showDataLabelsRange val="1"/>
                </c:ext>
                <c:ext xmlns:c16="http://schemas.microsoft.com/office/drawing/2014/chart" uri="{C3380CC4-5D6E-409C-BE32-E72D297353CC}">
                  <c16:uniqueId val="{0000000A-800B-48A3-B694-03BD4409CB6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00B-48A3-B694-03BD4409CB64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datos_graficos!$A$3:$B$14</c:f>
            </c:multiLvlStrRef>
          </c:cat>
          <c:val>
            <c:numRef>
              <c:f>datos_graficos!$C$3:$C$14</c:f>
              <c:numCache>
                <c:formatCode>General</c:formatCode>
                <c:ptCount val="12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datos_graficos!$B$3:$B$14</c15:f>
                <c15:dlblRangeCache>
                  <c:ptCount val="12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catAx>
        <c:axId val="8719674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4485663"/>
        <c:crosses val="autoZero"/>
        <c:auto val="1"/>
        <c:lblAlgn val="ctr"/>
        <c:lblOffset val="100"/>
        <c:noMultiLvlLbl val="0"/>
      </c:catAx>
      <c:valAx>
        <c:axId val="6844856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71967439"/>
        <c:crosses val="autoZero"/>
        <c:crossBetween val="between"/>
      </c:valAx>
      <c:valAx>
        <c:axId val="8138128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'programas sociales'!$H$12</c:f>
              <c:strCache>
                <c:ptCount val="1"/>
                <c:pt idx="0">
                  <c:v>MONITOREO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42-464C-A490-380670E6407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42-464C-A490-380670E6407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42-464C-A490-380670E64070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42-464C-A490-380670E64070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42-464C-A490-380670E64070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42-464C-A490-380670E6407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effectLst>
                      <a:outerShdw blurRad="50800" dist="50800" dir="6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sociales'!$E$13:$E$18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sociales'!$H$13:$H$18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29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1F-47AB-B4E9-1D434AAFE7B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449791332080515"/>
          <c:y val="6.4585547031653492E-2"/>
          <c:w val="0.40451454264563541"/>
          <c:h val="0.8571154812004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34.png"/><Relationship Id="rId5" Type="http://schemas.openxmlformats.org/officeDocument/2006/relationships/image" Target="../media/image33.png"/><Relationship Id="rId4" Type="http://schemas.openxmlformats.org/officeDocument/2006/relationships/image" Target="../media/image3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329047</xdr:colOff>
      <xdr:row>35</xdr:row>
      <xdr:rowOff>34636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610464</xdr:colOff>
      <xdr:row>35</xdr:row>
      <xdr:rowOff>49787</xdr:rowOff>
    </xdr:from>
    <xdr:to>
      <xdr:col>18</xdr:col>
      <xdr:colOff>34635</xdr:colOff>
      <xdr:row>47</xdr:row>
      <xdr:rowOff>294410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E5DC9B-EFF3-4F76-A7FB-63DE9EB448D4}"/>
            </a:ext>
            <a:ext uri="{147F2762-F138-4A5C-976F-8EAC2B608ADB}">
              <a16:predDERef xmlns:a16="http://schemas.microsoft.com/office/drawing/2014/main" pre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602305</xdr:colOff>
      <xdr:row>16</xdr:row>
      <xdr:rowOff>145534</xdr:rowOff>
    </xdr:from>
    <xdr:to>
      <xdr:col>18</xdr:col>
      <xdr:colOff>7362</xdr:colOff>
      <xdr:row>30</xdr:row>
      <xdr:rowOff>90055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9CB9207-1B89-457E-94B4-59F8868DBEB1}"/>
            </a:ext>
            <a:ext uri="{147F2762-F138-4A5C-976F-8EAC2B608ADB}">
              <a16:predDERef xmlns:a16="http://schemas.microsoft.com/office/drawing/2014/main" pred="{00E5DC9B-EFF3-4F76-A7FB-63DE9EB44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286465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337254</xdr:colOff>
          <xdr:row>36</xdr:row>
          <xdr:rowOff>133350</xdr:rowOff>
        </xdr:from>
        <xdr:to>
          <xdr:col>5</xdr:col>
          <xdr:colOff>319733</xdr:colOff>
          <xdr:row>41</xdr:row>
          <xdr:rowOff>171450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0:D24" spid="_x0000_s286466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37254" y="7440386"/>
              <a:ext cx="4146265" cy="105863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3" spid="_x0000_s286467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5:D18" spid="_x0000_s286468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6:D33" spid="_x0000_s286469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167784</xdr:colOff>
          <xdr:row>37</xdr:row>
          <xdr:rowOff>18047</xdr:rowOff>
        </xdr:from>
        <xdr:to>
          <xdr:col>23</xdr:col>
          <xdr:colOff>383807</xdr:colOff>
          <xdr:row>43</xdr:row>
          <xdr:rowOff>136072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5:D39" spid="_x0000_s286470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489177" y="7529190"/>
              <a:ext cx="4937701" cy="134266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1:D46" spid="_x0000_s286471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8:D54" spid="_x0000_s286472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6</xdr:col>
      <xdr:colOff>1314449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4374" y="2097658"/>
          <a:ext cx="7038975" cy="287988"/>
        </a:xfrm>
        <a:prstGeom prst="rect">
          <a:avLst/>
        </a:prstGeom>
        <a:solidFill>
          <a:srgbClr val="002060"/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670098</xdr:colOff>
      <xdr:row>0</xdr:row>
      <xdr:rowOff>0</xdr:rowOff>
    </xdr:from>
    <xdr:to>
      <xdr:col>3</xdr:col>
      <xdr:colOff>148077</xdr:colOff>
      <xdr:row>4</xdr:row>
      <xdr:rowOff>77703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098" y="0"/>
          <a:ext cx="4777343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106216</xdr:colOff>
      <xdr:row>3</xdr:row>
      <xdr:rowOff>1</xdr:rowOff>
    </xdr:from>
    <xdr:to>
      <xdr:col>7</xdr:col>
      <xdr:colOff>2721428</xdr:colOff>
      <xdr:row>9</xdr:row>
      <xdr:rowOff>1056409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38202</xdr:colOff>
      <xdr:row>10</xdr:row>
      <xdr:rowOff>69273</xdr:rowOff>
    </xdr:from>
    <xdr:to>
      <xdr:col>3</xdr:col>
      <xdr:colOff>2286000</xdr:colOff>
      <xdr:row>17</xdr:row>
      <xdr:rowOff>535845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246700</xdr:colOff>
      <xdr:row>20</xdr:row>
      <xdr:rowOff>43413</xdr:rowOff>
    </xdr:from>
    <xdr:to>
      <xdr:col>4</xdr:col>
      <xdr:colOff>1147440</xdr:colOff>
      <xdr:row>22</xdr:row>
      <xdr:rowOff>441108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B1A0CE6-D7D8-D5DC-0352-FDA38FBF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671" y="11025178"/>
          <a:ext cx="900740" cy="8987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89649</xdr:colOff>
      <xdr:row>21</xdr:row>
      <xdr:rowOff>56029</xdr:rowOff>
    </xdr:from>
    <xdr:to>
      <xdr:col>7</xdr:col>
      <xdr:colOff>672354</xdr:colOff>
      <xdr:row>22</xdr:row>
      <xdr:rowOff>311728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D69634E-DD6E-1EBF-1EAC-9D2C2846C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90" y="10107705"/>
          <a:ext cx="582705" cy="7059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205781</xdr:colOff>
      <xdr:row>25</xdr:row>
      <xdr:rowOff>154846</xdr:rowOff>
    </xdr:from>
    <xdr:to>
      <xdr:col>7</xdr:col>
      <xdr:colOff>946159</xdr:colOff>
      <xdr:row>26</xdr:row>
      <xdr:rowOff>343888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7FD0CB-86F7-FE2D-4922-0A9F03792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9008" y="12883710"/>
          <a:ext cx="740378" cy="745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195304</xdr:colOff>
      <xdr:row>25</xdr:row>
      <xdr:rowOff>69709</xdr:rowOff>
    </xdr:from>
    <xdr:to>
      <xdr:col>4</xdr:col>
      <xdr:colOff>911678</xdr:colOff>
      <xdr:row>26</xdr:row>
      <xdr:rowOff>236518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FF8353-5A8F-1AA3-7588-D0EF889F2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3483" y="12561066"/>
          <a:ext cx="716374" cy="7271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C5F27-4ECE-41D4-B69D-721F29C3337F}" name="Tabla3" displayName="Tabla3" ref="B20:C27" totalsRowShown="0" headerRowDxfId="17" dataDxfId="15" totalsRowDxfId="13" headerRowBorderDxfId="16" tableBorderDxfId="14" totalsRowBorderDxfId="12">
  <tableColumns count="2">
    <tableColumn id="1" xr3:uid="{59BD1EC2-C3BB-43E8-A6F6-E914B455E7BB}" name="SUBSECRETARÍA/SERVICIO" dataDxfId="11" totalsRowDxfId="10"/>
    <tableColumn id="2" xr3:uid="{DF4BB275-2D51-45F7-8197-42C7331CDF0B}" name="NÚMERO DE PROGRAMAS 2024" dataDxfId="9" totalsRowDxfId="8"/>
  </tableColumns>
  <tableStyleInfo name="TableStyleLight12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7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</row>
    <row r="2" spans="1:24">
      <c r="A2" s="90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</row>
    <row r="3" spans="1:24">
      <c r="A3" s="90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</row>
    <row r="4" spans="1:24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</row>
    <row r="5" spans="1:24">
      <c r="A5" s="90"/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</row>
    <row r="6" spans="1:24">
      <c r="A6" s="90"/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</row>
    <row r="7" spans="1:24">
      <c r="A7" s="90"/>
      <c r="B7" s="87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1:24">
      <c r="A8" s="90"/>
      <c r="B8" s="87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88"/>
      <c r="Q8" s="90"/>
      <c r="R8" s="90"/>
      <c r="S8" s="90"/>
      <c r="T8" s="90"/>
      <c r="U8" s="90"/>
      <c r="V8" s="90"/>
      <c r="W8" s="90"/>
      <c r="X8" s="90"/>
    </row>
    <row r="9" spans="1:24">
      <c r="A9" s="90"/>
      <c r="B9" s="87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88"/>
      <c r="Q9" s="90"/>
      <c r="R9" s="90"/>
      <c r="S9" s="90"/>
      <c r="T9" s="90"/>
      <c r="U9" s="90"/>
      <c r="V9" s="90"/>
      <c r="W9" s="90"/>
      <c r="X9" s="90"/>
    </row>
    <row r="10" spans="1:24">
      <c r="A10" s="90"/>
      <c r="B10" s="87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88"/>
      <c r="Q10" s="90"/>
      <c r="R10" s="90"/>
      <c r="S10" s="90"/>
      <c r="T10" s="90"/>
      <c r="U10" s="90"/>
      <c r="V10" s="90"/>
      <c r="W10" s="90"/>
      <c r="X10" s="90"/>
    </row>
    <row r="11" spans="1:24" ht="39.75" customHeight="1">
      <c r="A11" s="90"/>
      <c r="B11" s="87"/>
      <c r="C11" s="267"/>
      <c r="D11" s="267"/>
      <c r="E11" s="272"/>
      <c r="F11" s="273" t="s">
        <v>202</v>
      </c>
      <c r="G11" s="460">
        <v>2024</v>
      </c>
      <c r="H11" s="460"/>
      <c r="I11" s="90"/>
      <c r="J11" s="90"/>
      <c r="K11" s="90"/>
      <c r="L11" s="90"/>
      <c r="M11" s="90"/>
      <c r="N11" s="90"/>
      <c r="O11" s="90"/>
      <c r="P11" s="88"/>
      <c r="Q11" s="90"/>
      <c r="R11" s="90"/>
      <c r="S11" s="90"/>
      <c r="T11" s="90"/>
      <c r="U11" s="90"/>
      <c r="V11" s="90"/>
      <c r="W11" s="90"/>
      <c r="X11" s="90"/>
    </row>
    <row r="12" spans="1:24" ht="26.25" customHeight="1">
      <c r="A12" s="90"/>
      <c r="B12" s="87"/>
      <c r="C12" s="90"/>
      <c r="D12" s="90"/>
      <c r="E12" s="274"/>
      <c r="F12" s="461" t="s">
        <v>203</v>
      </c>
      <c r="G12" s="462"/>
      <c r="H12" s="90"/>
      <c r="I12" s="90"/>
      <c r="J12" s="90"/>
      <c r="K12" s="90"/>
      <c r="L12" s="90"/>
      <c r="M12" s="90"/>
      <c r="N12" s="90"/>
      <c r="O12" s="90"/>
      <c r="P12" s="88"/>
      <c r="Q12" s="90"/>
      <c r="R12" s="90"/>
      <c r="S12" s="90"/>
      <c r="T12" s="90"/>
      <c r="U12" s="90"/>
      <c r="V12" s="90"/>
      <c r="W12" s="90"/>
      <c r="X12" s="90"/>
    </row>
    <row r="13" spans="1:24" ht="53.25" customHeight="1">
      <c r="A13" s="90"/>
      <c r="B13" s="87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88"/>
      <c r="Q13" s="90"/>
      <c r="R13" s="90"/>
      <c r="S13" s="90"/>
      <c r="T13" s="90"/>
      <c r="U13" s="90"/>
      <c r="V13" s="90"/>
      <c r="W13" s="90"/>
      <c r="X13" s="90"/>
    </row>
    <row r="14" spans="1:24">
      <c r="A14" s="90"/>
      <c r="B14" s="87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88"/>
      <c r="Q14" s="90"/>
      <c r="R14" s="90"/>
      <c r="S14" s="90"/>
      <c r="T14" s="90"/>
      <c r="U14" s="90"/>
      <c r="V14" s="90"/>
      <c r="W14" s="90"/>
      <c r="X14" s="90"/>
    </row>
    <row r="15" spans="1:24" ht="18.75">
      <c r="A15" s="90"/>
      <c r="B15" s="87"/>
      <c r="C15" s="90"/>
      <c r="D15" s="90"/>
      <c r="E15" s="271"/>
      <c r="F15" s="458" t="s">
        <v>204</v>
      </c>
      <c r="G15" s="458"/>
      <c r="H15" s="90"/>
      <c r="I15" s="90"/>
      <c r="J15" s="90"/>
      <c r="K15" s="90"/>
      <c r="L15" s="90"/>
      <c r="M15" s="90"/>
      <c r="N15" s="90"/>
      <c r="O15" s="90"/>
      <c r="P15" s="88"/>
      <c r="Q15" s="90"/>
      <c r="R15" s="90"/>
      <c r="S15" s="90"/>
      <c r="T15" s="90"/>
      <c r="U15" s="90"/>
      <c r="V15" s="90"/>
      <c r="W15" s="90"/>
      <c r="X15" s="90"/>
    </row>
    <row r="16" spans="1:24" ht="18.75">
      <c r="A16" s="90"/>
      <c r="B16" s="87"/>
      <c r="C16" s="90"/>
      <c r="D16" s="90"/>
      <c r="E16" s="271"/>
      <c r="F16" s="458" t="s">
        <v>205</v>
      </c>
      <c r="G16" s="458"/>
      <c r="H16" s="90"/>
      <c r="I16" s="90"/>
      <c r="J16" s="90"/>
      <c r="K16" s="90"/>
      <c r="L16" s="90"/>
      <c r="M16" s="90"/>
      <c r="N16" s="90"/>
      <c r="O16" s="90"/>
      <c r="P16" s="88"/>
      <c r="Q16" s="90"/>
      <c r="R16" s="90"/>
      <c r="S16" s="90"/>
      <c r="T16" s="90"/>
      <c r="U16" s="90"/>
      <c r="V16" s="90"/>
      <c r="W16" s="90"/>
      <c r="X16" s="90"/>
    </row>
    <row r="17" spans="1:24" ht="21" customHeight="1">
      <c r="A17" s="90"/>
      <c r="B17" s="87"/>
      <c r="C17" s="90"/>
      <c r="D17" s="90"/>
      <c r="E17" s="268"/>
      <c r="F17" s="269"/>
      <c r="G17" s="269"/>
      <c r="H17" s="90"/>
      <c r="I17" s="90"/>
      <c r="J17" s="90"/>
      <c r="K17" s="90"/>
      <c r="L17" s="90"/>
      <c r="M17" s="90"/>
      <c r="N17" s="90"/>
      <c r="O17" s="90"/>
      <c r="P17" s="88"/>
      <c r="Q17" s="90"/>
      <c r="R17" s="90"/>
      <c r="S17" s="90"/>
      <c r="T17" s="90"/>
      <c r="U17" s="90"/>
      <c r="V17" s="90"/>
      <c r="W17" s="90"/>
      <c r="X17" s="90"/>
    </row>
    <row r="18" spans="1:24" ht="18.75">
      <c r="A18" s="90"/>
      <c r="B18" s="87"/>
      <c r="C18" s="90"/>
      <c r="D18" s="90"/>
      <c r="E18" s="270"/>
      <c r="F18" s="459" t="s">
        <v>206</v>
      </c>
      <c r="G18" s="459"/>
      <c r="H18" s="90"/>
      <c r="I18" s="90"/>
      <c r="J18" s="90"/>
      <c r="K18" s="90"/>
      <c r="L18" s="90"/>
      <c r="M18" s="90"/>
      <c r="N18" s="90"/>
      <c r="O18" s="90"/>
      <c r="P18" s="88"/>
      <c r="Q18" s="90"/>
      <c r="R18" s="90"/>
      <c r="S18" s="90"/>
      <c r="T18" s="90"/>
      <c r="U18" s="90"/>
      <c r="V18" s="90"/>
      <c r="W18" s="90"/>
      <c r="X18" s="90"/>
    </row>
    <row r="19" spans="1:24">
      <c r="A19" s="90"/>
      <c r="B19" s="87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88"/>
      <c r="Q19" s="90"/>
      <c r="R19" s="90"/>
      <c r="S19" s="90"/>
      <c r="T19" s="90"/>
      <c r="U19" s="90"/>
      <c r="V19" s="90"/>
      <c r="W19" s="90"/>
      <c r="X19" s="90"/>
    </row>
    <row r="20" spans="1:24">
      <c r="A20" s="90"/>
      <c r="B20" s="87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88"/>
      <c r="Q20" s="90"/>
      <c r="R20" s="90"/>
      <c r="S20" s="90"/>
      <c r="T20" s="90"/>
      <c r="U20" s="90"/>
      <c r="V20" s="90"/>
      <c r="W20" s="90"/>
      <c r="X20" s="90"/>
    </row>
    <row r="21" spans="1:24">
      <c r="A21" s="90"/>
      <c r="B21" s="87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88"/>
      <c r="Q21" s="90"/>
      <c r="R21" s="90"/>
      <c r="S21" s="90"/>
      <c r="T21" s="90"/>
      <c r="U21" s="90"/>
      <c r="V21" s="90"/>
      <c r="W21" s="90"/>
      <c r="X21" s="90"/>
    </row>
    <row r="22" spans="1:24">
      <c r="A22" s="90"/>
      <c r="B22" s="87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88"/>
      <c r="Q22" s="90"/>
      <c r="R22" s="90"/>
      <c r="S22" s="90"/>
      <c r="T22" s="90"/>
      <c r="U22" s="90"/>
      <c r="V22" s="90"/>
      <c r="W22" s="90"/>
      <c r="X22" s="90"/>
    </row>
    <row r="23" spans="1:24">
      <c r="A23" s="90"/>
      <c r="B23" s="87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88"/>
      <c r="Q23" s="90"/>
      <c r="R23" s="90"/>
      <c r="S23" s="90"/>
      <c r="T23" s="90"/>
      <c r="U23" s="90"/>
      <c r="V23" s="90"/>
      <c r="W23" s="90"/>
      <c r="X23" s="90"/>
    </row>
    <row r="24" spans="1:24">
      <c r="A24" s="90"/>
      <c r="B24" s="87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88"/>
      <c r="Q24" s="90"/>
      <c r="R24" s="90"/>
      <c r="S24" s="90"/>
      <c r="T24" s="90"/>
      <c r="U24" s="90"/>
      <c r="V24" s="90"/>
      <c r="W24" s="90"/>
      <c r="X24" s="90"/>
    </row>
    <row r="25" spans="1:24">
      <c r="A25" s="90"/>
      <c r="B25" s="87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88"/>
      <c r="Q25" s="90"/>
      <c r="R25" s="90"/>
      <c r="S25" s="90"/>
      <c r="T25" s="90"/>
      <c r="U25" s="90"/>
      <c r="V25" s="90"/>
      <c r="W25" s="90"/>
      <c r="X25" s="90"/>
    </row>
    <row r="26" spans="1:24">
      <c r="A26" s="90"/>
      <c r="B26" s="87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88"/>
      <c r="Q26" s="90"/>
      <c r="R26" s="90"/>
      <c r="S26" s="90"/>
      <c r="T26" s="90"/>
      <c r="U26" s="90"/>
      <c r="V26" s="90"/>
      <c r="W26" s="90"/>
      <c r="X26" s="90"/>
    </row>
    <row r="27" spans="1:24">
      <c r="A27" s="90"/>
      <c r="B27" s="87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88"/>
      <c r="Q27" s="90"/>
      <c r="R27" s="90"/>
      <c r="S27" s="90"/>
      <c r="T27" s="90"/>
      <c r="U27" s="90"/>
      <c r="V27" s="90"/>
      <c r="W27" s="90"/>
      <c r="X27" s="90"/>
    </row>
    <row r="28" spans="1:24">
      <c r="A28" s="90"/>
      <c r="B28" s="87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88"/>
      <c r="Q28" s="90"/>
      <c r="R28" s="90"/>
      <c r="S28" s="90"/>
      <c r="T28" s="90"/>
      <c r="U28" s="90"/>
      <c r="V28" s="90"/>
      <c r="W28" s="90"/>
      <c r="X28" s="90"/>
    </row>
    <row r="29" spans="1:24">
      <c r="A29" s="90"/>
      <c r="B29" s="87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88"/>
      <c r="Q29" s="90"/>
      <c r="R29" s="90"/>
      <c r="S29" s="90"/>
      <c r="T29" s="90"/>
      <c r="U29" s="90"/>
      <c r="V29" s="90"/>
      <c r="W29" s="90"/>
      <c r="X29" s="90"/>
    </row>
    <row r="30" spans="1:24">
      <c r="A30" s="90"/>
      <c r="B30" s="87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88"/>
      <c r="Q30" s="90"/>
      <c r="R30" s="90"/>
      <c r="S30" s="90"/>
      <c r="T30" s="90"/>
      <c r="U30" s="90"/>
      <c r="V30" s="90"/>
      <c r="W30" s="90"/>
      <c r="X30" s="90"/>
    </row>
    <row r="31" spans="1:24">
      <c r="A31" s="90"/>
      <c r="B31" s="87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88"/>
      <c r="Q31" s="90"/>
      <c r="R31" s="90"/>
      <c r="S31" s="90"/>
      <c r="T31" s="90"/>
      <c r="U31" s="90"/>
      <c r="V31" s="90"/>
      <c r="W31" s="90"/>
      <c r="X31" s="90"/>
    </row>
    <row r="32" spans="1:24">
      <c r="A32" s="90"/>
      <c r="B32" s="87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88"/>
      <c r="Q32" s="90"/>
      <c r="R32" s="90"/>
      <c r="S32" s="90"/>
      <c r="T32" s="90"/>
      <c r="U32" s="90"/>
      <c r="V32" s="90"/>
      <c r="W32" s="90"/>
      <c r="X32" s="90"/>
    </row>
    <row r="33" spans="1:24" ht="23.25" customHeight="1">
      <c r="A33" s="90"/>
      <c r="B33" s="87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88"/>
      <c r="Q33" s="90"/>
      <c r="R33" s="90"/>
      <c r="S33" s="90"/>
      <c r="T33" s="90"/>
      <c r="U33" s="90"/>
      <c r="V33" s="90"/>
      <c r="W33" s="90"/>
      <c r="X33" s="90"/>
    </row>
    <row r="34" spans="1:24">
      <c r="A34" s="90"/>
      <c r="B34" s="87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88"/>
      <c r="Q34" s="90"/>
      <c r="R34" s="90"/>
      <c r="S34" s="90"/>
      <c r="T34" s="90"/>
      <c r="U34" s="90"/>
      <c r="V34" s="90"/>
      <c r="W34" s="90"/>
      <c r="X34" s="90"/>
    </row>
    <row r="35" spans="1:24">
      <c r="A35" s="90"/>
      <c r="B35" s="87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88"/>
      <c r="Q35" s="90"/>
      <c r="R35" s="90"/>
      <c r="S35" s="90"/>
      <c r="T35" s="90"/>
      <c r="U35" s="90"/>
      <c r="V35" s="90"/>
      <c r="W35" s="90"/>
      <c r="X35" s="90"/>
    </row>
    <row r="36" spans="1:24">
      <c r="A36" s="90"/>
      <c r="B36" s="87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88"/>
      <c r="Q36" s="90"/>
      <c r="R36" s="90"/>
      <c r="S36" s="90"/>
      <c r="T36" s="90"/>
      <c r="U36" s="90"/>
      <c r="V36" s="90"/>
      <c r="W36" s="90"/>
      <c r="X36" s="90"/>
    </row>
    <row r="37" spans="1:24">
      <c r="A37" s="90"/>
      <c r="B37" s="87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88"/>
      <c r="Q37" s="90"/>
      <c r="R37" s="90"/>
      <c r="S37" s="90"/>
      <c r="T37" s="90"/>
      <c r="U37" s="90"/>
      <c r="V37" s="90"/>
      <c r="W37" s="90"/>
      <c r="X37" s="90"/>
    </row>
    <row r="38" spans="1:24">
      <c r="A38" s="90"/>
      <c r="B38" s="87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88"/>
      <c r="Q38" s="90"/>
      <c r="R38" s="90"/>
      <c r="S38" s="90"/>
      <c r="T38" s="90"/>
      <c r="U38" s="90"/>
      <c r="V38" s="90"/>
      <c r="W38" s="90"/>
      <c r="X38" s="90"/>
    </row>
    <row r="39" spans="1:24">
      <c r="A39" s="90"/>
      <c r="B39" s="87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88"/>
      <c r="Q39" s="90"/>
      <c r="R39" s="90"/>
      <c r="S39" s="90"/>
      <c r="T39" s="90"/>
      <c r="U39" s="90"/>
      <c r="V39" s="90"/>
      <c r="W39" s="90"/>
      <c r="X39" s="90"/>
    </row>
    <row r="40" spans="1:24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</row>
    <row r="41" spans="1:24">
      <c r="I41" s="115"/>
      <c r="J41" s="115"/>
      <c r="K41" s="115"/>
      <c r="L41" s="115"/>
      <c r="M41" s="115"/>
      <c r="N41" s="115"/>
      <c r="O41" s="90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6" zoomScale="40" zoomScaleNormal="70" zoomScaleSheetLayoutView="40" zoomScalePageLayoutView="25" workbookViewId="0">
      <selection activeCell="O13" sqref="O13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27"/>
    </row>
    <row r="2" spans="1:19" ht="37.35" customHeight="1">
      <c r="A2" s="29"/>
      <c r="B2" s="314"/>
      <c r="C2" s="314"/>
      <c r="D2" s="314"/>
      <c r="E2" s="314"/>
      <c r="F2" s="314"/>
      <c r="G2" s="314"/>
      <c r="H2" s="314"/>
      <c r="I2" s="314"/>
      <c r="J2" s="464" t="s">
        <v>216</v>
      </c>
      <c r="K2" s="464"/>
      <c r="L2" s="464"/>
      <c r="M2" s="464"/>
      <c r="N2" s="464"/>
      <c r="O2" s="464"/>
      <c r="P2" s="314"/>
      <c r="Q2" s="314"/>
      <c r="R2" s="314"/>
      <c r="S2" s="28"/>
    </row>
    <row r="3" spans="1:19" ht="7.35" customHeight="1">
      <c r="A3" s="29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28"/>
    </row>
    <row r="4" spans="1:19" ht="33" customHeight="1">
      <c r="A4" s="29"/>
      <c r="B4" s="315" t="s">
        <v>213</v>
      </c>
      <c r="C4" s="315"/>
      <c r="D4" s="315"/>
      <c r="E4" s="315"/>
      <c r="F4" s="315"/>
      <c r="G4" s="315"/>
      <c r="H4" s="315"/>
      <c r="I4" s="315" t="s">
        <v>214</v>
      </c>
      <c r="J4" s="463" t="s">
        <v>215</v>
      </c>
      <c r="K4" s="463"/>
      <c r="L4" s="463"/>
      <c r="M4" s="463"/>
      <c r="N4" s="463"/>
      <c r="O4" s="463"/>
      <c r="P4" s="227"/>
      <c r="Q4" s="227"/>
      <c r="R4" s="228"/>
      <c r="S4" s="28"/>
    </row>
    <row r="5" spans="1:19" ht="29.25" customHeight="1">
      <c r="A5" s="29"/>
      <c r="B5" s="316"/>
      <c r="C5" s="316"/>
      <c r="D5" s="316"/>
      <c r="E5" s="316"/>
      <c r="F5" s="316"/>
      <c r="G5" s="316"/>
      <c r="H5" s="316"/>
      <c r="I5" s="318"/>
      <c r="J5" s="474" t="s">
        <v>185</v>
      </c>
      <c r="K5" s="474"/>
      <c r="L5" s="474"/>
      <c r="M5" s="474"/>
      <c r="N5" s="471" t="s">
        <v>186</v>
      </c>
      <c r="O5" s="471"/>
      <c r="P5" s="471"/>
      <c r="Q5" s="317"/>
      <c r="R5" s="317"/>
      <c r="S5" s="28"/>
    </row>
    <row r="6" spans="1:19" ht="23.25" customHeight="1" thickBot="1">
      <c r="A6" s="29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28"/>
    </row>
    <row r="7" spans="1:19" ht="12.75" hidden="1" customHeight="1">
      <c r="A7" s="29"/>
    </row>
    <row r="8" spans="1:19" ht="45.75" customHeight="1" thickBot="1">
      <c r="A8" s="29"/>
      <c r="C8" s="475" t="str">
        <f>_xlfn.CONCAT("PERIODO ", N5)</f>
        <v>PERIODO OCTUBRE - 2024</v>
      </c>
      <c r="D8" s="476"/>
      <c r="E8" s="477"/>
      <c r="G8" s="64" t="s">
        <v>1</v>
      </c>
      <c r="H8" s="48"/>
      <c r="I8" s="48"/>
      <c r="J8" s="48"/>
      <c r="K8" s="49" t="s">
        <v>2</v>
      </c>
      <c r="L8" s="48"/>
      <c r="M8" s="49" t="s">
        <v>3</v>
      </c>
      <c r="N8" s="48"/>
      <c r="O8" s="49" t="s">
        <v>4</v>
      </c>
      <c r="P8" s="48"/>
      <c r="Q8" s="48"/>
      <c r="R8" s="63" t="s">
        <v>5</v>
      </c>
      <c r="S8" s="28"/>
    </row>
    <row r="9" spans="1:19" ht="23.25" customHeight="1">
      <c r="A9" s="29"/>
      <c r="G9" s="50"/>
      <c r="H9" s="51"/>
      <c r="I9" s="51"/>
      <c r="J9" s="51"/>
      <c r="K9" s="345"/>
      <c r="L9" s="51"/>
      <c r="M9" s="51"/>
      <c r="N9" s="51"/>
      <c r="O9" s="51"/>
      <c r="P9" s="51"/>
      <c r="Q9" s="51"/>
      <c r="R9" s="52"/>
      <c r="S9" s="28"/>
    </row>
    <row r="10" spans="1:19" ht="42" customHeight="1">
      <c r="A10" s="29"/>
      <c r="C10" s="478" t="s">
        <v>5</v>
      </c>
      <c r="D10" s="478"/>
      <c r="E10" s="478"/>
      <c r="G10" s="84" t="s">
        <v>8</v>
      </c>
      <c r="H10" s="53"/>
      <c r="I10" s="53"/>
      <c r="J10" s="44"/>
      <c r="K10" s="54"/>
      <c r="L10" s="53"/>
      <c r="M10" s="44"/>
      <c r="N10" s="53"/>
      <c r="O10" s="44"/>
      <c r="P10" s="53"/>
      <c r="Q10" s="53"/>
      <c r="R10" s="55">
        <f>SUM($K10:$O10)</f>
        <v>0</v>
      </c>
      <c r="S10" s="28"/>
    </row>
    <row r="11" spans="1:19" ht="36" customHeight="1">
      <c r="A11" s="29"/>
      <c r="C11" s="77" t="s">
        <v>6</v>
      </c>
      <c r="D11" s="465">
        <f>R13</f>
        <v>0</v>
      </c>
      <c r="E11" s="465"/>
      <c r="G11" s="56" t="s">
        <v>9</v>
      </c>
      <c r="H11" s="53"/>
      <c r="I11" s="53"/>
      <c r="J11" s="44"/>
      <c r="K11" s="54"/>
      <c r="L11" s="53"/>
      <c r="M11" s="44"/>
      <c r="N11" s="53"/>
      <c r="O11" s="44"/>
      <c r="P11" s="53"/>
      <c r="Q11" s="53"/>
      <c r="R11" s="55">
        <f t="shared" ref="R11:R13" si="0">SUM($K11:$O11)</f>
        <v>0</v>
      </c>
      <c r="S11" s="28"/>
    </row>
    <row r="12" spans="1:19" ht="43.5" customHeight="1">
      <c r="A12" s="29"/>
      <c r="C12" s="69" t="s">
        <v>7</v>
      </c>
      <c r="D12" s="465">
        <f>R12</f>
        <v>0</v>
      </c>
      <c r="E12" s="465"/>
      <c r="G12" s="56" t="s">
        <v>7</v>
      </c>
      <c r="H12" s="53"/>
      <c r="I12" s="53"/>
      <c r="J12" s="44"/>
      <c r="K12" s="54"/>
      <c r="L12" s="53"/>
      <c r="M12" s="44"/>
      <c r="N12" s="53"/>
      <c r="O12" s="44"/>
      <c r="P12" s="53"/>
      <c r="Q12" s="53"/>
      <c r="R12" s="55">
        <f t="shared" si="0"/>
        <v>0</v>
      </c>
      <c r="S12" s="28"/>
    </row>
    <row r="13" spans="1:19" ht="36.75" customHeight="1">
      <c r="A13" s="29"/>
      <c r="C13" s="69" t="s">
        <v>8</v>
      </c>
      <c r="D13" s="465">
        <f>R10</f>
        <v>0</v>
      </c>
      <c r="E13" s="465"/>
      <c r="G13" s="85" t="s">
        <v>6</v>
      </c>
      <c r="H13" s="57"/>
      <c r="I13" s="53"/>
      <c r="J13" s="44"/>
      <c r="K13" s="54"/>
      <c r="L13" s="53"/>
      <c r="M13" s="44"/>
      <c r="N13" s="53"/>
      <c r="O13" s="44"/>
      <c r="P13" s="53"/>
      <c r="Q13" s="53"/>
      <c r="R13" s="55">
        <f t="shared" si="0"/>
        <v>0</v>
      </c>
      <c r="S13" s="28"/>
    </row>
    <row r="14" spans="1:19" ht="53.25" customHeight="1">
      <c r="A14" s="29"/>
      <c r="C14" s="69" t="s">
        <v>9</v>
      </c>
      <c r="D14" s="465">
        <f>R11</f>
        <v>0</v>
      </c>
      <c r="E14" s="465"/>
      <c r="G14" s="62" t="s">
        <v>10</v>
      </c>
      <c r="H14" s="58"/>
      <c r="I14" s="59"/>
      <c r="J14" s="60"/>
      <c r="K14" s="60">
        <f>SUM(K10:K13)</f>
        <v>0</v>
      </c>
      <c r="L14" s="59"/>
      <c r="M14" s="60">
        <f>SUM(M10:M13)</f>
        <v>0</v>
      </c>
      <c r="N14" s="59"/>
      <c r="O14" s="60">
        <f>SUM(O10:O13)</f>
        <v>0</v>
      </c>
      <c r="P14" s="59"/>
      <c r="Q14" s="59"/>
      <c r="R14" s="61">
        <f>SUM(R10:R13)</f>
        <v>0</v>
      </c>
      <c r="S14" s="28"/>
    </row>
    <row r="15" spans="1:19" ht="38.25" customHeight="1">
      <c r="A15" s="29"/>
      <c r="C15" s="45" t="s">
        <v>11</v>
      </c>
      <c r="D15" s="473">
        <f>R14</f>
        <v>0</v>
      </c>
      <c r="E15" s="473"/>
      <c r="H15" s="43"/>
      <c r="M15" s="43"/>
      <c r="N15" s="43"/>
      <c r="O15" s="43"/>
      <c r="S15" s="28"/>
    </row>
    <row r="16" spans="1:19" ht="27" customHeight="1">
      <c r="A16" s="29"/>
      <c r="H16" s="44"/>
      <c r="O16" s="44"/>
      <c r="S16" s="28"/>
    </row>
    <row r="17" spans="1:19" ht="17.25" customHeight="1">
      <c r="A17" s="29"/>
      <c r="S17" s="28"/>
    </row>
    <row r="18" spans="1:19" ht="28.5" customHeight="1">
      <c r="A18" s="29"/>
      <c r="S18" s="28"/>
    </row>
    <row r="19" spans="1:19" ht="12" customHeight="1">
      <c r="A19" s="29"/>
      <c r="S19" s="28"/>
    </row>
    <row r="20" spans="1:19" ht="15" customHeight="1">
      <c r="A20" s="29"/>
      <c r="S20" s="28"/>
    </row>
    <row r="21" spans="1:19" ht="9.75" customHeight="1">
      <c r="A21" s="29"/>
      <c r="S21" s="28"/>
    </row>
    <row r="22" spans="1:19" ht="5.25" customHeight="1">
      <c r="A22" s="29"/>
      <c r="S22" s="28"/>
    </row>
    <row r="23" spans="1:19" ht="9.75" customHeight="1">
      <c r="A23" s="29"/>
      <c r="S23" s="28"/>
    </row>
    <row r="24" spans="1:19" ht="50.25" customHeight="1">
      <c r="A24" s="29"/>
      <c r="C24" s="466" t="s">
        <v>12</v>
      </c>
      <c r="D24" s="467"/>
      <c r="E24" s="468"/>
      <c r="S24" s="28"/>
    </row>
    <row r="25" spans="1:19" ht="32.25" customHeight="1">
      <c r="A25" s="29"/>
      <c r="C25" s="46" t="s">
        <v>6</v>
      </c>
      <c r="D25" s="469">
        <f>SUM(M13:O13)</f>
        <v>0</v>
      </c>
      <c r="E25" s="470"/>
      <c r="S25" s="28"/>
    </row>
    <row r="26" spans="1:19" ht="33.75" customHeight="1">
      <c r="A26" s="29"/>
      <c r="C26" s="47" t="s">
        <v>7</v>
      </c>
      <c r="D26" s="469">
        <f>SUM(M12:O12)</f>
        <v>0</v>
      </c>
      <c r="E26" s="470"/>
      <c r="S26" s="28"/>
    </row>
    <row r="27" spans="1:19" ht="38.25" customHeight="1">
      <c r="A27" s="29"/>
      <c r="C27" s="47" t="s">
        <v>8</v>
      </c>
      <c r="D27" s="465">
        <f>SUM(M10:O10)</f>
        <v>0</v>
      </c>
      <c r="E27" s="465"/>
      <c r="S27" s="28"/>
    </row>
    <row r="28" spans="1:19" ht="25.5" customHeight="1">
      <c r="A28" s="29"/>
      <c r="C28" s="47" t="s">
        <v>9</v>
      </c>
      <c r="D28" s="465">
        <f>SUM(M11:O11)</f>
        <v>0</v>
      </c>
      <c r="E28" s="465"/>
      <c r="S28" s="28"/>
    </row>
    <row r="29" spans="1:19" ht="33" customHeight="1">
      <c r="A29" s="29"/>
      <c r="C29" s="45" t="s">
        <v>11</v>
      </c>
      <c r="D29" s="472">
        <f>SUM(M14:O14)</f>
        <v>0</v>
      </c>
      <c r="E29" s="472"/>
      <c r="S29" s="28"/>
    </row>
    <row r="30" spans="1:19">
      <c r="A30" s="29"/>
      <c r="S30" s="28"/>
    </row>
    <row r="31" spans="1:19">
      <c r="A31" s="29"/>
      <c r="S31" s="28"/>
    </row>
    <row r="32" spans="1:19" hidden="1">
      <c r="A32" s="29"/>
      <c r="S32" s="28"/>
    </row>
    <row r="33" spans="1:19" ht="15" customHeight="1">
      <c r="A33" s="29"/>
      <c r="S33" s="28"/>
    </row>
    <row r="34" spans="1:19">
      <c r="A34" s="29"/>
      <c r="S34" s="28"/>
    </row>
    <row r="35" spans="1:19">
      <c r="A35" s="29"/>
      <c r="S35" s="28"/>
    </row>
    <row r="36" spans="1:19">
      <c r="A36" s="29"/>
      <c r="S36" s="28"/>
    </row>
    <row r="37" spans="1:19">
      <c r="A37" s="29"/>
      <c r="S37" s="28"/>
    </row>
    <row r="38" spans="1:19">
      <c r="A38" s="29"/>
      <c r="S38" s="28"/>
    </row>
    <row r="39" spans="1:19">
      <c r="A39" s="29"/>
      <c r="S39" s="28"/>
    </row>
    <row r="40" spans="1:19">
      <c r="A40" s="29"/>
      <c r="S40" s="28"/>
    </row>
    <row r="41" spans="1:19">
      <c r="A41" s="29"/>
      <c r="S41" s="28"/>
    </row>
    <row r="42" spans="1:19">
      <c r="A42" s="29"/>
      <c r="S42" s="28"/>
    </row>
    <row r="43" spans="1:19">
      <c r="A43" s="29"/>
      <c r="S43" s="28"/>
    </row>
    <row r="44" spans="1:19">
      <c r="A44" s="29"/>
      <c r="S44" s="28"/>
    </row>
    <row r="45" spans="1:19">
      <c r="A45" s="29"/>
      <c r="S45" s="28"/>
    </row>
    <row r="46" spans="1:19" ht="72" customHeight="1">
      <c r="A46" s="29"/>
      <c r="S46" s="28"/>
    </row>
    <row r="47" spans="1:19" ht="51.75" customHeight="1">
      <c r="A47" s="29"/>
      <c r="S47" s="28"/>
    </row>
    <row r="48" spans="1:19" ht="26.25" customHeight="1">
      <c r="A48" s="29"/>
    </row>
    <row r="49" spans="1:19" ht="33.75" hidden="1" customHeight="1">
      <c r="A49" s="29"/>
      <c r="S49" s="28"/>
    </row>
    <row r="50" spans="1:19" ht="8.25" hidden="1" customHeight="1">
      <c r="A50" s="29"/>
      <c r="S50" s="28"/>
    </row>
    <row r="51" spans="1:19" ht="18.75" customHeight="1" thickBot="1">
      <c r="A51" s="30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2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8"/>
  <sheetViews>
    <sheetView topLeftCell="A21" zoomScale="85" zoomScaleNormal="85" workbookViewId="0">
      <selection activeCell="B25" sqref="B25:E40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14" t="s">
        <v>6</v>
      </c>
      <c r="C3" s="14" t="s">
        <v>13</v>
      </c>
      <c r="D3" s="14" t="s">
        <v>14</v>
      </c>
      <c r="E3" s="14" t="s">
        <v>15</v>
      </c>
    </row>
    <row r="4" spans="2:5">
      <c r="B4" s="12"/>
      <c r="C4" s="12"/>
      <c r="D4" s="12"/>
      <c r="E4" s="12"/>
    </row>
    <row r="5" spans="2:5">
      <c r="B5" s="12"/>
      <c r="C5" s="12"/>
      <c r="D5" s="12"/>
      <c r="E5" s="12"/>
    </row>
    <row r="6" spans="2:5">
      <c r="B6" s="12"/>
      <c r="C6" s="12"/>
      <c r="D6" s="12"/>
      <c r="E6" s="12"/>
    </row>
    <row r="7" spans="2:5">
      <c r="B7" s="14"/>
      <c r="C7" s="14"/>
      <c r="D7" s="14"/>
      <c r="E7" s="14"/>
    </row>
    <row r="8" spans="2:5">
      <c r="B8" s="12"/>
      <c r="C8" s="12"/>
      <c r="D8" s="12"/>
      <c r="E8" s="12"/>
    </row>
    <row r="9" spans="2:5">
      <c r="B9" s="12"/>
      <c r="C9" s="2"/>
      <c r="D9" s="12"/>
      <c r="E9" s="12"/>
    </row>
    <row r="10" spans="2:5">
      <c r="B10" s="12"/>
      <c r="C10" s="12"/>
      <c r="D10" s="12"/>
      <c r="E10" s="12"/>
    </row>
    <row r="11" spans="2:5">
      <c r="B11" s="12"/>
      <c r="C11" s="12"/>
      <c r="D11" s="12"/>
      <c r="E11" s="12"/>
    </row>
    <row r="12" spans="2:5">
      <c r="B12" s="14"/>
      <c r="C12" s="14"/>
      <c r="D12" s="14"/>
      <c r="E12" s="14"/>
    </row>
    <row r="13" spans="2:5">
      <c r="B13" s="12"/>
      <c r="C13" s="12"/>
      <c r="D13" s="12"/>
      <c r="E13" s="12"/>
    </row>
    <row r="14" spans="2:5">
      <c r="B14" s="12"/>
      <c r="C14" s="12"/>
      <c r="D14" s="12"/>
      <c r="E14" s="12"/>
    </row>
    <row r="15" spans="2:5">
      <c r="B15" s="12"/>
      <c r="C15" s="12"/>
      <c r="D15" s="12"/>
      <c r="E15" s="12"/>
    </row>
    <row r="16" spans="2:5">
      <c r="B16" s="12"/>
      <c r="C16" s="12"/>
      <c r="D16" s="12"/>
      <c r="E16" s="12"/>
    </row>
    <row r="17" spans="2:5">
      <c r="B17" s="12"/>
      <c r="C17" s="12"/>
      <c r="D17" s="12"/>
      <c r="E17" s="12"/>
    </row>
    <row r="18" spans="2:5">
      <c r="B18" s="12"/>
      <c r="C18" s="12"/>
      <c r="D18" s="12"/>
      <c r="E18" s="12"/>
    </row>
    <row r="19" spans="2:5">
      <c r="B19" s="12"/>
      <c r="C19" s="12"/>
      <c r="D19" s="12"/>
      <c r="E19" s="12"/>
    </row>
    <row r="20" spans="2:5">
      <c r="B20" s="12"/>
      <c r="C20" s="12"/>
      <c r="D20" s="12"/>
      <c r="E20" s="12"/>
    </row>
    <row r="22" spans="2:5" ht="31.5" customHeight="1"/>
    <row r="24" spans="2:5" ht="31.5" customHeight="1">
      <c r="B24" s="13" t="s">
        <v>21</v>
      </c>
      <c r="C24" s="13" t="s">
        <v>13</v>
      </c>
      <c r="D24" s="13" t="s">
        <v>14</v>
      </c>
      <c r="E24" s="13" t="s">
        <v>15</v>
      </c>
    </row>
    <row r="25" spans="2:5">
      <c r="B25" s="78"/>
      <c r="C25" s="12"/>
      <c r="D25" s="12"/>
      <c r="E25" s="12"/>
    </row>
    <row r="26" spans="2:5">
      <c r="B26" s="78"/>
      <c r="C26" s="12"/>
      <c r="D26" s="12"/>
      <c r="E26" s="12"/>
    </row>
    <row r="27" spans="2:5">
      <c r="B27" s="78"/>
      <c r="C27" s="12"/>
      <c r="D27" s="12"/>
      <c r="E27" s="12"/>
    </row>
    <row r="28" spans="2:5">
      <c r="B28" s="78"/>
      <c r="C28" s="12"/>
      <c r="D28" s="12"/>
      <c r="E28" s="12"/>
    </row>
    <row r="29" spans="2:5">
      <c r="B29" s="78"/>
      <c r="C29" s="12"/>
      <c r="D29" s="12"/>
      <c r="E29" s="12"/>
    </row>
    <row r="30" spans="2:5">
      <c r="B30" s="78"/>
      <c r="C30" s="12"/>
      <c r="D30" s="12"/>
      <c r="E30" s="12"/>
    </row>
    <row r="31" spans="2:5">
      <c r="B31" s="78"/>
      <c r="C31" s="12"/>
      <c r="D31" s="12"/>
      <c r="E31" s="12"/>
    </row>
    <row r="32" spans="2:5">
      <c r="B32" s="78"/>
      <c r="C32" s="12"/>
      <c r="D32" s="12"/>
      <c r="E32" s="12"/>
    </row>
    <row r="33" spans="2:5">
      <c r="B33" s="78"/>
      <c r="C33" s="12"/>
      <c r="D33" s="12"/>
      <c r="E33" s="12"/>
    </row>
    <row r="34" spans="2:5">
      <c r="B34" s="78"/>
      <c r="C34" s="12"/>
      <c r="D34" s="12"/>
      <c r="E34" s="12"/>
    </row>
    <row r="35" spans="2:5">
      <c r="B35" s="78"/>
      <c r="C35" s="12"/>
      <c r="D35" s="12"/>
      <c r="E35" s="12"/>
    </row>
    <row r="36" spans="2:5">
      <c r="B36" s="78"/>
      <c r="C36" s="12"/>
      <c r="D36" s="12"/>
      <c r="E36" s="12"/>
    </row>
    <row r="37" spans="2:5">
      <c r="B37" s="78"/>
      <c r="C37" s="12"/>
      <c r="D37" s="12"/>
      <c r="E37" s="12"/>
    </row>
    <row r="38" spans="2:5">
      <c r="B38" s="78"/>
      <c r="C38" s="12"/>
      <c r="D38" s="12"/>
      <c r="E38" s="12"/>
    </row>
    <row r="39" spans="2:5">
      <c r="B39" s="78"/>
      <c r="C39" s="12"/>
      <c r="D39" s="12"/>
      <c r="E39" s="12"/>
    </row>
    <row r="40" spans="2:5">
      <c r="B40" s="78"/>
      <c r="C40" s="12"/>
      <c r="D40" s="12"/>
      <c r="E40" s="12"/>
    </row>
    <row r="58" spans="8:8">
      <c r="H58" s="16"/>
    </row>
    <row r="59" spans="8:8" ht="41.25" customHeight="1">
      <c r="H59" s="16"/>
    </row>
    <row r="60" spans="8:8" ht="41.25" customHeight="1">
      <c r="H60" s="16"/>
    </row>
    <row r="61" spans="8:8" ht="41.25" customHeight="1">
      <c r="H61" s="16"/>
    </row>
    <row r="62" spans="8:8" ht="41.25" customHeight="1">
      <c r="H62" s="16"/>
    </row>
    <row r="63" spans="8:8" ht="41.25" customHeight="1">
      <c r="H63" s="16"/>
    </row>
    <row r="64" spans="8:8" ht="41.25" customHeight="1">
      <c r="H64" s="16"/>
    </row>
    <row r="65" spans="8:8">
      <c r="H65" s="16"/>
    </row>
    <row r="73" spans="8:8" ht="21" customHeight="1"/>
    <row r="74" spans="8:8" ht="21" customHeight="1"/>
    <row r="75" spans="8:8" ht="21" customHeight="1"/>
    <row r="76" spans="8:8" ht="21" customHeight="1"/>
    <row r="77" spans="8:8" ht="21" customHeight="1"/>
    <row r="78" spans="8:8" ht="21" customHeight="1"/>
    <row r="79" spans="8:8" ht="21" customHeight="1"/>
    <row r="80" spans="8:8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32" zoomScale="70" zoomScaleNormal="40" zoomScaleSheetLayoutView="70" workbookViewId="0">
      <selection activeCell="T2" sqref="T2:AA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8"/>
      <c r="B1" s="19"/>
      <c r="C1" s="19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19"/>
      <c r="W1" s="19"/>
      <c r="X1" s="19"/>
      <c r="Y1" s="19"/>
      <c r="Z1" s="19"/>
      <c r="AA1" s="21"/>
    </row>
    <row r="2" spans="1:27" ht="37.15" customHeight="1">
      <c r="A2" s="479" t="s">
        <v>184</v>
      </c>
      <c r="B2" s="480"/>
      <c r="C2" s="480"/>
      <c r="D2" s="480"/>
      <c r="E2" s="480"/>
      <c r="F2" s="480"/>
      <c r="G2" s="480"/>
      <c r="H2" s="480"/>
      <c r="I2" s="480"/>
      <c r="J2" s="480"/>
      <c r="K2" s="480"/>
      <c r="L2" s="480"/>
      <c r="M2" s="480"/>
      <c r="N2" s="480"/>
      <c r="O2" s="480"/>
      <c r="P2" s="480"/>
      <c r="Q2" s="480"/>
      <c r="R2" s="480"/>
      <c r="S2" s="480"/>
      <c r="T2" s="481" t="s">
        <v>89</v>
      </c>
      <c r="U2" s="481"/>
      <c r="V2" s="481"/>
      <c r="W2" s="481"/>
      <c r="X2" s="481"/>
      <c r="Y2" s="481"/>
      <c r="Z2" s="481"/>
      <c r="AA2" s="482"/>
    </row>
    <row r="3" spans="1:27" ht="2.4500000000000002" customHeight="1">
      <c r="A3" s="22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ht="15.75">
      <c r="A4" s="22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23"/>
    </row>
    <row r="5" spans="1:27" ht="15.75">
      <c r="A5" s="22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23"/>
    </row>
    <row r="6" spans="1:27" ht="15.75">
      <c r="A6" s="22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23"/>
    </row>
    <row r="7" spans="1:27" ht="15.75">
      <c r="A7" s="22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23"/>
    </row>
    <row r="8" spans="1:27" ht="15.75">
      <c r="A8" s="22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23"/>
    </row>
    <row r="9" spans="1:27" ht="15.75">
      <c r="A9" s="22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23"/>
    </row>
    <row r="10" spans="1:27" ht="15.75">
      <c r="A10" s="22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23"/>
    </row>
    <row r="11" spans="1:27" ht="15.75">
      <c r="A11" s="22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23"/>
    </row>
    <row r="12" spans="1:27" ht="15.75">
      <c r="A12" s="22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23"/>
    </row>
    <row r="13" spans="1:27" ht="15.75">
      <c r="A13" s="22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23"/>
    </row>
    <row r="14" spans="1:27" ht="15.75">
      <c r="A14" s="22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23"/>
    </row>
    <row r="15" spans="1:27" ht="15.75">
      <c r="A15" s="22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23"/>
    </row>
    <row r="16" spans="1:27" ht="15.75">
      <c r="A16" s="22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23"/>
    </row>
    <row r="17" spans="1:27" ht="15.75">
      <c r="A17" s="22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23"/>
    </row>
    <row r="18" spans="1:27" ht="15.75">
      <c r="A18" s="22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23"/>
    </row>
    <row r="19" spans="1:27" ht="15.75">
      <c r="A19" s="22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23"/>
    </row>
    <row r="20" spans="1:27" ht="15.75">
      <c r="A20" s="22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23"/>
    </row>
    <row r="21" spans="1:27" ht="15.75">
      <c r="A21" s="22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23"/>
    </row>
    <row r="22" spans="1:27" ht="15.75">
      <c r="A22" s="22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23"/>
    </row>
    <row r="23" spans="1:27" ht="15.75">
      <c r="A23" s="22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23"/>
    </row>
    <row r="24" spans="1:27" ht="15.75">
      <c r="A24" s="22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23"/>
    </row>
    <row r="25" spans="1:27" ht="15.75">
      <c r="A25" s="2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23"/>
    </row>
    <row r="26" spans="1:27" ht="15.75">
      <c r="A26" s="22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23"/>
    </row>
    <row r="27" spans="1:27" ht="15.75">
      <c r="A27" s="22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23"/>
    </row>
    <row r="28" spans="1:27" ht="15.75">
      <c r="A28" s="22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23"/>
    </row>
    <row r="29" spans="1:27" ht="15.75">
      <c r="A29" s="22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23"/>
    </row>
    <row r="30" spans="1:27" ht="15.75">
      <c r="A30" s="22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23"/>
    </row>
    <row r="31" spans="1:27" ht="15.75">
      <c r="A31" s="22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23"/>
    </row>
    <row r="32" spans="1:27" ht="15.75">
      <c r="A32" s="22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23"/>
    </row>
    <row r="33" spans="1:27" ht="15.75">
      <c r="A33" s="22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23"/>
    </row>
    <row r="34" spans="1:27" ht="15.75">
      <c r="A34" s="22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23"/>
    </row>
    <row r="35" spans="1:27" ht="15.75">
      <c r="A35" s="22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23"/>
    </row>
    <row r="36" spans="1:27" ht="15.75">
      <c r="A36" s="22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23"/>
    </row>
    <row r="37" spans="1:27" ht="15.75">
      <c r="A37" s="22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23"/>
    </row>
    <row r="38" spans="1:27" ht="15.75">
      <c r="A38" s="22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23"/>
    </row>
    <row r="39" spans="1:27" ht="15.75">
      <c r="A39" s="22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23"/>
    </row>
    <row r="40" spans="1:27" ht="15.75">
      <c r="A40" s="22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23"/>
    </row>
    <row r="41" spans="1:27" ht="15.75">
      <c r="A41" s="22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23"/>
    </row>
    <row r="42" spans="1:27" ht="15.75">
      <c r="A42" s="22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23"/>
    </row>
    <row r="43" spans="1:27" ht="15.75">
      <c r="A43" s="22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23"/>
    </row>
    <row r="44" spans="1:27" ht="15.75">
      <c r="A44" s="22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23"/>
    </row>
    <row r="45" spans="1:27" ht="15.75">
      <c r="A45" s="22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23"/>
    </row>
    <row r="46" spans="1:27" ht="15.75">
      <c r="A46" s="22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23"/>
    </row>
    <row r="47" spans="1:27" ht="15.75">
      <c r="A47" s="22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3"/>
    </row>
    <row r="48" spans="1:27" ht="15.75">
      <c r="A48" s="22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3"/>
    </row>
    <row r="49" spans="1:27" ht="15.75">
      <c r="A49" s="22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3"/>
    </row>
    <row r="50" spans="1:27" ht="15.75">
      <c r="A50" s="22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3"/>
    </row>
    <row r="51" spans="1:27" ht="15.75">
      <c r="A51" s="22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3"/>
    </row>
    <row r="52" spans="1:27" ht="15.75">
      <c r="A52" s="22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3"/>
    </row>
    <row r="53" spans="1:27" s="3" customFormat="1" ht="15.75">
      <c r="A53" s="22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3"/>
    </row>
    <row r="54" spans="1:27" ht="15.75">
      <c r="A54" s="22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3"/>
    </row>
    <row r="55" spans="1:27" ht="15.75">
      <c r="A55" s="22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3"/>
    </row>
    <row r="56" spans="1:27" ht="15.75">
      <c r="A56" s="22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3"/>
    </row>
    <row r="57" spans="1:27" ht="15.75">
      <c r="A57" s="22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3"/>
    </row>
    <row r="58" spans="1:27" ht="15.75">
      <c r="A58" s="22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3"/>
    </row>
    <row r="59" spans="1:27" ht="15.75">
      <c r="A59" s="22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3"/>
    </row>
    <row r="60" spans="1:27" ht="15.75">
      <c r="A60" s="22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3"/>
    </row>
    <row r="61" spans="1:27" ht="153" customHeight="1" thickBot="1">
      <c r="A61" s="24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6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9" zoomScale="115" zoomScaleNormal="84" zoomScaleSheetLayoutView="115" workbookViewId="0">
      <selection activeCell="B4" sqref="B4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483" t="s">
        <v>88</v>
      </c>
      <c r="B1" s="484"/>
      <c r="C1" s="484"/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</row>
    <row r="2" spans="1:21" ht="19.5" thickBot="1">
      <c r="A2" s="485" t="s">
        <v>89</v>
      </c>
      <c r="B2" s="486"/>
      <c r="C2" s="486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</row>
    <row r="3" spans="1:21">
      <c r="A3" s="410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410"/>
      <c r="B4" s="411"/>
      <c r="C4" s="41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410"/>
      <c r="B5" s="428" t="s">
        <v>90</v>
      </c>
      <c r="C5" s="487" t="s">
        <v>91</v>
      </c>
      <c r="D5" s="487"/>
      <c r="E5" s="487"/>
      <c r="F5" s="487" t="s">
        <v>92</v>
      </c>
      <c r="G5" s="487"/>
      <c r="H5" s="487"/>
      <c r="I5" s="487" t="s">
        <v>232</v>
      </c>
      <c r="J5" s="487"/>
      <c r="K5" s="487"/>
      <c r="L5" s="487" t="s">
        <v>93</v>
      </c>
      <c r="M5" s="487"/>
      <c r="N5" s="487"/>
      <c r="O5" s="487" t="s">
        <v>233</v>
      </c>
      <c r="P5" s="487"/>
      <c r="Q5" s="488"/>
      <c r="R5" s="408"/>
      <c r="S5" s="407"/>
      <c r="T5" s="3"/>
      <c r="U5" s="3"/>
    </row>
    <row r="6" spans="1:21" ht="21">
      <c r="A6" s="410"/>
      <c r="B6" s="429" t="s">
        <v>23</v>
      </c>
      <c r="C6" s="414"/>
      <c r="D6" s="415" t="str">
        <f>IF(data_status_reg!$E4="bajo",0,IF(data_status_reg!$E4="medio",0.5,IF(data_status_reg!$E4="alto",1,"falta riesgo")))</f>
        <v>falta riesgo</v>
      </c>
      <c r="E6" s="416"/>
      <c r="F6" s="416"/>
      <c r="G6" s="415" t="str">
        <f>IF(data_status_reg!$E20="bajo",0,IF(data_status_reg!$E20="medio",0.5,IF(data_status_reg!$E20="alto",1,"falta riesgo")))</f>
        <v>falta riesgo</v>
      </c>
      <c r="H6" s="416"/>
      <c r="I6" s="416"/>
      <c r="J6" s="415" t="str">
        <f>IF(data_status_reg!$E36="bajo",0,IF(data_status_reg!$E36="medio",0.5,IF(data_status_reg!$E36="alto",1,"falta riesgo")))</f>
        <v>falta riesgo</v>
      </c>
      <c r="K6" s="416"/>
      <c r="L6" s="416"/>
      <c r="M6" s="415" t="str">
        <f>IF(data_status_reg!$E52="bajo",0,IF(data_status_reg!$E52="medio",0.5,IF(data_status_reg!$E52="alto",1,"falta riesgo")))</f>
        <v>falta riesgo</v>
      </c>
      <c r="N6" s="417"/>
      <c r="O6" s="431"/>
      <c r="P6" s="415" t="str">
        <f>IF(data_status_reg!$E68="bajo",0,IF(data_status_reg!$E68="medio",0.5,IF(data_status_reg!$E68="alto",1,"falta riesgo")))</f>
        <v>falta riesgo</v>
      </c>
      <c r="Q6" s="418"/>
      <c r="R6" s="409"/>
    </row>
    <row r="7" spans="1:21" ht="21">
      <c r="A7" s="410"/>
      <c r="B7" s="429" t="s">
        <v>24</v>
      </c>
      <c r="C7" s="419"/>
      <c r="D7" s="404" t="str">
        <f>IF(data_status_reg!$E5="bajo",0,IF(data_status_reg!$E5="medio",0.5,IF(data_status_reg!$E5="alto",1,"falta riesgo")))</f>
        <v>falta riesgo</v>
      </c>
      <c r="E7" s="405"/>
      <c r="F7" s="405"/>
      <c r="G7" s="404" t="str">
        <f>IF(data_status_reg!$E21="bajo",0,IF(data_status_reg!$E21="medio",0.5,IF(data_status_reg!$E21="alto",1,"falta riesgo")))</f>
        <v>falta riesgo</v>
      </c>
      <c r="H7" s="405"/>
      <c r="I7" s="405"/>
      <c r="J7" s="404" t="str">
        <f>IF(data_status_reg!$E37="bajo",0,IF(data_status_reg!$E37="medio",0.5,IF(data_status_reg!$E37="alto",1,"falta riesgo")))</f>
        <v>falta riesgo</v>
      </c>
      <c r="K7" s="405"/>
      <c r="L7" s="405"/>
      <c r="M7" s="404" t="str">
        <f>IF(data_status_reg!$E53="bajo",0,IF(data_status_reg!$E53="medio",0.5,IF(data_status_reg!$E53="alto",1,"falta riesgo")))</f>
        <v>falta riesgo</v>
      </c>
      <c r="N7" s="402"/>
      <c r="O7" s="432"/>
      <c r="P7" s="404" t="str">
        <f>IF(data_status_reg!$E69="bajo",0,IF(data_status_reg!$E69="medio",0.5,IF(data_status_reg!$E69="alto",1,"falta riesgo")))</f>
        <v>falta riesgo</v>
      </c>
      <c r="Q7" s="420"/>
      <c r="R7" s="3"/>
    </row>
    <row r="8" spans="1:21" ht="21">
      <c r="A8" s="410"/>
      <c r="B8" s="429" t="s">
        <v>25</v>
      </c>
      <c r="C8" s="419"/>
      <c r="D8" s="404" t="str">
        <f>IF(data_status_reg!$E6="bajo",0,IF(data_status_reg!$E6="medio",0.5,IF(data_status_reg!$E6="alto",1,"falta riesgo")))</f>
        <v>falta riesgo</v>
      </c>
      <c r="E8" s="405"/>
      <c r="F8" s="405"/>
      <c r="G8" s="404" t="str">
        <f>IF(data_status_reg!$E22="bajo",0,IF(data_status_reg!$E22="medio",0.5,IF(data_status_reg!$E22="alto",1,"falta riesgo")))</f>
        <v>falta riesgo</v>
      </c>
      <c r="H8" s="405"/>
      <c r="I8" s="405"/>
      <c r="J8" s="404" t="str">
        <f>IF(data_status_reg!$E38="bajo",0,IF(data_status_reg!$E38="medio",0.5,IF(data_status_reg!$E38="alto",1,"falta riesgo")))</f>
        <v>falta riesgo</v>
      </c>
      <c r="K8" s="405"/>
      <c r="L8" s="405"/>
      <c r="M8" s="404" t="str">
        <f>IF(data_status_reg!$E54="bajo",0,IF(data_status_reg!$E54="medio",0.5,IF(data_status_reg!$E54="alto",1,"falta riesgo")))</f>
        <v>falta riesgo</v>
      </c>
      <c r="N8" s="402"/>
      <c r="O8" s="432"/>
      <c r="P8" s="404" t="str">
        <f>IF(data_status_reg!$E70="bajo",0,IF(data_status_reg!$E70="medio",0.5,IF(data_status_reg!$E70="alto",1,"falta riesgo")))</f>
        <v>falta riesgo</v>
      </c>
      <c r="Q8" s="420"/>
      <c r="R8" s="3"/>
    </row>
    <row r="9" spans="1:21" ht="21">
      <c r="A9" s="410"/>
      <c r="B9" s="429" t="s">
        <v>26</v>
      </c>
      <c r="C9" s="419"/>
      <c r="D9" s="404" t="str">
        <f>IF(data_status_reg!$E7="bajo",0,IF(data_status_reg!$E7="medio",0.5,IF(data_status_reg!$E7="alto",1,"falta riesgo")))</f>
        <v>falta riesgo</v>
      </c>
      <c r="E9" s="405"/>
      <c r="F9" s="405"/>
      <c r="G9" s="404" t="str">
        <f>IF(data_status_reg!$E23="bajo",0,IF(data_status_reg!$E23="medio",0.5,IF(data_status_reg!$E23="alto",1,"falta riesgo")))</f>
        <v>falta riesgo</v>
      </c>
      <c r="H9" s="405"/>
      <c r="I9" s="405"/>
      <c r="J9" s="404" t="str">
        <f>IF(data_status_reg!$E39="bajo",0,IF(data_status_reg!$E39="medio",0.5,IF(data_status_reg!$E39="alto",1,"falta riesgo")))</f>
        <v>falta riesgo</v>
      </c>
      <c r="K9" s="405"/>
      <c r="L9" s="405"/>
      <c r="M9" s="404" t="str">
        <f>IF(data_status_reg!$E55="bajo",0,IF(data_status_reg!$E55="medio",0.5,IF(data_status_reg!$E55="alto",1,"falta riesgo")))</f>
        <v>falta riesgo</v>
      </c>
      <c r="N9" s="402"/>
      <c r="O9" s="432"/>
      <c r="P9" s="404" t="str">
        <f>IF(data_status_reg!$E71="bajo",0,IF(data_status_reg!$E71="medio",0.5,IF(data_status_reg!$E71="alto",1,"falta riesgo")))</f>
        <v>falta riesgo</v>
      </c>
      <c r="Q9" s="420"/>
      <c r="R9" s="3"/>
    </row>
    <row r="10" spans="1:21" ht="21">
      <c r="A10" s="410"/>
      <c r="B10" s="429" t="s">
        <v>27</v>
      </c>
      <c r="C10" s="419"/>
      <c r="D10" s="404" t="str">
        <f>IF(data_status_reg!$E8="bajo",0,IF(data_status_reg!$E8="medio",0.5,IF(data_status_reg!$E8="alto",1,"falta riesgo")))</f>
        <v>falta riesgo</v>
      </c>
      <c r="E10" s="405"/>
      <c r="F10" s="405"/>
      <c r="G10" s="404" t="str">
        <f>IF(data_status_reg!$E24="bajo",0,IF(data_status_reg!$E24="medio",0.5,IF(data_status_reg!$E24="alto",1,"falta riesgo")))</f>
        <v>falta riesgo</v>
      </c>
      <c r="H10" s="405"/>
      <c r="I10" s="405"/>
      <c r="J10" s="404" t="str">
        <f>IF(data_status_reg!$E40="bajo",0,IF(data_status_reg!$E40="medio",0.5,IF(data_status_reg!$E40="alto",1,"falta riesgo")))</f>
        <v>falta riesgo</v>
      </c>
      <c r="K10" s="405"/>
      <c r="L10" s="405"/>
      <c r="M10" s="404" t="str">
        <f>IF(data_status_reg!$E56="bajo",0,IF(data_status_reg!$E56="medio",0.5,IF(data_status_reg!$E56="alto",1,"falta riesgo")))</f>
        <v>falta riesgo</v>
      </c>
      <c r="N10" s="402"/>
      <c r="O10" s="432"/>
      <c r="P10" s="404" t="str">
        <f>IF(data_status_reg!$E72="bajo",0,IF(data_status_reg!$E72="medio",0.5,IF(data_status_reg!$E72="alto",1,"falta riesgo")))</f>
        <v>falta riesgo</v>
      </c>
      <c r="Q10" s="420"/>
      <c r="R10" s="3"/>
    </row>
    <row r="11" spans="1:21" ht="21">
      <c r="A11" s="410"/>
      <c r="B11" s="429" t="s">
        <v>28</v>
      </c>
      <c r="C11" s="419"/>
      <c r="D11" s="404" t="str">
        <f>IF(data_status_reg!$E9="bajo",0,IF(data_status_reg!$E9="medio",0.5,IF(data_status_reg!$E9="alto",1,"falta riesgo")))</f>
        <v>falta riesgo</v>
      </c>
      <c r="E11" s="405"/>
      <c r="F11" s="405"/>
      <c r="G11" s="404" t="str">
        <f>IF(data_status_reg!$E25="bajo",0,IF(data_status_reg!$E25="medio",0.5,IF(data_status_reg!$E25="alto",1,"falta riesgo")))</f>
        <v>falta riesgo</v>
      </c>
      <c r="H11" s="405"/>
      <c r="I11" s="405"/>
      <c r="J11" s="404" t="str">
        <f>IF(data_status_reg!$E41="bajo",0,IF(data_status_reg!$E41="medio",0.5,IF(data_status_reg!$E41="alto",1,"falta riesgo")))</f>
        <v>falta riesgo</v>
      </c>
      <c r="K11" s="405"/>
      <c r="L11" s="405"/>
      <c r="M11" s="404" t="str">
        <f>IF(data_status_reg!$E57="bajo",0,IF(data_status_reg!$E57="medio",0.5,IF(data_status_reg!$E57="alto",1,"falta riesgo")))</f>
        <v>falta riesgo</v>
      </c>
      <c r="N11" s="402"/>
      <c r="O11" s="432"/>
      <c r="P11" s="404" t="str">
        <f>IF(data_status_reg!$E73="bajo",0,IF(data_status_reg!$E73="medio",0.5,IF(data_status_reg!$E73="alto",1,"falta riesgo")))</f>
        <v>falta riesgo</v>
      </c>
      <c r="Q11" s="420"/>
      <c r="R11" s="3"/>
    </row>
    <row r="12" spans="1:21" ht="21">
      <c r="A12" s="410"/>
      <c r="B12" s="429" t="s">
        <v>29</v>
      </c>
      <c r="C12" s="419"/>
      <c r="D12" s="404" t="str">
        <f>IF(data_status_reg!$E10="bajo",0,IF(data_status_reg!$E10="medio",0.5,IF(data_status_reg!$E10="alto",1,"falta riesgo")))</f>
        <v>falta riesgo</v>
      </c>
      <c r="E12" s="405"/>
      <c r="F12" s="405"/>
      <c r="G12" s="404" t="str">
        <f>IF(data_status_reg!$E26="bajo",0,IF(data_status_reg!$E26="medio",0.5,IF(data_status_reg!$E26="alto",1,"falta riesgo")))</f>
        <v>falta riesgo</v>
      </c>
      <c r="H12" s="405"/>
      <c r="I12" s="406"/>
      <c r="J12" s="404" t="str">
        <f>IF(data_status_reg!$E42="bajo",0,IF(data_status_reg!$E42="medio",0.5,IF(data_status_reg!$E42="alto",1,"falta riesgo")))</f>
        <v>falta riesgo</v>
      </c>
      <c r="K12" s="406"/>
      <c r="L12" s="406"/>
      <c r="M12" s="404" t="str">
        <f>IF(data_status_reg!$E58="bajo",0,IF(data_status_reg!$E58="medio",0.5,IF(data_status_reg!$E58="alto",1,"falta riesgo")))</f>
        <v>falta riesgo</v>
      </c>
      <c r="N12" s="403"/>
      <c r="O12" s="433"/>
      <c r="P12" s="404" t="str">
        <f>IF(data_status_reg!$E74="bajo",0,IF(data_status_reg!$E74="medio",0.5,IF(data_status_reg!$E74="alto",1,"falta riesgo")))</f>
        <v>falta riesgo</v>
      </c>
      <c r="Q12" s="420"/>
      <c r="R12" s="3"/>
    </row>
    <row r="13" spans="1:21" ht="21">
      <c r="A13" s="410"/>
      <c r="B13" s="429" t="s">
        <v>30</v>
      </c>
      <c r="C13" s="419"/>
      <c r="D13" s="404" t="str">
        <f>IF(data_status_reg!$E11="bajo",0,IF(data_status_reg!$E11="medio",0.5,IF(data_status_reg!$E11="alto",1,"falta riesgo")))</f>
        <v>falta riesgo</v>
      </c>
      <c r="E13" s="405"/>
      <c r="F13" s="405"/>
      <c r="G13" s="404" t="str">
        <f>IF(data_status_reg!$E27="bajo",0,IF(data_status_reg!$E27="medio",0.5,IF(data_status_reg!$E27="alto",1,"falta riesgo")))</f>
        <v>falta riesgo</v>
      </c>
      <c r="H13" s="405"/>
      <c r="I13" s="405"/>
      <c r="J13" s="404" t="str">
        <f>IF(data_status_reg!$E43="bajo",0,IF(data_status_reg!$E43="medio",0.5,IF(data_status_reg!$E43="alto",1,"falta riesgo")))</f>
        <v>falta riesgo</v>
      </c>
      <c r="K13" s="405"/>
      <c r="L13" s="405"/>
      <c r="M13" s="404" t="str">
        <f>IF(data_status_reg!$E59="bajo",0,IF(data_status_reg!$E59="medio",0.5,IF(data_status_reg!$E59="alto",1,"falta riesgo")))</f>
        <v>falta riesgo</v>
      </c>
      <c r="N13" s="402"/>
      <c r="O13" s="432"/>
      <c r="P13" s="404" t="str">
        <f>IF(data_status_reg!$E75="bajo",0,IF(data_status_reg!$E75="medio",0.5,IF(data_status_reg!$E75="alto",1,"falta riesgo")))</f>
        <v>falta riesgo</v>
      </c>
      <c r="Q13" s="420"/>
      <c r="R13" s="3"/>
      <c r="U13" s="16"/>
    </row>
    <row r="14" spans="1:21" ht="21">
      <c r="A14" s="410"/>
      <c r="B14" s="429" t="s">
        <v>31</v>
      </c>
      <c r="C14" s="419"/>
      <c r="D14" s="404" t="str">
        <f>IF(data_status_reg!$E12="bajo",0,IF(data_status_reg!$E12="medio",0.5,IF(data_status_reg!$E12="alto",1,"falta riesgo")))</f>
        <v>falta riesgo</v>
      </c>
      <c r="E14" s="405"/>
      <c r="F14" s="405"/>
      <c r="G14" s="404" t="str">
        <f>IF(data_status_reg!$E28="bajo",0,IF(data_status_reg!$E28="medio",0.5,IF(data_status_reg!$E28="alto",1,"falta riesgo")))</f>
        <v>falta riesgo</v>
      </c>
      <c r="H14" s="405"/>
      <c r="I14" s="405"/>
      <c r="J14" s="404" t="str">
        <f>IF(data_status_reg!$E44="bajo",0,IF(data_status_reg!$E44="medio",0.5,IF(data_status_reg!$E44="alto",1,"falta riesgo")))</f>
        <v>falta riesgo</v>
      </c>
      <c r="K14" s="405"/>
      <c r="L14" s="405"/>
      <c r="M14" s="404" t="str">
        <f>IF(data_status_reg!$E60="bajo",0,IF(data_status_reg!$E60="medio",0.5,IF(data_status_reg!$E60="alto",1,"falta riesgo")))</f>
        <v>falta riesgo</v>
      </c>
      <c r="N14" s="402"/>
      <c r="O14" s="432"/>
      <c r="P14" s="404" t="str">
        <f>IF(data_status_reg!$E76="bajo",0,IF(data_status_reg!$E76="medio",0.5,IF(data_status_reg!$E76="alto",1,"falta riesgo")))</f>
        <v>falta riesgo</v>
      </c>
      <c r="Q14" s="420"/>
      <c r="R14" s="3"/>
    </row>
    <row r="15" spans="1:21" ht="21">
      <c r="A15" s="410"/>
      <c r="B15" s="429" t="s">
        <v>32</v>
      </c>
      <c r="C15" s="419"/>
      <c r="D15" s="404" t="str">
        <f>IF(data_status_reg!$E13="bajo",0,IF(data_status_reg!$E13="medio",0.5,IF(data_status_reg!$E13="alto",1,"falta riesgo")))</f>
        <v>falta riesgo</v>
      </c>
      <c r="E15" s="405"/>
      <c r="F15" s="405"/>
      <c r="G15" s="404" t="str">
        <f>IF(data_status_reg!$E29="bajo",0,IF(data_status_reg!$E29="medio",0.5,IF(data_status_reg!$E29="alto",1,"falta riesgo")))</f>
        <v>falta riesgo</v>
      </c>
      <c r="H15" s="405"/>
      <c r="I15" s="406"/>
      <c r="J15" s="404" t="str">
        <f>IF(data_status_reg!$E45="bajo",0,IF(data_status_reg!$E45="medio",0.5,IF(data_status_reg!$E45="alto",1,"falta riesgo")))</f>
        <v>falta riesgo</v>
      </c>
      <c r="K15" s="406"/>
      <c r="L15" s="406"/>
      <c r="M15" s="404" t="str">
        <f>IF(data_status_reg!$E61="bajo",0,IF(data_status_reg!$E61="medio",0.5,IF(data_status_reg!$E61="alto",1,"falta riesgo")))</f>
        <v>falta riesgo</v>
      </c>
      <c r="N15" s="403"/>
      <c r="O15" s="433"/>
      <c r="P15" s="404" t="str">
        <f>IF(data_status_reg!$E77="bajo",0,IF(data_status_reg!$E77="medio",0.5,IF(data_status_reg!$E77="alto",1,"falta riesgo")))</f>
        <v>falta riesgo</v>
      </c>
      <c r="Q15" s="420"/>
      <c r="R15" s="3"/>
    </row>
    <row r="16" spans="1:21" ht="21">
      <c r="A16" s="410"/>
      <c r="B16" s="429" t="s">
        <v>33</v>
      </c>
      <c r="C16" s="419"/>
      <c r="D16" s="404" t="str">
        <f>IF(data_status_reg!$E14="bajo",0,IF(data_status_reg!$E14="medio",0.5,IF(data_status_reg!$E14="alto",1,"falta riesgo")))</f>
        <v>falta riesgo</v>
      </c>
      <c r="E16" s="405"/>
      <c r="F16" s="405"/>
      <c r="G16" s="404" t="str">
        <f>IF(data_status_reg!$E30="bajo",0,IF(data_status_reg!$E30="medio",0.5,IF(data_status_reg!$E30="alto",1,"falta riesgo")))</f>
        <v>falta riesgo</v>
      </c>
      <c r="H16" s="405"/>
      <c r="I16" s="405"/>
      <c r="J16" s="404" t="str">
        <f>IF(data_status_reg!$E46="bajo",0,IF(data_status_reg!$E46="medio",0.5,IF(data_status_reg!$E46="alto",1,"falta riesgo")))</f>
        <v>falta riesgo</v>
      </c>
      <c r="K16" s="405"/>
      <c r="L16" s="405"/>
      <c r="M16" s="404" t="str">
        <f>IF(data_status_reg!$E62="bajo",0,IF(data_status_reg!$E62="medio",0.5,IF(data_status_reg!$E62="alto",1,"falta riesgo")))</f>
        <v>falta riesgo</v>
      </c>
      <c r="N16" s="402"/>
      <c r="O16" s="432"/>
      <c r="P16" s="404" t="str">
        <f>IF(data_status_reg!$E78="bajo",0,IF(data_status_reg!$E78="medio",0.5,IF(data_status_reg!$E78="alto",1,"falta riesgo")))</f>
        <v>falta riesgo</v>
      </c>
      <c r="Q16" s="420"/>
      <c r="R16" s="3"/>
    </row>
    <row r="17" spans="1:18" ht="21">
      <c r="A17" s="410"/>
      <c r="B17" s="429" t="s">
        <v>34</v>
      </c>
      <c r="C17" s="419"/>
      <c r="D17" s="404" t="str">
        <f>IF(data_status_reg!$E15="bajo",0,IF(data_status_reg!$E15="medio",0.5,IF(data_status_reg!$E15="alto",1,"falta riesgo")))</f>
        <v>falta riesgo</v>
      </c>
      <c r="E17" s="405"/>
      <c r="F17" s="405"/>
      <c r="G17" s="404" t="str">
        <f>IF(data_status_reg!$E31="bajo",0,IF(data_status_reg!$E31="medio",0.5,IF(data_status_reg!$E31="alto",1,"falta riesgo")))</f>
        <v>falta riesgo</v>
      </c>
      <c r="H17" s="405"/>
      <c r="I17" s="405"/>
      <c r="J17" s="404" t="str">
        <f>IF(data_status_reg!$E47="bajo",0,IF(data_status_reg!$E47="medio",0.5,IF(data_status_reg!$E47="alto",1,"falta riesgo")))</f>
        <v>falta riesgo</v>
      </c>
      <c r="K17" s="405"/>
      <c r="L17" s="405"/>
      <c r="M17" s="404" t="str">
        <f>IF(data_status_reg!$E63="bajo",0,IF(data_status_reg!$E63="medio",0.5,IF(data_status_reg!$E63="alto",1,"falta riesgo")))</f>
        <v>falta riesgo</v>
      </c>
      <c r="N17" s="402"/>
      <c r="O17" s="432"/>
      <c r="P17" s="404" t="str">
        <f>IF(data_status_reg!$E79="bajo",0,IF(data_status_reg!$E79="medio",0.5,IF(data_status_reg!$E79="alto",1,"falta riesgo")))</f>
        <v>falta riesgo</v>
      </c>
      <c r="Q17" s="420"/>
      <c r="R17" s="3"/>
    </row>
    <row r="18" spans="1:18" ht="21">
      <c r="A18" s="410"/>
      <c r="B18" s="429" t="s">
        <v>35</v>
      </c>
      <c r="C18" s="419"/>
      <c r="D18" s="404" t="str">
        <f>IF(data_status_reg!$E16="bajo",0,IF(data_status_reg!$E16="medio",0.5,IF(data_status_reg!$E16="alto",1,"falta riesgo")))</f>
        <v>falta riesgo</v>
      </c>
      <c r="E18" s="405"/>
      <c r="F18" s="405"/>
      <c r="G18" s="435" t="s">
        <v>94</v>
      </c>
      <c r="H18" s="405"/>
      <c r="I18" s="405"/>
      <c r="J18" s="404" t="str">
        <f>IF(data_status_reg!$E48="bajo",0,IF(data_status_reg!$E48="medio",0.5,IF(data_status_reg!$E48="alto",1,"falta riesgo")))</f>
        <v>falta riesgo</v>
      </c>
      <c r="K18" s="405"/>
      <c r="M18" s="404" t="str">
        <f>IF(data_status_reg!$E64="bajo",0,IF(data_status_reg!$E64="medio",0.5,IF(data_status_reg!$E64="alto",1,"falta riesgo")))</f>
        <v>falta riesgo</v>
      </c>
      <c r="N18" s="403"/>
      <c r="O18" s="433"/>
      <c r="P18" s="404" t="str">
        <f>IF(data_status_reg!$E80="bajo",0,IF(data_status_reg!$E80="medio",0.5,IF(data_status_reg!$E80="alto",1,"falta riesgo")))</f>
        <v>falta riesgo</v>
      </c>
      <c r="Q18" s="420"/>
      <c r="R18" s="3"/>
    </row>
    <row r="19" spans="1:18" ht="21">
      <c r="A19" s="410"/>
      <c r="B19" s="429" t="s">
        <v>36</v>
      </c>
      <c r="C19" s="419"/>
      <c r="D19" s="404" t="str">
        <f>IF(data_status_reg!$E17="bajo",0,IF(data_status_reg!$E17="medio",0.5,IF(data_status_reg!$E17="alto",1,"falta riesgo")))</f>
        <v>falta riesgo</v>
      </c>
      <c r="E19" s="405"/>
      <c r="F19" s="405"/>
      <c r="G19" s="404" t="str">
        <f>IF(data_status_reg!$E33="bajo",0,IF(data_status_reg!$E33="medio",0.5,IF(data_status_reg!$E33="alto",1,"falta riesgo")))</f>
        <v>falta riesgo</v>
      </c>
      <c r="H19" s="405"/>
      <c r="I19" s="405"/>
      <c r="J19" s="404" t="str">
        <f>IF(data_status_reg!$E49="bajo",0,IF(data_status_reg!$E49="medio",0.5,IF(data_status_reg!$E49="alto",1,"falta riesgo")))</f>
        <v>falta riesgo</v>
      </c>
      <c r="K19" s="405"/>
      <c r="L19" s="405"/>
      <c r="M19" s="404" t="str">
        <f>IF(data_status_reg!$E65="bajo",0,IF(data_status_reg!$E65="medio",0.5,IF(data_status_reg!$E65="alto",1,"falta riesgo")))</f>
        <v>falta riesgo</v>
      </c>
      <c r="N19" s="402"/>
      <c r="O19" s="432"/>
      <c r="P19" s="404" t="str">
        <f>IF(data_status_reg!$E81="bajo",0,IF(data_status_reg!$E81="medio",0.5,IF(data_status_reg!$E81="alto",1,"falta riesgo")))</f>
        <v>falta riesgo</v>
      </c>
      <c r="Q19" s="420"/>
      <c r="R19" s="3"/>
    </row>
    <row r="20" spans="1:18" ht="21">
      <c r="A20" s="410"/>
      <c r="B20" s="429" t="s">
        <v>37</v>
      </c>
      <c r="C20" s="419"/>
      <c r="D20" s="404" t="str">
        <f>IF(data_status_reg!$E18="bajo",0,IF(data_status_reg!$E18="medio",0.5,IF(data_status_reg!$E18="alto",1,"falta riesgo")))</f>
        <v>falta riesgo</v>
      </c>
      <c r="E20" s="405"/>
      <c r="F20" s="405"/>
      <c r="G20" s="404" t="str">
        <f>IF(data_status_reg!$E34="bajo",0,IF(data_status_reg!$E34="medio",0.5,IF(data_status_reg!$E34="alto",1,"falta riesgo")))</f>
        <v>falta riesgo</v>
      </c>
      <c r="H20" s="405"/>
      <c r="I20" s="405"/>
      <c r="J20" s="404" t="str">
        <f>IF(data_status_reg!$E50="bajo",0,IF(data_status_reg!$E50="medio",0.5,IF(data_status_reg!$E50="alto",1,"falta riesgo")))</f>
        <v>falta riesgo</v>
      </c>
      <c r="K20" s="405"/>
      <c r="L20" s="405"/>
      <c r="M20" s="404" t="str">
        <f>IF(data_status_reg!$E66="bajo",0,IF(data_status_reg!$E66="medio",0.5,IF(data_status_reg!$E66="alto",1,"falta riesgo")))</f>
        <v>falta riesgo</v>
      </c>
      <c r="N20" s="402"/>
      <c r="O20" s="432"/>
      <c r="P20" s="404" t="str">
        <f>IF(data_status_reg!$E82="bajo",0,IF(data_status_reg!$E82="medio",0.5,IF(data_status_reg!$E82="alto",1,"falta riesgo")))</f>
        <v>falta riesgo</v>
      </c>
      <c r="Q20" s="420"/>
      <c r="R20" s="3"/>
    </row>
    <row r="21" spans="1:18" ht="21.75" thickBot="1">
      <c r="A21" s="410"/>
      <c r="B21" s="430" t="s">
        <v>38</v>
      </c>
      <c r="C21" s="421"/>
      <c r="D21" s="422" t="str">
        <f>IF(data_status_reg!$E19="bajo",0,IF(data_status_reg!$E19="medio",0.5,IF(data_status_reg!$E19="alto",1,"falta riesgo")))</f>
        <v>falta riesgo</v>
      </c>
      <c r="E21" s="423"/>
      <c r="F21" s="423"/>
      <c r="G21" s="436" t="s">
        <v>94</v>
      </c>
      <c r="H21" s="423"/>
      <c r="I21" s="423"/>
      <c r="J21" s="422" t="str">
        <f>IF(data_status_reg!$E51="bajo",0,IF(data_status_reg!$E51="medio",0.5,IF(data_status_reg!$E51="alto",1,"falta riesgo")))</f>
        <v>falta riesgo</v>
      </c>
      <c r="K21" s="423"/>
      <c r="L21" s="424"/>
      <c r="M21" s="425" t="str">
        <f>IF(data_status_reg!$E67="bajo",0,IF(data_status_reg!$E67="medio",0.5,IF(data_status_reg!$E67="alto",1,"falta riesgo")))</f>
        <v>falta riesgo</v>
      </c>
      <c r="N21" s="426"/>
      <c r="O21" s="434"/>
      <c r="P21" s="422" t="str">
        <f>IF(data_status_reg!$E83="bajo",0,IF(data_status_reg!$E83="medio",0.5,IF(data_status_reg!$E83="alto",1,"falta riesgo")))</f>
        <v>falta riesgo</v>
      </c>
      <c r="Q21" s="427"/>
      <c r="R21" s="3"/>
    </row>
    <row r="22" spans="1:18">
      <c r="A22" s="410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412"/>
      <c r="B23" s="413"/>
      <c r="C23" s="413"/>
      <c r="D23" s="413"/>
      <c r="E23" s="413"/>
      <c r="F23" s="413"/>
      <c r="G23" s="413"/>
      <c r="H23" s="413"/>
      <c r="I23" s="413"/>
      <c r="J23" s="413"/>
      <c r="K23" s="413"/>
      <c r="L23" s="413"/>
      <c r="M23" s="413"/>
      <c r="N23" s="413"/>
      <c r="O23" s="413"/>
      <c r="P23" s="413"/>
      <c r="Q23" s="413"/>
      <c r="R23" s="413"/>
    </row>
    <row r="26" spans="1:18" outlineLevel="1"/>
    <row r="27" spans="1:18" outlineLevel="1">
      <c r="B27" s="7"/>
      <c r="C27" s="7"/>
      <c r="D27" s="7"/>
      <c r="E27" s="8"/>
    </row>
    <row r="28" spans="1:18" outlineLevel="1">
      <c r="E28" s="6"/>
    </row>
    <row r="29" spans="1:18" outlineLevel="1">
      <c r="E29" s="6"/>
    </row>
    <row r="30" spans="1:18" outlineLevel="1">
      <c r="E30" s="6"/>
    </row>
    <row r="31" spans="1:18" outlineLevel="1">
      <c r="E31" s="6"/>
    </row>
    <row r="32" spans="1:18" outlineLevel="1">
      <c r="E32" s="6"/>
    </row>
    <row r="33" spans="5:5" outlineLevel="1">
      <c r="E33" s="6"/>
    </row>
    <row r="34" spans="5:5" outlineLevel="1">
      <c r="E34" s="6"/>
    </row>
    <row r="35" spans="5:5" outlineLevel="1">
      <c r="E35" s="6"/>
    </row>
    <row r="36" spans="5:5" outlineLevel="1">
      <c r="E36" s="6"/>
    </row>
    <row r="37" spans="5:5" outlineLevel="1">
      <c r="E37" s="6"/>
    </row>
    <row r="38" spans="5:5" outlineLevel="1">
      <c r="E38" s="6"/>
    </row>
    <row r="39" spans="5:5" outlineLevel="1">
      <c r="E39" s="6"/>
    </row>
    <row r="40" spans="5:5" outlineLevel="1">
      <c r="E40" s="6"/>
    </row>
    <row r="41" spans="5:5" outlineLevel="1">
      <c r="E41" s="6"/>
    </row>
    <row r="42" spans="5:5" outlineLevel="1">
      <c r="E42" s="6"/>
    </row>
    <row r="43" spans="5:5" outlineLevel="1">
      <c r="E43" s="6"/>
    </row>
    <row r="44" spans="5:5" outlineLevel="1">
      <c r="E44" s="6"/>
    </row>
    <row r="45" spans="5:5" outlineLevel="1">
      <c r="E45" s="6"/>
    </row>
    <row r="46" spans="5:5" outlineLevel="1">
      <c r="E46" s="6"/>
    </row>
    <row r="47" spans="5:5" outlineLevel="1">
      <c r="E47" s="6"/>
    </row>
    <row r="48" spans="5:5" outlineLevel="1">
      <c r="E48" s="6"/>
    </row>
    <row r="49" spans="5:5" outlineLevel="1">
      <c r="E49" s="6"/>
    </row>
    <row r="50" spans="5:5" outlineLevel="1">
      <c r="E50" s="6"/>
    </row>
    <row r="51" spans="5:5" outlineLevel="1">
      <c r="E51" s="6"/>
    </row>
    <row r="52" spans="5:5" outlineLevel="1">
      <c r="E52" s="6"/>
    </row>
    <row r="53" spans="5:5" outlineLevel="1">
      <c r="E53" s="6"/>
    </row>
    <row r="54" spans="5:5" outlineLevel="1">
      <c r="E54" s="6"/>
    </row>
    <row r="55" spans="5:5" outlineLevel="1">
      <c r="E55" s="6"/>
    </row>
    <row r="56" spans="5:5" outlineLevel="1">
      <c r="E56" s="6"/>
    </row>
    <row r="57" spans="5:5" outlineLevel="1">
      <c r="E57" s="6"/>
    </row>
    <row r="58" spans="5:5" outlineLevel="1">
      <c r="E58" s="6"/>
    </row>
    <row r="59" spans="5:5" outlineLevel="1">
      <c r="E59" s="6"/>
    </row>
    <row r="60" spans="5:5" outlineLevel="1">
      <c r="E60" s="6"/>
    </row>
    <row r="61" spans="5:5" outlineLevel="1">
      <c r="E61" s="6"/>
    </row>
    <row r="62" spans="5:5" outlineLevel="1">
      <c r="E62" s="6"/>
    </row>
    <row r="63" spans="5:5" outlineLevel="1">
      <c r="E63" s="6"/>
    </row>
    <row r="64" spans="5:5" outlineLevel="1">
      <c r="E64" s="6"/>
    </row>
    <row r="65" spans="5:5" outlineLevel="1">
      <c r="E65" s="6"/>
    </row>
    <row r="66" spans="5:5" outlineLevel="1">
      <c r="E66" s="6"/>
    </row>
    <row r="67" spans="5:5" outlineLevel="1">
      <c r="E67" s="6"/>
    </row>
    <row r="68" spans="5:5" outlineLevel="1">
      <c r="E68" s="6"/>
    </row>
    <row r="69" spans="5:5" outlineLevel="1">
      <c r="E69" s="6"/>
    </row>
    <row r="70" spans="5:5" outlineLevel="1">
      <c r="E70" s="6"/>
    </row>
    <row r="71" spans="5:5" outlineLevel="1">
      <c r="E71" s="6"/>
    </row>
    <row r="72" spans="5:5" outlineLevel="1">
      <c r="E72" s="6"/>
    </row>
    <row r="73" spans="5:5" outlineLevel="1">
      <c r="E73" s="6"/>
    </row>
    <row r="74" spans="5:5" outlineLevel="1">
      <c r="E74" s="6"/>
    </row>
    <row r="75" spans="5:5" outlineLevel="1">
      <c r="E75" s="6"/>
    </row>
    <row r="76" spans="5:5" outlineLevel="1">
      <c r="E76" s="6"/>
    </row>
    <row r="77" spans="5:5" outlineLevel="1">
      <c r="E77" s="6"/>
    </row>
    <row r="78" spans="5:5" outlineLevel="1">
      <c r="E78" s="6"/>
    </row>
    <row r="79" spans="5:5" outlineLevel="1">
      <c r="E79" s="6"/>
    </row>
    <row r="80" spans="5:5" outlineLevel="1">
      <c r="E80" s="6"/>
    </row>
    <row r="81" spans="5:5" outlineLevel="1">
      <c r="E81" s="6"/>
    </row>
    <row r="82" spans="5:5" outlineLevel="1">
      <c r="E82" s="6"/>
    </row>
    <row r="83" spans="5:5" outlineLevel="1">
      <c r="E83" s="6"/>
    </row>
    <row r="84" spans="5:5" outlineLevel="1">
      <c r="E84" s="6"/>
    </row>
    <row r="85" spans="5:5" outlineLevel="1">
      <c r="E85" s="6"/>
    </row>
    <row r="86" spans="5:5" outlineLevel="1">
      <c r="E86" s="6"/>
    </row>
    <row r="87" spans="5:5" outlineLevel="1">
      <c r="E87" s="6"/>
    </row>
    <row r="88" spans="5:5" outlineLevel="1">
      <c r="E88" s="6"/>
    </row>
    <row r="89" spans="5:5" outlineLevel="1">
      <c r="E89" s="6"/>
    </row>
    <row r="90" spans="5:5" outlineLevel="1">
      <c r="E90" s="6"/>
    </row>
    <row r="91" spans="5:5" outlineLevel="1">
      <c r="E91" s="6"/>
    </row>
    <row r="92" spans="5:5" outlineLevel="1">
      <c r="E92" s="6"/>
    </row>
    <row r="93" spans="5:5" outlineLevel="1">
      <c r="E93" s="6"/>
    </row>
    <row r="94" spans="5:5" outlineLevel="1">
      <c r="E94" s="6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8"/>
  <sheetViews>
    <sheetView showGridLines="0" zoomScale="85" zoomScaleNormal="85" workbookViewId="0">
      <selection activeCell="A6" sqref="A6:XFD6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41" customWidth="1"/>
    <col min="4" max="4" width="11.5703125" style="10" bestFit="1" customWidth="1"/>
    <col min="9" max="9" width="47.7109375" bestFit="1" customWidth="1" outlineLevel="1"/>
    <col min="10" max="10" width="22" style="6" bestFit="1" customWidth="1" outlineLevel="1"/>
  </cols>
  <sheetData>
    <row r="1" spans="1:10">
      <c r="I1" s="9" t="s">
        <v>39</v>
      </c>
      <c r="J1" s="8" t="s">
        <v>40</v>
      </c>
    </row>
    <row r="2" spans="1:10" ht="18" customHeight="1">
      <c r="A2" s="15" t="s">
        <v>41</v>
      </c>
      <c r="B2" s="15"/>
    </row>
    <row r="3" spans="1:10" ht="18" customHeight="1">
      <c r="A3" s="15"/>
      <c r="B3" s="15"/>
      <c r="C3" s="42" t="s">
        <v>43</v>
      </c>
      <c r="D3" s="5" t="str">
        <f>IF(J5="bajo",0,IF(J5="medio",0.5,IF(J5="alto",1,"falta riesgo")))</f>
        <v>falta riesgo</v>
      </c>
      <c r="E3" s="4"/>
    </row>
    <row r="4" spans="1:10" ht="18" customHeight="1">
      <c r="A4" s="15"/>
      <c r="B4" s="15"/>
      <c r="C4" s="42" t="s">
        <v>44</v>
      </c>
      <c r="D4" s="5" t="str">
        <f t="shared" ref="D4" si="0">IF(J4="bajo",0,IF(J4="medio",0.5,IF(J4="alto",1,"falta riesgo")))</f>
        <v>falta riesgo</v>
      </c>
      <c r="E4" s="4"/>
    </row>
    <row r="5" spans="1:10" ht="18" customHeight="1">
      <c r="A5" s="15"/>
      <c r="B5" s="15"/>
      <c r="C5" s="42" t="s">
        <v>42</v>
      </c>
      <c r="D5" s="5" t="str">
        <f>IF(J3="bajo",0,IF(J3="medio",0.5,IF(J3="alto",1,"falta riesgo")))</f>
        <v>falta riesgo</v>
      </c>
      <c r="E5" s="4"/>
    </row>
    <row r="6" spans="1:10" ht="18" customHeight="1">
      <c r="A6" s="15"/>
      <c r="B6" s="15"/>
      <c r="C6" s="42"/>
      <c r="D6" s="5"/>
      <c r="E6" s="4"/>
    </row>
    <row r="7" spans="1:10" ht="18" customHeight="1">
      <c r="A7" s="15" t="s">
        <v>46</v>
      </c>
      <c r="B7" s="15"/>
      <c r="C7" s="42" t="s">
        <v>47</v>
      </c>
      <c r="D7" s="5" t="str">
        <f>IF(J9="bajo",0,IF(J9="medio",0.5,IF(J9="alto",1,"falta riesgo")))</f>
        <v>falta riesgo</v>
      </c>
      <c r="E7" s="4"/>
    </row>
    <row r="8" spans="1:10" ht="18" customHeight="1">
      <c r="A8" s="15"/>
      <c r="B8" s="15"/>
      <c r="C8" s="42" t="s">
        <v>48</v>
      </c>
      <c r="D8" s="5" t="str">
        <f>IF(J14="bajo",0,IF(J14="medio",0.5,IF(J14="alto",1,"falta riesgo")))</f>
        <v>falta riesgo</v>
      </c>
      <c r="E8" s="4"/>
    </row>
    <row r="9" spans="1:10" ht="18" customHeight="1">
      <c r="A9" s="15"/>
      <c r="B9" s="15"/>
      <c r="C9" s="42" t="s">
        <v>49</v>
      </c>
      <c r="D9" s="5" t="str">
        <f>IF(J15="bajo",0,IF(J15="medio",0.5,IF(J15="alto",1,"falta riesgo")))</f>
        <v>falta riesgo</v>
      </c>
      <c r="E9" s="4"/>
    </row>
    <row r="10" spans="1:10" ht="18" customHeight="1">
      <c r="A10" s="15"/>
      <c r="B10" s="15"/>
      <c r="C10" s="42" t="s">
        <v>50</v>
      </c>
      <c r="D10" s="5" t="str">
        <f>IF(J10="bajo",0,IF(J10="medio",0.5,IF(J10="alto",1,"falta riesgo")))</f>
        <v>falta riesgo</v>
      </c>
      <c r="E10" s="4"/>
    </row>
    <row r="11" spans="1:10" ht="18" customHeight="1">
      <c r="A11" s="15"/>
      <c r="B11" s="15"/>
      <c r="C11" s="42" t="s">
        <v>51</v>
      </c>
      <c r="D11" s="5" t="str">
        <f>IF(J12="bajo",0,IF(J12="medio",0.5,IF(J12="alto",1,"falta riesgo")))</f>
        <v>falta riesgo</v>
      </c>
      <c r="E11" s="4"/>
    </row>
    <row r="12" spans="1:10" ht="18" customHeight="1">
      <c r="A12" s="15"/>
      <c r="B12" s="15"/>
      <c r="C12" s="42" t="s">
        <v>52</v>
      </c>
      <c r="D12" s="5" t="str">
        <f>IF(J13="bajo",0,IF(J13="medio",0.5,IF(J13="alto",1,"falta riesgo")))</f>
        <v>falta riesgo</v>
      </c>
      <c r="E12" s="4"/>
    </row>
    <row r="13" spans="1:10" ht="18" customHeight="1">
      <c r="A13" s="15"/>
      <c r="B13" s="15"/>
      <c r="C13" s="42" t="s">
        <v>45</v>
      </c>
      <c r="D13" s="5" t="str">
        <f>IF(J11="bajo",0,IF(J11="medio",0.5,IF(J11="alto",1,"falta riesgo")))</f>
        <v>falta riesgo</v>
      </c>
      <c r="E13" s="4"/>
    </row>
    <row r="14" spans="1:10" ht="18" customHeight="1">
      <c r="A14" s="15"/>
      <c r="B14" s="15"/>
      <c r="C14" s="42"/>
      <c r="D14" s="5"/>
      <c r="E14" s="4"/>
    </row>
    <row r="15" spans="1:10" ht="18" customHeight="1">
      <c r="A15" s="15" t="s">
        <v>18</v>
      </c>
      <c r="B15" s="15"/>
      <c r="C15" s="42" t="s">
        <v>54</v>
      </c>
      <c r="D15" s="5" t="str">
        <f>IF(J18="bajo",0,IF(J18="medio",0.5,IF(J18="alto",1,"falta riesgo")))</f>
        <v>falta riesgo</v>
      </c>
      <c r="E15" s="4"/>
    </row>
    <row r="16" spans="1:10" ht="18" customHeight="1">
      <c r="A16" s="15"/>
      <c r="B16" s="15"/>
      <c r="C16" s="42" t="s">
        <v>55</v>
      </c>
      <c r="D16" s="5" t="str">
        <f>IF(J17="bajo",0,IF(J17="medio",0.5,IF(J17="alto",1,"falta riesgo")))</f>
        <v>falta riesgo</v>
      </c>
      <c r="E16" s="4"/>
    </row>
    <row r="17" spans="1:5" ht="18" customHeight="1">
      <c r="A17" s="15"/>
      <c r="B17" s="15"/>
      <c r="C17" s="42" t="s">
        <v>56</v>
      </c>
      <c r="D17" s="5" t="str">
        <f>IF(J19="bajo",0,IF(J19="medio",0.5,IF(J19="alto",1,"falta riesgo")))</f>
        <v>falta riesgo</v>
      </c>
      <c r="E17" s="4"/>
    </row>
    <row r="18" spans="1:5" ht="21">
      <c r="A18" s="15"/>
      <c r="B18" s="15"/>
      <c r="C18" s="42" t="s">
        <v>57</v>
      </c>
      <c r="D18" s="5" t="str">
        <f>IF(J16="bajo",0,IF(J16="medio",0.5,IF(J16="alto",1,"falta riesgo")))</f>
        <v>falta riesgo</v>
      </c>
      <c r="E18" s="4"/>
    </row>
    <row r="19" spans="1:5" ht="18" customHeight="1">
      <c r="A19" s="15"/>
      <c r="B19" s="15"/>
      <c r="C19" s="42"/>
      <c r="D19" s="5"/>
      <c r="E19" s="4"/>
    </row>
    <row r="20" spans="1:5" ht="18" customHeight="1">
      <c r="A20" s="15" t="s">
        <v>19</v>
      </c>
      <c r="B20" s="15"/>
      <c r="C20" s="42" t="s">
        <v>58</v>
      </c>
      <c r="D20" s="5" t="str">
        <f>IF(J22="bajo",0,IF(J22="medio",0.5,IF(J22="alto",1,"falta riesgo")))</f>
        <v>falta riesgo</v>
      </c>
      <c r="E20" s="4"/>
    </row>
    <row r="21" spans="1:5" ht="18" customHeight="1">
      <c r="A21" s="15"/>
      <c r="B21" s="15"/>
      <c r="C21" s="42" t="s">
        <v>59</v>
      </c>
      <c r="D21" s="5" t="str">
        <f>IF(J24="bajo",0,IF(J24="medio",0.5,IF(J24="alto",1,"falta riesgo")))</f>
        <v>falta riesgo</v>
      </c>
      <c r="E21" s="4"/>
    </row>
    <row r="22" spans="1:5" ht="18" customHeight="1">
      <c r="A22" s="15"/>
      <c r="B22" s="15"/>
      <c r="C22" s="42" t="s">
        <v>60</v>
      </c>
      <c r="D22" s="5" t="str">
        <f>IF(J23="bajo",0,IF(J23="medio",0.5,IF(J23="alto",1,"falta riesgo")))</f>
        <v>falta riesgo</v>
      </c>
      <c r="E22" s="4"/>
    </row>
    <row r="23" spans="1:5" ht="18" customHeight="1">
      <c r="A23" s="15"/>
      <c r="B23" s="15"/>
      <c r="C23" s="42" t="s">
        <v>61</v>
      </c>
      <c r="D23" s="5" t="str">
        <f>IF(J21="bajo",0,IF(J21="medio",0.5,IF(J21="alto",1,"falta riesgo")))</f>
        <v>falta riesgo</v>
      </c>
      <c r="E23" s="4"/>
    </row>
    <row r="24" spans="1:5" ht="18" customHeight="1">
      <c r="A24" s="15"/>
      <c r="B24" s="15"/>
      <c r="C24" s="42" t="s">
        <v>53</v>
      </c>
      <c r="D24" s="5" t="str">
        <f>IF(J20="bajo",0,IF(J20="medio",0.5,IF(J20="alto",1,"falta riesgo")))</f>
        <v>falta riesgo</v>
      </c>
      <c r="E24" s="4"/>
    </row>
    <row r="25" spans="1:5" ht="18" customHeight="1">
      <c r="A25" s="15"/>
      <c r="B25" s="15"/>
      <c r="C25" s="42"/>
      <c r="D25" s="5"/>
      <c r="E25" s="4"/>
    </row>
    <row r="26" spans="1:5" ht="18" customHeight="1">
      <c r="A26" s="15" t="s">
        <v>17</v>
      </c>
      <c r="B26" s="15"/>
      <c r="C26" s="42" t="s">
        <v>62</v>
      </c>
      <c r="D26" s="5" t="str">
        <f>IF(J27="bajo",0,IF(J27="medio",0.5,IF(J27="alto",1,"falta riesgo")))</f>
        <v>falta riesgo</v>
      </c>
      <c r="E26" s="4"/>
    </row>
    <row r="27" spans="1:5" ht="22.5" customHeight="1">
      <c r="A27" s="15"/>
      <c r="B27" s="15"/>
      <c r="C27" s="42" t="s">
        <v>63</v>
      </c>
      <c r="D27" s="5" t="str">
        <f>IF(J26="bajo",0,IF(J26="medio",0.5,IF(J26="alto",1,"falta riesgo")))</f>
        <v>falta riesgo</v>
      </c>
      <c r="E27" s="4"/>
    </row>
    <row r="28" spans="1:5" ht="18" customHeight="1">
      <c r="A28" s="15"/>
      <c r="B28" s="15"/>
      <c r="C28" s="42" t="s">
        <v>64</v>
      </c>
      <c r="D28" s="5" t="str">
        <f>IF(J25="bajo",0,IF(J25="medio",0.5,IF(J25="alto",1,"falta riesgo")))</f>
        <v>falta riesgo</v>
      </c>
      <c r="E28" s="4"/>
    </row>
    <row r="29" spans="1:5" ht="18" customHeight="1">
      <c r="A29" s="15"/>
      <c r="B29" s="15"/>
      <c r="C29" s="42" t="s">
        <v>65</v>
      </c>
      <c r="D29" s="5" t="str">
        <f>IF(J30="bajo",0,IF(J30="medio",0.5,IF(J30="alto",1,"falta riesgo")))</f>
        <v>falta riesgo</v>
      </c>
      <c r="E29" s="4"/>
    </row>
    <row r="30" spans="1:5" ht="18" customHeight="1">
      <c r="A30" s="15"/>
      <c r="B30" s="15"/>
      <c r="C30" s="42" t="s">
        <v>66</v>
      </c>
      <c r="D30" s="5" t="str">
        <f>IF(J31="bajo",0,IF(J31="medio",0.5,IF(J31="alto",1,"falta riesgo")))</f>
        <v>falta riesgo</v>
      </c>
      <c r="E30" s="4"/>
    </row>
    <row r="31" spans="1:5" ht="18" customHeight="1">
      <c r="A31" s="15"/>
      <c r="B31" s="15"/>
      <c r="C31" s="42" t="s">
        <v>67</v>
      </c>
      <c r="D31" s="5" t="str">
        <f>IF(J32="bajo",0,IF(J32="medio",0.5,IF(J32="alto",1,"falta riesgo")))</f>
        <v>falta riesgo</v>
      </c>
      <c r="E31" s="4"/>
    </row>
    <row r="32" spans="1:5" ht="18" customHeight="1">
      <c r="A32" s="15"/>
      <c r="B32" s="15"/>
      <c r="C32" s="42" t="s">
        <v>68</v>
      </c>
      <c r="D32" s="5" t="str">
        <f>IF(J28="bajo",0,IF(J28="medio",0.5,IF(J28="alto",1,"falta riesgo")))</f>
        <v>falta riesgo</v>
      </c>
      <c r="E32" s="4"/>
    </row>
    <row r="33" spans="1:5" ht="18" customHeight="1">
      <c r="A33" s="15"/>
      <c r="B33" s="15"/>
      <c r="C33" s="42" t="s">
        <v>69</v>
      </c>
      <c r="D33" s="5" t="str">
        <f>IF(J29="bajo",0,IF(J29="medio",0.5,IF(J29="alto",1,"falta riesgo")))</f>
        <v>falta riesgo</v>
      </c>
      <c r="E33" s="4"/>
    </row>
    <row r="34" spans="1:5" ht="18" customHeight="1">
      <c r="A34" s="15"/>
      <c r="B34" s="15"/>
      <c r="C34" s="42"/>
      <c r="D34" s="5"/>
      <c r="E34" s="4"/>
    </row>
    <row r="35" spans="1:5" ht="18" customHeight="1">
      <c r="A35" s="15" t="s">
        <v>16</v>
      </c>
      <c r="B35" s="15"/>
      <c r="C35" s="42" t="s">
        <v>70</v>
      </c>
      <c r="D35" s="5" t="str">
        <f>IF(J33="bajo",0,IF(J33="medio",0.5,IF(J33="alto",1,"falta riesgo")))</f>
        <v>falta riesgo</v>
      </c>
      <c r="E35" s="4"/>
    </row>
    <row r="36" spans="1:5" ht="18" customHeight="1">
      <c r="A36" s="15"/>
      <c r="B36" s="15"/>
      <c r="C36" s="42" t="s">
        <v>71</v>
      </c>
      <c r="D36" s="5" t="str">
        <f>IF(J34="bajo",0,IF(J34="medio",0.5,IF(J34="alto",1,"falta riesgo")))</f>
        <v>falta riesgo</v>
      </c>
      <c r="E36" s="4"/>
    </row>
    <row r="37" spans="1:5" ht="18" customHeight="1">
      <c r="A37" s="15"/>
      <c r="B37" s="15"/>
      <c r="C37" s="42" t="s">
        <v>72</v>
      </c>
      <c r="D37" s="5" t="str">
        <f>IF(J36="bajo",0,IF(J36="medio",0.5,IF(J36="alto",1,"falta riesgo")))</f>
        <v>falta riesgo</v>
      </c>
      <c r="E37" s="4"/>
    </row>
    <row r="38" spans="1:5" ht="18" customHeight="1">
      <c r="A38" s="15"/>
      <c r="B38" s="15"/>
      <c r="C38" s="42" t="s">
        <v>73</v>
      </c>
      <c r="D38" s="5" t="str">
        <f>IF(J37="bajo",0,IF(J37="medio",0.5,IF(J37="alto",1,"falta riesgo")))</f>
        <v>falta riesgo</v>
      </c>
      <c r="E38" s="4"/>
    </row>
    <row r="39" spans="1:5" ht="18" customHeight="1">
      <c r="A39" s="15"/>
      <c r="B39" s="15"/>
      <c r="C39" s="42" t="s">
        <v>74</v>
      </c>
      <c r="D39" s="5" t="str">
        <f>IF(J35="bajo",0,IF(J35="medio",0.5,IF(J35="alto",1,"falta riesgo")))</f>
        <v>falta riesgo</v>
      </c>
      <c r="E39" s="4"/>
    </row>
    <row r="40" spans="1:5" ht="18" customHeight="1">
      <c r="A40" s="15"/>
      <c r="B40" s="15"/>
      <c r="C40" s="42"/>
      <c r="D40" s="5"/>
      <c r="E40" s="4"/>
    </row>
    <row r="41" spans="1:5" ht="18" customHeight="1">
      <c r="A41" s="15" t="s">
        <v>20</v>
      </c>
      <c r="B41" s="15"/>
      <c r="C41" s="42" t="s">
        <v>75</v>
      </c>
      <c r="D41" s="5" t="str">
        <f>IF(J38="bajo",0,IF(J38="medio",0.5,IF(J38="alto",1,"falta riesgo")))</f>
        <v>falta riesgo</v>
      </c>
      <c r="E41" s="4"/>
    </row>
    <row r="42" spans="1:5" ht="18" customHeight="1">
      <c r="A42" s="15"/>
      <c r="B42" s="15"/>
      <c r="C42" s="42" t="s">
        <v>76</v>
      </c>
      <c r="D42" s="5" t="str">
        <f>IF(J39="bajo",0,IF(J39="medio",0.5,IF(J39="alto",1,"falta riesgo")))</f>
        <v>falta riesgo</v>
      </c>
      <c r="E42" s="4"/>
    </row>
    <row r="43" spans="1:5" ht="18" customHeight="1">
      <c r="A43" s="15"/>
      <c r="B43" s="15"/>
      <c r="C43" s="42" t="s">
        <v>77</v>
      </c>
      <c r="D43" s="5" t="str">
        <f>IF(J40="bajo",0,IF(J40="medio",0.5,IF(J40="alto",1,"falta riesgo")))</f>
        <v>falta riesgo</v>
      </c>
      <c r="E43" s="4"/>
    </row>
    <row r="44" spans="1:5" ht="18" customHeight="1">
      <c r="A44" s="15"/>
      <c r="B44" s="15"/>
      <c r="C44" s="42" t="s">
        <v>78</v>
      </c>
      <c r="D44" s="5" t="str">
        <f>IF(J41="bajo",0,IF(J41="medio",0.5,IF(J41="alto",1,"falta riesgo")))</f>
        <v>falta riesgo</v>
      </c>
      <c r="E44" s="4"/>
    </row>
    <row r="45" spans="1:5" ht="18" customHeight="1">
      <c r="A45" s="15"/>
      <c r="B45" s="15"/>
      <c r="C45" s="42" t="s">
        <v>79</v>
      </c>
      <c r="D45" s="5" t="str">
        <f>IF(J43="bajo",0,IF(J43="medio",0.5,IF(J43="alto",1,"falta riesgo")))</f>
        <v>falta riesgo</v>
      </c>
      <c r="E45" s="4"/>
    </row>
    <row r="46" spans="1:5" ht="20.25" customHeight="1">
      <c r="A46" s="15"/>
      <c r="B46" s="15"/>
      <c r="C46" s="42" t="s">
        <v>80</v>
      </c>
      <c r="D46" s="5" t="str">
        <f>IF(J42="bajo",0,IF(J42="medio",0.5,IF(J42="alto",1,"falta riesgo")))</f>
        <v>falta riesgo</v>
      </c>
      <c r="E46" s="4"/>
    </row>
    <row r="47" spans="1:5" ht="18" customHeight="1">
      <c r="A47" s="15"/>
      <c r="B47" s="15"/>
      <c r="C47" s="42"/>
      <c r="D47" s="5"/>
      <c r="E47" s="4"/>
    </row>
    <row r="48" spans="1:5" ht="18" customHeight="1">
      <c r="A48" s="15" t="s">
        <v>22</v>
      </c>
      <c r="B48" s="15"/>
      <c r="C48" s="42" t="s">
        <v>81</v>
      </c>
      <c r="D48" s="5" t="str">
        <f>IF(J49="bajo",0,IF(J49="medio",0.5,IF(J49="alto",1,"falta riesgo")))</f>
        <v>falta riesgo</v>
      </c>
      <c r="E48" s="4"/>
    </row>
    <row r="49" spans="1:5" ht="18" customHeight="1">
      <c r="A49" s="15"/>
      <c r="B49" s="15"/>
      <c r="C49" s="42" t="s">
        <v>82</v>
      </c>
      <c r="D49" s="5" t="str">
        <f>IF(J44="bajo",0,IF(J44="medio",0.5,IF(J44="alto",1,"falta riesgo")))</f>
        <v>falta riesgo</v>
      </c>
      <c r="E49" s="4"/>
    </row>
    <row r="50" spans="1:5" ht="18" customHeight="1">
      <c r="A50" s="15"/>
      <c r="B50" s="15"/>
      <c r="C50" s="42" t="s">
        <v>83</v>
      </c>
      <c r="D50" s="5" t="str">
        <f>IF(J46="bajo",0,IF(J46="medio",0.5,IF(J46="alto",1,"falta riesgo")))</f>
        <v>falta riesgo</v>
      </c>
      <c r="E50" s="4"/>
    </row>
    <row r="51" spans="1:5" ht="18" customHeight="1">
      <c r="A51" s="15"/>
      <c r="B51" s="15"/>
      <c r="C51" s="42" t="s">
        <v>84</v>
      </c>
      <c r="D51" s="5" t="str">
        <f>IF(J47="bajo",0,IF(J47="medio",0.5,IF(J47="alto",1,"falta riesgo")))</f>
        <v>falta riesgo</v>
      </c>
      <c r="E51" s="4"/>
    </row>
    <row r="52" spans="1:5" ht="18" customHeight="1">
      <c r="A52" s="15"/>
      <c r="B52" s="15"/>
      <c r="C52" s="42" t="s">
        <v>85</v>
      </c>
      <c r="D52" s="5" t="str">
        <f>IF(J48="bajo",0,IF(J48="medio",0.5,IF(J48="alto",1,"falta riesgo")))</f>
        <v>falta riesgo</v>
      </c>
      <c r="E52" s="4"/>
    </row>
    <row r="53" spans="1:5" ht="18" customHeight="1">
      <c r="A53" s="15"/>
      <c r="B53" s="15"/>
      <c r="C53" s="42" t="s">
        <v>86</v>
      </c>
      <c r="D53" s="5" t="str">
        <f>IF(J45="bajo",0,IF(J45="medio",0.5,IF(J45="alto",1,"falta riesgo")))</f>
        <v>falta riesgo</v>
      </c>
      <c r="E53" s="4"/>
    </row>
    <row r="54" spans="1:5" ht="18" customHeight="1">
      <c r="A54" s="15"/>
      <c r="B54" s="15"/>
      <c r="C54" s="42" t="s">
        <v>87</v>
      </c>
      <c r="D54" s="5" t="str">
        <f>IF(J50="bajo",0,IF(J50="medio",0.5,IF(J50="alto",1,"falta riesgo")))</f>
        <v>falta riesgo</v>
      </c>
      <c r="E54" s="4"/>
    </row>
    <row r="55" spans="1:5">
      <c r="D55" s="11"/>
    </row>
    <row r="56" spans="1:5">
      <c r="D56" s="11"/>
    </row>
    <row r="57" spans="1:5">
      <c r="D57" s="11"/>
    </row>
    <row r="58" spans="1:5">
      <c r="D58" s="11"/>
    </row>
  </sheetData>
  <pageMargins left="0.7" right="0.7" top="0.75" bottom="0.75" header="0.3" footer="0.3"/>
  <pageSetup orientation="portrait" r:id="rId1"/>
  <ignoredErrors>
    <ignoredError sqref="D53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0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80" t="s">
        <v>95</v>
      </c>
      <c r="C3" s="80" t="s">
        <v>39</v>
      </c>
      <c r="D3" s="80" t="s">
        <v>136</v>
      </c>
      <c r="E3" s="80" t="s">
        <v>137</v>
      </c>
    </row>
    <row r="4" spans="2:5">
      <c r="B4" s="2"/>
      <c r="C4" s="2"/>
      <c r="D4" s="2"/>
      <c r="E4" s="81"/>
    </row>
    <row r="5" spans="2:5">
      <c r="B5" s="2"/>
      <c r="C5" s="2"/>
      <c r="D5" s="2"/>
      <c r="E5" s="81"/>
    </row>
    <row r="6" spans="2:5">
      <c r="B6" s="2"/>
      <c r="C6" s="2"/>
      <c r="D6" s="2"/>
      <c r="E6" s="81"/>
    </row>
    <row r="7" spans="2:5">
      <c r="B7" s="2"/>
      <c r="C7" s="2"/>
      <c r="D7" s="2"/>
      <c r="E7" s="81"/>
    </row>
    <row r="8" spans="2:5">
      <c r="B8" s="2"/>
      <c r="C8" s="2"/>
      <c r="D8" s="2"/>
      <c r="E8" s="81"/>
    </row>
    <row r="9" spans="2:5">
      <c r="B9" s="2"/>
      <c r="C9" s="2"/>
      <c r="D9" s="2"/>
      <c r="E9" s="81"/>
    </row>
    <row r="10" spans="2:5">
      <c r="B10" s="2"/>
      <c r="C10" s="2"/>
      <c r="D10" s="2"/>
      <c r="E10" s="81"/>
    </row>
    <row r="11" spans="2:5">
      <c r="B11" s="2"/>
      <c r="C11" s="2"/>
      <c r="D11" s="2"/>
      <c r="E11" s="81"/>
    </row>
    <row r="12" spans="2:5">
      <c r="B12" s="2"/>
      <c r="C12" s="2"/>
      <c r="D12" s="2"/>
      <c r="E12" s="81"/>
    </row>
    <row r="13" spans="2:5">
      <c r="B13" s="2"/>
      <c r="C13" s="2"/>
      <c r="D13" s="2"/>
      <c r="E13" s="81"/>
    </row>
    <row r="14" spans="2:5">
      <c r="B14" s="2"/>
      <c r="C14" s="2"/>
      <c r="D14" s="2"/>
      <c r="E14" s="81"/>
    </row>
    <row r="15" spans="2:5">
      <c r="B15" s="2"/>
      <c r="C15" s="2"/>
      <c r="D15" s="2"/>
      <c r="E15" s="81"/>
    </row>
    <row r="16" spans="2:5">
      <c r="B16" s="2"/>
      <c r="C16" s="2"/>
      <c r="D16" s="2"/>
      <c r="E16" s="81"/>
    </row>
    <row r="17" spans="2:5">
      <c r="B17" s="2"/>
      <c r="C17" s="2"/>
      <c r="D17" s="2"/>
      <c r="E17" s="81"/>
    </row>
    <row r="18" spans="2:5">
      <c r="B18" s="2"/>
      <c r="C18" s="2"/>
      <c r="D18" s="2"/>
      <c r="E18" s="81"/>
    </row>
    <row r="19" spans="2:5">
      <c r="B19" s="2"/>
      <c r="C19" s="2"/>
      <c r="D19" s="2"/>
      <c r="E19" s="81"/>
    </row>
    <row r="20" spans="2:5">
      <c r="B20" s="82"/>
      <c r="C20" s="82"/>
      <c r="D20" s="82"/>
      <c r="E20" s="81"/>
    </row>
    <row r="21" spans="2:5">
      <c r="B21" s="82"/>
      <c r="C21" s="82"/>
      <c r="D21" s="82"/>
      <c r="E21" s="81"/>
    </row>
    <row r="22" spans="2:5">
      <c r="B22" s="82"/>
      <c r="C22" s="82"/>
      <c r="D22" s="82"/>
      <c r="E22" s="81"/>
    </row>
    <row r="23" spans="2:5">
      <c r="B23" s="82"/>
      <c r="C23" s="82"/>
      <c r="D23" s="82"/>
      <c r="E23" s="81"/>
    </row>
    <row r="24" spans="2:5">
      <c r="B24" s="82"/>
      <c r="C24" s="82"/>
      <c r="D24" s="82"/>
      <c r="E24" s="81"/>
    </row>
    <row r="25" spans="2:5">
      <c r="B25" s="82"/>
      <c r="C25" s="82"/>
      <c r="D25" s="82"/>
      <c r="E25" s="81"/>
    </row>
    <row r="26" spans="2:5">
      <c r="B26" s="82"/>
      <c r="C26" s="82"/>
      <c r="D26" s="82"/>
      <c r="E26" s="81"/>
    </row>
    <row r="27" spans="2:5">
      <c r="B27" s="82"/>
      <c r="C27" s="82"/>
      <c r="D27" s="82"/>
      <c r="E27" s="81"/>
    </row>
    <row r="28" spans="2:5">
      <c r="B28" s="82"/>
      <c r="C28" s="82"/>
      <c r="D28" s="82"/>
      <c r="E28" s="81"/>
    </row>
    <row r="29" spans="2:5">
      <c r="B29" s="82"/>
      <c r="C29" s="82"/>
      <c r="D29" s="82"/>
      <c r="E29" s="81"/>
    </row>
    <row r="30" spans="2:5">
      <c r="B30" s="82"/>
      <c r="C30" s="82"/>
      <c r="D30" s="82"/>
      <c r="E30" s="81"/>
    </row>
    <row r="31" spans="2:5">
      <c r="B31" s="82"/>
      <c r="C31" s="82"/>
      <c r="D31" s="82"/>
      <c r="E31" s="81"/>
    </row>
    <row r="32" spans="2:5">
      <c r="B32" s="82"/>
      <c r="C32" s="82"/>
      <c r="D32" s="82"/>
      <c r="E32" s="81"/>
    </row>
    <row r="33" spans="2:5">
      <c r="B33" s="82"/>
      <c r="C33" s="82"/>
      <c r="D33" s="82"/>
      <c r="E33" s="81"/>
    </row>
    <row r="34" spans="2:5">
      <c r="B34" s="82"/>
      <c r="C34" s="82"/>
      <c r="D34" s="82"/>
      <c r="E34" s="81"/>
    </row>
    <row r="35" spans="2:5">
      <c r="B35" s="82"/>
      <c r="C35" s="82"/>
      <c r="D35" s="82"/>
      <c r="E35" s="81"/>
    </row>
    <row r="36" spans="2:5">
      <c r="B36" s="79"/>
      <c r="C36" s="2"/>
      <c r="D36" s="2"/>
      <c r="E36" s="81"/>
    </row>
    <row r="37" spans="2:5">
      <c r="B37" s="79"/>
      <c r="C37" s="2"/>
      <c r="D37" s="2"/>
      <c r="E37" s="81"/>
    </row>
    <row r="38" spans="2:5">
      <c r="B38" s="79"/>
      <c r="C38" s="2"/>
      <c r="D38" s="2"/>
      <c r="E38" s="81"/>
    </row>
    <row r="39" spans="2:5">
      <c r="B39" s="79"/>
      <c r="C39" s="2"/>
      <c r="D39" s="2"/>
      <c r="E39" s="81"/>
    </row>
    <row r="40" spans="2:5">
      <c r="B40" s="79"/>
      <c r="C40" s="2"/>
      <c r="D40" s="2"/>
      <c r="E40" s="81"/>
    </row>
    <row r="41" spans="2:5">
      <c r="B41" s="79"/>
      <c r="C41" s="2"/>
      <c r="D41" s="2"/>
      <c r="E41" s="81"/>
    </row>
    <row r="42" spans="2:5">
      <c r="B42" s="79"/>
      <c r="C42" s="2"/>
      <c r="D42" s="2"/>
      <c r="E42" s="81"/>
    </row>
    <row r="43" spans="2:5">
      <c r="B43" s="79"/>
      <c r="C43" s="2"/>
      <c r="D43" s="2"/>
      <c r="E43" s="81"/>
    </row>
    <row r="44" spans="2:5">
      <c r="B44" s="79"/>
      <c r="C44" s="2"/>
      <c r="D44" s="2"/>
      <c r="E44" s="81"/>
    </row>
    <row r="45" spans="2:5">
      <c r="B45" s="79"/>
      <c r="C45" s="2"/>
      <c r="D45" s="2"/>
      <c r="E45" s="81"/>
    </row>
    <row r="46" spans="2:5">
      <c r="B46" s="79"/>
      <c r="C46" s="2"/>
      <c r="D46" s="2"/>
      <c r="E46" s="81"/>
    </row>
    <row r="47" spans="2:5">
      <c r="B47" s="79"/>
      <c r="C47" s="2"/>
      <c r="D47" s="2"/>
      <c r="E47" s="81"/>
    </row>
    <row r="48" spans="2:5">
      <c r="B48" s="79"/>
      <c r="C48" s="2"/>
      <c r="D48" s="2"/>
      <c r="E48" s="81"/>
    </row>
    <row r="49" spans="2:5">
      <c r="B49" s="79"/>
      <c r="C49" s="2"/>
      <c r="D49" s="2"/>
      <c r="E49" s="81"/>
    </row>
    <row r="50" spans="2:5">
      <c r="B50" s="79"/>
      <c r="C50" s="2"/>
      <c r="D50" s="2"/>
      <c r="E50" s="81"/>
    </row>
    <row r="51" spans="2:5">
      <c r="B51" s="79"/>
      <c r="C51" s="2"/>
      <c r="D51" s="2"/>
      <c r="E51" s="81"/>
    </row>
    <row r="52" spans="2:5">
      <c r="B52" s="79"/>
      <c r="C52" s="2"/>
      <c r="D52" s="83"/>
      <c r="E52" s="81"/>
    </row>
    <row r="53" spans="2:5">
      <c r="B53" s="79"/>
      <c r="C53" s="2"/>
      <c r="D53" s="83"/>
      <c r="E53" s="81"/>
    </row>
    <row r="54" spans="2:5">
      <c r="B54" s="79"/>
      <c r="C54" s="2"/>
      <c r="D54" s="83"/>
      <c r="E54" s="81"/>
    </row>
    <row r="55" spans="2:5">
      <c r="B55" s="79"/>
      <c r="C55" s="2"/>
      <c r="D55" s="83"/>
      <c r="E55" s="81"/>
    </row>
    <row r="56" spans="2:5">
      <c r="B56" s="79"/>
      <c r="C56" s="2"/>
      <c r="D56" s="83"/>
      <c r="E56" s="81"/>
    </row>
    <row r="57" spans="2:5">
      <c r="B57" s="79"/>
      <c r="C57" s="2"/>
      <c r="D57" s="83"/>
      <c r="E57" s="81"/>
    </row>
    <row r="58" spans="2:5">
      <c r="B58" s="79"/>
      <c r="C58" s="2"/>
      <c r="D58" s="83"/>
      <c r="E58" s="81"/>
    </row>
    <row r="59" spans="2:5">
      <c r="B59" s="79"/>
      <c r="C59" s="2"/>
      <c r="D59" s="83"/>
      <c r="E59" s="81"/>
    </row>
    <row r="60" spans="2:5">
      <c r="B60" s="79"/>
      <c r="C60" s="2"/>
      <c r="D60" s="83"/>
      <c r="E60" s="81"/>
    </row>
    <row r="61" spans="2:5">
      <c r="B61" s="79"/>
      <c r="C61" s="2"/>
      <c r="D61" s="83"/>
      <c r="E61" s="81"/>
    </row>
    <row r="62" spans="2:5">
      <c r="B62" s="79"/>
      <c r="C62" s="2"/>
      <c r="D62" s="83"/>
      <c r="E62" s="81"/>
    </row>
    <row r="63" spans="2:5">
      <c r="B63" s="79"/>
      <c r="C63" s="2"/>
      <c r="D63" s="83"/>
      <c r="E63" s="81"/>
    </row>
    <row r="64" spans="2:5">
      <c r="B64" s="79"/>
      <c r="C64" s="2"/>
      <c r="D64" s="83"/>
      <c r="E64" s="81"/>
    </row>
    <row r="65" spans="2:5">
      <c r="B65" s="79"/>
      <c r="C65" s="2"/>
      <c r="D65" s="83"/>
      <c r="E65" s="81"/>
    </row>
    <row r="66" spans="2:5">
      <c r="B66" s="79"/>
      <c r="C66" s="2"/>
      <c r="D66" s="83"/>
      <c r="E66" s="81"/>
    </row>
    <row r="67" spans="2:5">
      <c r="B67" s="79"/>
      <c r="C67" s="2"/>
      <c r="D67" s="83"/>
      <c r="E67" s="81"/>
    </row>
    <row r="68" spans="2:5">
      <c r="B68" s="79"/>
      <c r="C68" s="2"/>
      <c r="D68" s="83"/>
      <c r="E68" s="81"/>
    </row>
    <row r="69" spans="2:5">
      <c r="B69" s="79"/>
      <c r="C69" s="2"/>
      <c r="D69" s="83"/>
      <c r="E69" s="81"/>
    </row>
    <row r="70" spans="2:5">
      <c r="B70" s="79"/>
      <c r="C70" s="2"/>
      <c r="D70" s="83"/>
      <c r="E70" s="81"/>
    </row>
    <row r="71" spans="2:5">
      <c r="B71" s="79"/>
      <c r="C71" s="2"/>
      <c r="D71" s="83"/>
      <c r="E71" s="81"/>
    </row>
    <row r="72" spans="2:5">
      <c r="B72" s="79"/>
      <c r="C72" s="2"/>
      <c r="D72" s="83"/>
      <c r="E72" s="81"/>
    </row>
    <row r="73" spans="2:5">
      <c r="B73" s="79"/>
      <c r="C73" s="2"/>
      <c r="D73" s="83"/>
      <c r="E73" s="81"/>
    </row>
    <row r="74" spans="2:5">
      <c r="B74" s="79"/>
      <c r="C74" s="2"/>
      <c r="D74" s="83"/>
      <c r="E74" s="81"/>
    </row>
    <row r="75" spans="2:5">
      <c r="B75" s="79"/>
      <c r="C75" s="2"/>
      <c r="D75" s="83"/>
      <c r="E75" s="81"/>
    </row>
    <row r="76" spans="2:5">
      <c r="B76" s="79"/>
      <c r="C76" s="2"/>
      <c r="D76" s="83"/>
      <c r="E76" s="81"/>
    </row>
    <row r="77" spans="2:5">
      <c r="B77" s="79"/>
      <c r="C77" s="2"/>
      <c r="D77" s="83"/>
      <c r="E77" s="81"/>
    </row>
    <row r="78" spans="2:5">
      <c r="B78" s="79"/>
      <c r="C78" s="2"/>
      <c r="D78" s="83"/>
      <c r="E78" s="81"/>
    </row>
    <row r="79" spans="2:5">
      <c r="B79" s="79"/>
      <c r="C79" s="2"/>
      <c r="D79" s="83"/>
      <c r="E79" s="81"/>
    </row>
    <row r="80" spans="2:5">
      <c r="B80" s="79"/>
      <c r="C80" s="2"/>
      <c r="D80" s="83"/>
      <c r="E80" s="81"/>
    </row>
    <row r="81" spans="2:5">
      <c r="B81" s="79"/>
      <c r="C81" s="2"/>
      <c r="D81" s="83"/>
      <c r="E81" s="81"/>
    </row>
    <row r="82" spans="2:5">
      <c r="B82" s="79"/>
      <c r="C82" s="2"/>
      <c r="D82" s="83"/>
      <c r="E82" s="81"/>
    </row>
    <row r="83" spans="2:5">
      <c r="B83" s="79"/>
      <c r="C83" s="2"/>
      <c r="D83" s="83"/>
      <c r="E83" s="81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tabSelected="1" view="pageBreakPreview" topLeftCell="A5" zoomScale="85" zoomScaleNormal="85" zoomScaleSheetLayoutView="85" workbookViewId="0">
      <selection activeCell="I25" sqref="I25"/>
    </sheetView>
  </sheetViews>
  <sheetFormatPr baseColWidth="10" defaultColWidth="11.42578125" defaultRowHeight="15"/>
  <cols>
    <col min="1" max="1" width="3.5703125" style="36" customWidth="1"/>
    <col min="2" max="2" width="7.42578125" style="36" customWidth="1"/>
    <col min="3" max="3" width="28.7109375" style="36" bestFit="1" customWidth="1"/>
    <col min="4" max="4" width="16.28515625" style="36" customWidth="1"/>
    <col min="5" max="6" width="20.28515625" style="36" customWidth="1"/>
    <col min="7" max="7" width="19.7109375" style="36" customWidth="1"/>
    <col min="8" max="8" width="11.140625" style="36" customWidth="1"/>
    <col min="9" max="9" width="21.28515625" style="36" customWidth="1"/>
    <col min="10" max="10" width="15.42578125" style="36" customWidth="1"/>
    <col min="11" max="11" width="20.28515625" style="36" customWidth="1"/>
    <col min="12" max="12" width="21.140625" style="36" customWidth="1"/>
    <col min="13" max="13" width="18.28515625" style="36" customWidth="1"/>
    <col min="14" max="14" width="7.140625" style="36" customWidth="1"/>
    <col min="15" max="15" width="1" style="36" customWidth="1"/>
    <col min="16" max="16384" width="11.42578125" style="36"/>
  </cols>
  <sheetData>
    <row r="1" spans="1:16">
      <c r="A1" s="323"/>
      <c r="B1" s="343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</row>
    <row r="2" spans="1:16" ht="13.5" customHeight="1">
      <c r="A2" s="341"/>
      <c r="B2" s="342"/>
      <c r="N2" s="339"/>
      <c r="O2" s="344"/>
      <c r="P2" s="342"/>
    </row>
    <row r="3" spans="1:16" ht="37.35" customHeight="1">
      <c r="A3" s="37"/>
      <c r="B3" s="489" t="s">
        <v>96</v>
      </c>
      <c r="C3" s="490"/>
      <c r="D3" s="490"/>
      <c r="E3" s="490"/>
      <c r="F3" s="490"/>
      <c r="G3" s="490"/>
      <c r="H3" s="490"/>
      <c r="I3" s="490"/>
      <c r="J3" s="490"/>
      <c r="K3" s="490"/>
      <c r="L3" s="490"/>
      <c r="M3" s="490"/>
      <c r="N3" s="490"/>
      <c r="O3" s="491"/>
    </row>
    <row r="4" spans="1:16" ht="7.35" customHeight="1">
      <c r="A4" s="38"/>
      <c r="B4" s="496" t="s">
        <v>97</v>
      </c>
      <c r="C4" s="497"/>
      <c r="D4" s="497"/>
      <c r="E4" s="497"/>
      <c r="F4" s="497"/>
      <c r="G4" s="497"/>
      <c r="H4" s="497"/>
      <c r="I4" s="497"/>
      <c r="J4" s="497"/>
      <c r="K4" s="497"/>
      <c r="L4" s="497"/>
      <c r="M4" s="497"/>
      <c r="N4" s="497"/>
      <c r="O4" s="338"/>
    </row>
    <row r="5" spans="1:16" ht="43.5" customHeight="1">
      <c r="A5" s="38"/>
      <c r="B5" s="496"/>
      <c r="C5" s="497"/>
      <c r="D5" s="497"/>
      <c r="E5" s="497"/>
      <c r="F5" s="497"/>
      <c r="G5" s="497"/>
      <c r="H5" s="497"/>
      <c r="I5" s="497"/>
      <c r="J5" s="497"/>
      <c r="K5" s="497"/>
      <c r="L5" s="497"/>
      <c r="M5" s="497"/>
      <c r="N5" s="497"/>
      <c r="O5" s="338"/>
    </row>
    <row r="6" spans="1:16" ht="43.5" customHeight="1">
      <c r="A6" s="38"/>
      <c r="B6" s="496"/>
      <c r="C6" s="497"/>
      <c r="D6" s="497"/>
      <c r="E6" s="497"/>
      <c r="F6" s="497"/>
      <c r="G6" s="497"/>
      <c r="H6" s="497"/>
      <c r="I6" s="497"/>
      <c r="J6" s="497"/>
      <c r="K6" s="497"/>
      <c r="L6" s="497"/>
      <c r="M6" s="497"/>
      <c r="N6" s="497"/>
      <c r="O6" s="338"/>
    </row>
    <row r="7" spans="1:16" ht="8.1" customHeight="1">
      <c r="A7" s="38"/>
      <c r="B7" s="328"/>
      <c r="C7" s="319"/>
      <c r="D7" s="319"/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38"/>
    </row>
    <row r="8" spans="1:16" ht="32.25" customHeight="1" thickBot="1">
      <c r="A8" s="327"/>
      <c r="B8" s="329"/>
      <c r="O8" s="338"/>
    </row>
    <row r="9" spans="1:16" ht="17.25" customHeight="1" thickBot="1">
      <c r="A9" s="322"/>
      <c r="B9" s="329"/>
      <c r="C9" s="320"/>
      <c r="D9" s="500" t="s">
        <v>98</v>
      </c>
      <c r="E9" s="498"/>
      <c r="F9" s="498"/>
      <c r="G9" s="499"/>
      <c r="I9" s="320"/>
      <c r="J9" s="505" t="s">
        <v>98</v>
      </c>
      <c r="K9" s="502"/>
      <c r="L9" s="503"/>
      <c r="M9" s="504"/>
      <c r="O9" s="338"/>
    </row>
    <row r="10" spans="1:16" ht="37.5" customHeight="1" thickBot="1">
      <c r="A10" s="322"/>
      <c r="B10" s="331"/>
      <c r="C10" s="70" t="s">
        <v>99</v>
      </c>
      <c r="D10" s="501"/>
      <c r="E10" s="71" t="s">
        <v>100</v>
      </c>
      <c r="F10" s="71" t="s">
        <v>101</v>
      </c>
      <c r="G10" s="72" t="s">
        <v>102</v>
      </c>
      <c r="I10" s="74" t="s">
        <v>99</v>
      </c>
      <c r="J10" s="506"/>
      <c r="K10" s="75" t="s">
        <v>100</v>
      </c>
      <c r="L10" s="75" t="s">
        <v>101</v>
      </c>
      <c r="M10" s="76" t="s">
        <v>102</v>
      </c>
      <c r="O10" s="338"/>
    </row>
    <row r="11" spans="1:16" ht="18.75">
      <c r="A11" s="324"/>
      <c r="B11" s="329"/>
      <c r="C11" s="73"/>
      <c r="D11" s="449"/>
      <c r="E11" s="449"/>
      <c r="F11" s="449"/>
      <c r="G11" s="450"/>
      <c r="I11" s="455"/>
      <c r="J11" s="449"/>
      <c r="K11" s="449"/>
      <c r="L11" s="449"/>
      <c r="M11" s="450"/>
      <c r="O11" s="338"/>
    </row>
    <row r="12" spans="1:16" ht="18.75">
      <c r="A12" s="38"/>
      <c r="B12" s="329"/>
      <c r="C12" s="40"/>
      <c r="D12" s="451"/>
      <c r="E12" s="451"/>
      <c r="F12" s="451"/>
      <c r="G12" s="452"/>
      <c r="I12" s="456"/>
      <c r="J12" s="451"/>
      <c r="K12" s="451"/>
      <c r="L12" s="451"/>
      <c r="M12" s="452"/>
      <c r="N12" s="339"/>
      <c r="O12" s="330"/>
    </row>
    <row r="13" spans="1:16" ht="18.75">
      <c r="A13" s="38"/>
      <c r="B13" s="329"/>
      <c r="C13" s="40"/>
      <c r="D13" s="451"/>
      <c r="E13" s="451"/>
      <c r="F13" s="451"/>
      <c r="G13" s="452"/>
      <c r="I13" s="456"/>
      <c r="J13" s="451"/>
      <c r="K13" s="451"/>
      <c r="L13" s="451"/>
      <c r="M13" s="452"/>
      <c r="N13" s="339"/>
      <c r="O13" s="330"/>
    </row>
    <row r="14" spans="1:16" ht="18.75">
      <c r="A14" s="325"/>
      <c r="B14" s="329"/>
      <c r="C14" s="40"/>
      <c r="D14" s="451"/>
      <c r="E14" s="451"/>
      <c r="F14" s="451"/>
      <c r="G14" s="452"/>
      <c r="I14" s="456"/>
      <c r="J14" s="451"/>
      <c r="K14" s="451"/>
      <c r="L14" s="451"/>
      <c r="M14" s="452"/>
      <c r="N14" s="339"/>
      <c r="O14" s="330"/>
    </row>
    <row r="15" spans="1:16" ht="18.75">
      <c r="A15" s="38"/>
      <c r="B15" s="329"/>
      <c r="C15" s="65"/>
      <c r="D15" s="451"/>
      <c r="E15" s="451"/>
      <c r="F15" s="451"/>
      <c r="G15" s="452"/>
      <c r="I15" s="456"/>
      <c r="J15" s="451"/>
      <c r="K15" s="451"/>
      <c r="L15" s="451"/>
      <c r="M15" s="452"/>
      <c r="N15" s="339"/>
      <c r="O15" s="330"/>
    </row>
    <row r="16" spans="1:16" ht="18.75">
      <c r="A16" s="38"/>
      <c r="B16" s="329"/>
      <c r="C16" s="65"/>
      <c r="D16" s="451"/>
      <c r="E16" s="451"/>
      <c r="F16" s="451"/>
      <c r="G16" s="452"/>
      <c r="I16" s="456"/>
      <c r="J16" s="451"/>
      <c r="K16" s="451"/>
      <c r="L16" s="451"/>
      <c r="M16" s="452"/>
      <c r="N16" s="339"/>
      <c r="O16" s="330"/>
    </row>
    <row r="17" spans="1:15" ht="18.75">
      <c r="A17" s="38"/>
      <c r="B17" s="329"/>
      <c r="C17" s="65"/>
      <c r="D17" s="451"/>
      <c r="E17" s="451"/>
      <c r="F17" s="451"/>
      <c r="G17" s="452"/>
      <c r="I17" s="456"/>
      <c r="J17" s="451"/>
      <c r="K17" s="451"/>
      <c r="L17" s="451"/>
      <c r="M17" s="452"/>
      <c r="N17" s="339"/>
      <c r="O17" s="330"/>
    </row>
    <row r="18" spans="1:15" ht="18.75">
      <c r="A18" s="38"/>
      <c r="B18" s="329"/>
      <c r="C18" s="65"/>
      <c r="D18" s="451"/>
      <c r="E18" s="451"/>
      <c r="F18" s="451"/>
      <c r="G18" s="452"/>
      <c r="I18" s="456"/>
      <c r="J18" s="451"/>
      <c r="K18" s="451"/>
      <c r="L18" s="451"/>
      <c r="M18" s="452"/>
      <c r="N18" s="339"/>
      <c r="O18" s="330"/>
    </row>
    <row r="19" spans="1:15" ht="18.75">
      <c r="A19" s="38"/>
      <c r="B19" s="329"/>
      <c r="C19" s="40"/>
      <c r="D19" s="451"/>
      <c r="E19" s="451"/>
      <c r="F19" s="451"/>
      <c r="G19" s="452"/>
      <c r="I19" s="456"/>
      <c r="J19" s="451"/>
      <c r="K19" s="451"/>
      <c r="L19" s="451"/>
      <c r="M19" s="452"/>
      <c r="N19" s="339"/>
      <c r="O19" s="330"/>
    </row>
    <row r="20" spans="1:15" ht="18.75">
      <c r="A20" s="38"/>
      <c r="B20" s="329"/>
      <c r="C20" s="40"/>
      <c r="D20" s="451"/>
      <c r="E20" s="451"/>
      <c r="F20" s="451"/>
      <c r="G20" s="452"/>
      <c r="I20" s="456"/>
      <c r="J20" s="451"/>
      <c r="K20" s="451"/>
      <c r="L20" s="451"/>
      <c r="M20" s="452"/>
      <c r="N20" s="339"/>
      <c r="O20" s="330"/>
    </row>
    <row r="21" spans="1:15" ht="18.75">
      <c r="A21" s="38"/>
      <c r="B21" s="329"/>
      <c r="C21" s="39"/>
      <c r="D21" s="451"/>
      <c r="E21" s="451"/>
      <c r="F21" s="451"/>
      <c r="G21" s="452"/>
      <c r="I21" s="456"/>
      <c r="J21" s="451"/>
      <c r="K21" s="451"/>
      <c r="L21" s="451"/>
      <c r="M21" s="452"/>
      <c r="N21" s="339"/>
      <c r="O21" s="330"/>
    </row>
    <row r="22" spans="1:15" ht="18.75">
      <c r="A22" s="38"/>
      <c r="B22" s="329"/>
      <c r="C22" s="39"/>
      <c r="D22" s="451"/>
      <c r="E22" s="451"/>
      <c r="F22" s="451"/>
      <c r="G22" s="452"/>
      <c r="I22" s="456"/>
      <c r="J22" s="451"/>
      <c r="K22" s="451"/>
      <c r="L22" s="451"/>
      <c r="M22" s="452"/>
      <c r="N22" s="339"/>
      <c r="O22" s="330"/>
    </row>
    <row r="23" spans="1:15" ht="18.75">
      <c r="A23" s="38"/>
      <c r="B23" s="329"/>
      <c r="C23" s="40"/>
      <c r="D23" s="451"/>
      <c r="E23" s="451"/>
      <c r="F23" s="451"/>
      <c r="G23" s="452"/>
      <c r="I23" s="456"/>
      <c r="J23" s="451"/>
      <c r="K23" s="451"/>
      <c r="L23" s="451"/>
      <c r="M23" s="452"/>
      <c r="N23" s="339"/>
      <c r="O23" s="330"/>
    </row>
    <row r="24" spans="1:15" ht="18.75">
      <c r="A24" s="38"/>
      <c r="B24" s="329"/>
      <c r="C24" s="39"/>
      <c r="D24" s="451"/>
      <c r="E24" s="451"/>
      <c r="F24" s="451"/>
      <c r="G24" s="452"/>
      <c r="I24" s="456"/>
      <c r="J24" s="451"/>
      <c r="K24" s="451"/>
      <c r="L24" s="451"/>
      <c r="M24" s="452"/>
      <c r="N24" s="339"/>
      <c r="O24" s="330"/>
    </row>
    <row r="25" spans="1:15" ht="18.75">
      <c r="A25" s="38"/>
      <c r="B25" s="329"/>
      <c r="C25" s="39"/>
      <c r="D25" s="451"/>
      <c r="E25" s="451"/>
      <c r="F25" s="451"/>
      <c r="G25" s="452"/>
      <c r="I25" s="456"/>
      <c r="J25" s="451"/>
      <c r="K25" s="451"/>
      <c r="L25" s="451"/>
      <c r="M25" s="452"/>
      <c r="N25" s="339"/>
      <c r="O25" s="330"/>
    </row>
    <row r="26" spans="1:15" ht="19.5" thickBot="1">
      <c r="A26" s="38"/>
      <c r="B26" s="329"/>
      <c r="C26" s="39"/>
      <c r="D26" s="451"/>
      <c r="E26" s="451"/>
      <c r="F26" s="451"/>
      <c r="G26" s="452"/>
      <c r="I26" s="457"/>
      <c r="J26" s="453"/>
      <c r="K26" s="453"/>
      <c r="L26" s="453"/>
      <c r="M26" s="454"/>
      <c r="N26" s="339"/>
      <c r="O26" s="330"/>
    </row>
    <row r="27" spans="1:15" ht="23.25" customHeight="1">
      <c r="A27" s="38"/>
      <c r="B27" s="329"/>
      <c r="C27" s="39"/>
      <c r="D27" s="451"/>
      <c r="E27" s="451"/>
      <c r="F27" s="451"/>
      <c r="G27" s="452"/>
      <c r="N27" s="339"/>
      <c r="O27" s="330"/>
    </row>
    <row r="28" spans="1:15" ht="23.25" customHeight="1" thickBot="1">
      <c r="A28" s="38"/>
      <c r="B28" s="329"/>
      <c r="C28" s="401"/>
      <c r="D28" s="453"/>
      <c r="E28" s="453"/>
      <c r="F28" s="453"/>
      <c r="G28" s="454"/>
      <c r="N28" s="339"/>
      <c r="O28" s="330"/>
    </row>
    <row r="29" spans="1:15" ht="28.5" customHeight="1" thickBot="1">
      <c r="B29" s="329"/>
      <c r="N29" s="339"/>
      <c r="O29" s="330"/>
    </row>
    <row r="30" spans="1:15" ht="42" customHeight="1" thickBot="1">
      <c r="A30" s="38"/>
      <c r="B30" s="331"/>
      <c r="C30" s="515" t="s">
        <v>103</v>
      </c>
      <c r="D30" s="516"/>
      <c r="E30" s="516"/>
      <c r="F30" s="516"/>
      <c r="G30" s="517"/>
      <c r="N30" s="339"/>
      <c r="O30" s="330"/>
    </row>
    <row r="31" spans="1:15" ht="49.5" customHeight="1">
      <c r="A31" s="38"/>
      <c r="B31" s="329"/>
      <c r="C31" s="507" t="s">
        <v>100</v>
      </c>
      <c r="D31" s="508"/>
      <c r="E31" s="509" t="s">
        <v>104</v>
      </c>
      <c r="F31" s="509"/>
      <c r="G31" s="510"/>
      <c r="N31" s="339"/>
      <c r="O31" s="330"/>
    </row>
    <row r="32" spans="1:15" ht="60" customHeight="1">
      <c r="A32" s="38"/>
      <c r="B32" s="329"/>
      <c r="C32" s="511" t="s">
        <v>101</v>
      </c>
      <c r="D32" s="512"/>
      <c r="E32" s="513" t="s">
        <v>105</v>
      </c>
      <c r="F32" s="513"/>
      <c r="G32" s="514"/>
      <c r="N32" s="339"/>
      <c r="O32" s="330"/>
    </row>
    <row r="33" spans="1:15" ht="66.75" customHeight="1" thickBot="1">
      <c r="A33" s="38"/>
      <c r="B33" s="331"/>
      <c r="C33" s="492" t="s">
        <v>102</v>
      </c>
      <c r="D33" s="493"/>
      <c r="E33" s="494" t="s">
        <v>106</v>
      </c>
      <c r="F33" s="494"/>
      <c r="G33" s="495"/>
      <c r="H33" s="335"/>
      <c r="J33" s="337"/>
      <c r="K33" s="337"/>
      <c r="L33" s="337"/>
      <c r="M33" s="337"/>
      <c r="N33" s="337"/>
      <c r="O33" s="338"/>
    </row>
    <row r="34" spans="1:15" ht="22.5" customHeight="1" thickBot="1">
      <c r="A34" s="334"/>
      <c r="B34" s="340"/>
      <c r="C34" s="332"/>
      <c r="D34" s="332"/>
      <c r="E34" s="332"/>
      <c r="F34" s="332"/>
      <c r="G34" s="332"/>
      <c r="H34" s="332"/>
      <c r="I34" s="336"/>
      <c r="J34" s="332"/>
      <c r="K34" s="332"/>
      <c r="L34" s="332"/>
      <c r="M34" s="332"/>
      <c r="N34" s="332"/>
      <c r="O34" s="333"/>
    </row>
    <row r="35" spans="1:15" ht="12" customHeight="1">
      <c r="A35" s="321"/>
    </row>
    <row r="36" spans="1:15" ht="8.25" customHeight="1"/>
    <row r="38" spans="1:15" ht="3" customHeight="1">
      <c r="C38" s="326"/>
      <c r="D38" s="326"/>
      <c r="E38" s="326"/>
      <c r="F38" s="326"/>
      <c r="G38" s="326"/>
      <c r="H38" s="326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7" priority="2">
      <formula>D11&lt;100%</formula>
    </cfRule>
  </conditionalFormatting>
  <conditionalFormatting sqref="I11:M26">
    <cfRule type="expression" dxfId="6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topLeftCell="A10" zoomScale="55" zoomScaleNormal="55" workbookViewId="0">
      <selection activeCell="J10" sqref="J10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06"/>
      <c r="B1" s="523"/>
      <c r="C1" s="524"/>
      <c r="D1" s="525"/>
      <c r="E1" s="87"/>
      <c r="F1" s="90"/>
      <c r="G1" s="88"/>
      <c r="I1" s="105"/>
      <c r="J1" s="104"/>
      <c r="K1" s="115"/>
      <c r="L1" s="115"/>
      <c r="M1" s="95"/>
      <c r="N1" s="89"/>
      <c r="O1" s="89"/>
      <c r="P1" s="98"/>
    </row>
    <row r="2" spans="1:17" ht="36">
      <c r="B2" s="131" t="s">
        <v>121</v>
      </c>
      <c r="C2" s="131"/>
      <c r="D2" s="90"/>
      <c r="E2" s="96"/>
      <c r="G2" s="98"/>
      <c r="H2" s="90"/>
      <c r="I2" s="532" t="s">
        <v>124</v>
      </c>
      <c r="J2" s="533"/>
      <c r="K2" s="101"/>
      <c r="L2" s="90"/>
      <c r="M2" s="98"/>
      <c r="N2" s="90"/>
      <c r="O2" s="87"/>
      <c r="P2" s="90"/>
      <c r="Q2" s="87"/>
    </row>
    <row r="3" spans="1:17" s="67" customFormat="1" ht="22.5" customHeight="1">
      <c r="A3" s="93"/>
      <c r="B3" s="67" t="s">
        <v>122</v>
      </c>
      <c r="D3" s="99"/>
      <c r="E3" s="92"/>
      <c r="F3" s="94"/>
      <c r="G3" s="99"/>
      <c r="H3" s="102"/>
      <c r="I3" s="103"/>
      <c r="J3" s="103"/>
      <c r="K3" s="94"/>
      <c r="L3" s="94"/>
      <c r="M3" s="94"/>
      <c r="N3" s="92"/>
      <c r="O3" s="92"/>
      <c r="P3" s="94"/>
      <c r="Q3" s="130"/>
    </row>
    <row r="4" spans="1:17" s="68" customFormat="1" ht="25.5" customHeight="1" thickBot="1">
      <c r="B4" s="148" t="s">
        <v>123</v>
      </c>
      <c r="C4" s="391"/>
      <c r="D4" s="230"/>
      <c r="F4" s="229"/>
      <c r="G4" s="119"/>
      <c r="H4" s="119"/>
      <c r="I4" s="229"/>
      <c r="J4" s="229"/>
      <c r="K4" s="229"/>
      <c r="L4" s="101"/>
      <c r="M4" s="119"/>
      <c r="N4" s="120"/>
      <c r="O4" s="100"/>
      <c r="P4" s="101"/>
      <c r="Q4" s="129"/>
    </row>
    <row r="5" spans="1:17" ht="78" customHeight="1" thickBot="1">
      <c r="A5" s="97"/>
      <c r="B5" s="149" t="s">
        <v>107</v>
      </c>
      <c r="C5" s="526" t="s">
        <v>108</v>
      </c>
      <c r="D5" s="527"/>
      <c r="E5" s="231" t="s">
        <v>110</v>
      </c>
      <c r="F5" s="231" t="s">
        <v>109</v>
      </c>
      <c r="G5" s="231" t="s">
        <v>111</v>
      </c>
      <c r="H5" s="232" t="s">
        <v>187</v>
      </c>
      <c r="I5" s="232" t="s">
        <v>112</v>
      </c>
      <c r="J5" s="233" t="s">
        <v>113</v>
      </c>
      <c r="K5" s="234"/>
      <c r="L5" s="90"/>
      <c r="M5" s="90"/>
      <c r="N5" s="90"/>
      <c r="O5" s="89"/>
      <c r="P5" s="115"/>
    </row>
    <row r="6" spans="1:17" ht="51" customHeight="1">
      <c r="B6" s="258" t="s">
        <v>114</v>
      </c>
      <c r="C6" s="528"/>
      <c r="D6" s="529"/>
      <c r="E6" s="261"/>
      <c r="F6" s="261"/>
      <c r="G6" s="261"/>
      <c r="H6" s="261"/>
      <c r="I6" s="261"/>
      <c r="J6" s="262"/>
      <c r="K6" s="127"/>
      <c r="L6" s="90"/>
      <c r="M6" s="90"/>
      <c r="N6" s="98"/>
      <c r="O6" s="87"/>
      <c r="P6" s="115"/>
      <c r="Q6" s="87"/>
    </row>
    <row r="7" spans="1:17" ht="45.75" customHeight="1">
      <c r="A7" s="107"/>
      <c r="B7" s="259" t="s">
        <v>115</v>
      </c>
      <c r="C7" s="530"/>
      <c r="D7" s="531"/>
      <c r="E7" s="263"/>
      <c r="F7" s="263"/>
      <c r="G7" s="263"/>
      <c r="H7" s="263"/>
      <c r="I7" s="263"/>
      <c r="J7" s="264"/>
      <c r="L7" s="90"/>
      <c r="M7" s="90"/>
      <c r="N7" s="90"/>
      <c r="O7" s="89"/>
      <c r="P7" s="98"/>
    </row>
    <row r="8" spans="1:17" ht="44.25" customHeight="1">
      <c r="A8" s="108"/>
      <c r="B8" s="259" t="s">
        <v>116</v>
      </c>
      <c r="C8" s="530"/>
      <c r="D8" s="531"/>
      <c r="E8" s="263"/>
      <c r="F8" s="263"/>
      <c r="G8" s="263"/>
      <c r="H8" s="263"/>
      <c r="I8" s="263"/>
      <c r="J8" s="264"/>
      <c r="K8" s="235"/>
      <c r="L8" s="90"/>
      <c r="M8" s="90"/>
      <c r="N8" s="90"/>
      <c r="P8" s="90"/>
      <c r="Q8" s="90"/>
    </row>
    <row r="9" spans="1:17" ht="39.75" customHeight="1">
      <c r="A9" s="108"/>
      <c r="B9" s="259" t="s">
        <v>117</v>
      </c>
      <c r="C9" s="530"/>
      <c r="D9" s="531"/>
      <c r="E9" s="263"/>
      <c r="F9" s="263"/>
      <c r="G9" s="263"/>
      <c r="H9" s="263"/>
      <c r="I9" s="263"/>
      <c r="J9" s="264"/>
      <c r="K9" s="170"/>
      <c r="L9" s="90"/>
      <c r="M9" s="90"/>
      <c r="N9" s="96"/>
      <c r="O9" s="87"/>
      <c r="P9" s="115"/>
      <c r="Q9" s="116"/>
    </row>
    <row r="10" spans="1:17" ht="55.5" customHeight="1">
      <c r="A10" s="110"/>
      <c r="B10" s="259" t="s">
        <v>118</v>
      </c>
      <c r="C10" s="530"/>
      <c r="D10" s="531"/>
      <c r="E10" s="263"/>
      <c r="F10" s="263"/>
      <c r="G10" s="263"/>
      <c r="H10" s="263"/>
      <c r="I10" s="263"/>
      <c r="J10" s="264"/>
      <c r="K10" s="127"/>
      <c r="L10" s="90"/>
      <c r="M10" s="90"/>
      <c r="N10" s="98"/>
      <c r="O10" s="89"/>
      <c r="P10" s="90"/>
    </row>
    <row r="11" spans="1:17" ht="44.25" customHeight="1">
      <c r="A11" s="109"/>
      <c r="B11" s="259" t="s">
        <v>119</v>
      </c>
      <c r="C11" s="530"/>
      <c r="D11" s="531"/>
      <c r="E11" s="263"/>
      <c r="F11" s="263"/>
      <c r="G11" s="263"/>
      <c r="H11" s="263"/>
      <c r="I11" s="263"/>
      <c r="J11" s="264"/>
      <c r="L11" s="90"/>
      <c r="M11" s="98"/>
      <c r="N11" s="90"/>
      <c r="O11" s="97"/>
      <c r="P11" s="90"/>
      <c r="Q11" s="111"/>
    </row>
    <row r="12" spans="1:17" ht="66.75" customHeight="1" thickBot="1">
      <c r="A12" s="108"/>
      <c r="B12" s="260" t="s">
        <v>120</v>
      </c>
      <c r="C12" s="518"/>
      <c r="D12" s="519"/>
      <c r="E12" s="265"/>
      <c r="F12" s="265"/>
      <c r="G12" s="265"/>
      <c r="H12" s="265"/>
      <c r="I12" s="265"/>
      <c r="J12" s="266"/>
      <c r="K12" s="235"/>
      <c r="L12" s="90"/>
      <c r="M12" s="90"/>
      <c r="N12" s="115"/>
      <c r="O12" s="90"/>
      <c r="P12" s="90"/>
      <c r="Q12" s="111"/>
    </row>
    <row r="13" spans="1:17" ht="15.75" thickBot="1">
      <c r="A13" s="87"/>
      <c r="B13" s="147"/>
      <c r="C13" s="138"/>
      <c r="D13" s="118"/>
      <c r="F13" s="138"/>
      <c r="H13" s="139"/>
      <c r="I13" s="139"/>
      <c r="J13" s="139"/>
      <c r="K13" s="111"/>
      <c r="L13" s="90"/>
      <c r="M13" s="117"/>
      <c r="N13" s="90"/>
      <c r="O13" s="90"/>
      <c r="P13" s="87"/>
    </row>
    <row r="14" spans="1:17" ht="30.75" customHeight="1">
      <c r="A14" s="112"/>
      <c r="B14" s="372" t="s">
        <v>127</v>
      </c>
      <c r="C14" s="392"/>
      <c r="D14" s="371" t="s">
        <v>128</v>
      </c>
      <c r="E14" s="140"/>
      <c r="F14" s="141"/>
      <c r="G14" s="142"/>
      <c r="H14" s="143"/>
      <c r="I14" s="144"/>
      <c r="J14" s="145"/>
      <c r="K14" s="396"/>
      <c r="L14" s="90"/>
      <c r="M14" s="90"/>
      <c r="N14" s="117"/>
      <c r="O14" s="90"/>
      <c r="P14" s="87"/>
    </row>
    <row r="15" spans="1:17" ht="8.25" customHeight="1" thickBot="1">
      <c r="A15" s="95"/>
      <c r="B15" s="373"/>
      <c r="C15" s="393"/>
      <c r="D15" s="376"/>
      <c r="E15" s="377"/>
      <c r="F15" s="377"/>
      <c r="G15" s="378"/>
      <c r="H15" s="377"/>
      <c r="I15" s="378"/>
      <c r="J15" s="379"/>
      <c r="L15" s="90"/>
      <c r="M15" s="115"/>
      <c r="N15" s="90"/>
      <c r="O15" s="87"/>
      <c r="P15" s="87"/>
    </row>
    <row r="16" spans="1:17" ht="74.25" customHeight="1" thickBot="1">
      <c r="A16" s="112"/>
      <c r="B16" s="374" t="s">
        <v>231</v>
      </c>
      <c r="C16" s="394"/>
      <c r="D16" s="380" t="s">
        <v>130</v>
      </c>
      <c r="E16" s="520"/>
      <c r="F16" s="521"/>
      <c r="G16" s="521"/>
      <c r="H16" s="521"/>
      <c r="I16" s="521"/>
      <c r="J16" s="522"/>
      <c r="K16" s="397"/>
      <c r="L16" s="126"/>
      <c r="M16" s="124"/>
      <c r="N16" s="123"/>
      <c r="P16" s="87"/>
    </row>
    <row r="17" spans="1:16" ht="108.75" customHeight="1" thickBot="1">
      <c r="A17" s="95"/>
      <c r="B17" s="375" t="s">
        <v>125</v>
      </c>
      <c r="C17" s="395"/>
      <c r="D17" s="380" t="s">
        <v>129</v>
      </c>
      <c r="E17" s="520"/>
      <c r="F17" s="521"/>
      <c r="G17" s="521"/>
      <c r="H17" s="521"/>
      <c r="I17" s="521"/>
      <c r="J17" s="522"/>
      <c r="K17" s="154"/>
      <c r="L17" s="137"/>
      <c r="M17" s="126"/>
      <c r="N17" s="126"/>
      <c r="O17" s="90"/>
      <c r="P17" s="87"/>
    </row>
    <row r="18" spans="1:16" ht="87" customHeight="1" thickBot="1">
      <c r="A18" s="113"/>
      <c r="B18" s="375" t="s">
        <v>126</v>
      </c>
      <c r="C18" s="395"/>
      <c r="D18" s="381" t="s">
        <v>131</v>
      </c>
      <c r="E18" s="520"/>
      <c r="F18" s="521"/>
      <c r="G18" s="521"/>
      <c r="H18" s="521"/>
      <c r="I18" s="521"/>
      <c r="J18" s="522"/>
      <c r="L18" s="126"/>
      <c r="M18" s="122"/>
      <c r="N18" s="121"/>
      <c r="O18" s="66"/>
      <c r="P18" s="95"/>
    </row>
    <row r="19" spans="1:16" ht="74.25" customHeight="1" thickBot="1">
      <c r="A19" s="90"/>
      <c r="B19" s="114"/>
      <c r="C19" s="95"/>
      <c r="D19" s="382" t="s">
        <v>132</v>
      </c>
      <c r="E19" s="520"/>
      <c r="F19" s="521"/>
      <c r="G19" s="521"/>
      <c r="H19" s="521"/>
      <c r="I19" s="521"/>
      <c r="J19" s="522"/>
      <c r="K19" s="154"/>
      <c r="L19" s="137"/>
      <c r="M19" s="122"/>
      <c r="N19" s="121"/>
      <c r="O19" s="123"/>
      <c r="P19" s="86"/>
    </row>
    <row r="20" spans="1:16" ht="108" customHeight="1" thickBot="1">
      <c r="A20" s="87"/>
      <c r="B20" s="98"/>
      <c r="D20" s="381" t="s">
        <v>133</v>
      </c>
      <c r="E20" s="520"/>
      <c r="F20" s="521"/>
      <c r="G20" s="521"/>
      <c r="H20" s="521"/>
      <c r="I20" s="521"/>
      <c r="J20" s="522"/>
      <c r="K20" s="398"/>
      <c r="L20" s="383"/>
      <c r="M20" s="125"/>
      <c r="N20" s="123"/>
      <c r="O20" s="121"/>
    </row>
    <row r="21" spans="1:16" s="275" customFormat="1" ht="81.75" customHeight="1" thickBot="1">
      <c r="B21" s="276"/>
      <c r="C21" s="277"/>
      <c r="D21" s="384" t="s">
        <v>134</v>
      </c>
      <c r="E21" s="520"/>
      <c r="F21" s="521"/>
      <c r="G21" s="521"/>
      <c r="H21" s="521"/>
      <c r="I21" s="521"/>
      <c r="J21" s="522"/>
      <c r="K21" s="399"/>
      <c r="L21" s="66"/>
      <c r="M21" s="123"/>
      <c r="N21" s="123"/>
      <c r="O21" s="128"/>
    </row>
    <row r="22" spans="1:16" ht="98.25" customHeight="1" thickBot="1">
      <c r="A22" s="91"/>
      <c r="B22" s="117"/>
      <c r="C22" s="95"/>
      <c r="D22" s="400" t="s">
        <v>135</v>
      </c>
      <c r="E22" s="520"/>
      <c r="F22" s="521"/>
      <c r="G22" s="521"/>
      <c r="H22" s="521"/>
      <c r="I22" s="521"/>
      <c r="J22" s="522"/>
      <c r="L22" s="123"/>
      <c r="M22" s="126"/>
      <c r="N22" s="126"/>
      <c r="O22" s="123"/>
      <c r="P22" s="66"/>
    </row>
    <row r="23" spans="1:16" ht="23.25" customHeight="1">
      <c r="A23" s="91"/>
      <c r="B23" s="111"/>
      <c r="C23" s="111"/>
      <c r="D23" s="90"/>
      <c r="F23" s="115"/>
      <c r="G23" s="89"/>
      <c r="H23" s="89"/>
      <c r="I23" s="115"/>
      <c r="K23" s="90"/>
      <c r="L23" s="90"/>
      <c r="M23" s="98"/>
      <c r="N23" s="115"/>
      <c r="O23" s="115"/>
    </row>
    <row r="24" spans="1:16" ht="22.5" customHeight="1">
      <c r="A24" s="91"/>
      <c r="B24" s="111"/>
      <c r="C24" s="111"/>
      <c r="D24" s="90"/>
      <c r="E24" s="86"/>
      <c r="F24" s="90"/>
      <c r="G24" s="97"/>
      <c r="H24" s="90"/>
      <c r="I24" s="90"/>
      <c r="J24" s="87"/>
      <c r="K24" s="87"/>
      <c r="L24" s="87"/>
      <c r="M24" s="90"/>
      <c r="N24" s="90"/>
      <c r="O24" s="117"/>
    </row>
    <row r="25" spans="1:16" ht="22.5" customHeight="1">
      <c r="A25" s="91"/>
      <c r="B25" s="90"/>
      <c r="C25" s="98"/>
      <c r="D25" s="98"/>
      <c r="E25" s="90"/>
      <c r="F25" s="90"/>
      <c r="G25" s="91"/>
      <c r="H25" s="90"/>
      <c r="I25" s="90"/>
      <c r="J25" s="89"/>
      <c r="K25" s="115"/>
      <c r="L25" s="106"/>
      <c r="M25" s="90"/>
      <c r="N25" s="115"/>
      <c r="O25" s="117"/>
    </row>
    <row r="26" spans="1:16">
      <c r="A26" s="88"/>
      <c r="B26" s="98"/>
      <c r="C26" s="98"/>
      <c r="D26" s="90"/>
      <c r="E26" s="111"/>
      <c r="F26" s="90"/>
      <c r="G26" s="98"/>
      <c r="H26" s="90"/>
      <c r="I26" s="116"/>
      <c r="J26" s="87"/>
      <c r="K26" s="87"/>
      <c r="L26" s="87"/>
      <c r="M26" s="90"/>
      <c r="N26" s="115"/>
      <c r="O26" s="115"/>
    </row>
    <row r="27" spans="1:16" ht="15.75" thickBot="1">
      <c r="A27" s="91"/>
      <c r="B27" s="90"/>
      <c r="C27" s="115"/>
      <c r="D27" s="115"/>
      <c r="E27" s="90"/>
      <c r="F27" s="117"/>
      <c r="G27" s="98"/>
      <c r="H27" s="98"/>
      <c r="I27" s="98"/>
      <c r="J27" s="98"/>
      <c r="K27" s="91"/>
      <c r="M27" s="98"/>
      <c r="N27" s="98"/>
      <c r="O27" s="117"/>
    </row>
    <row r="28" spans="1:16">
      <c r="A28" s="91"/>
      <c r="B28" s="115"/>
      <c r="C28" s="115"/>
      <c r="D28" s="115"/>
      <c r="E28" s="90"/>
      <c r="F28" s="98"/>
      <c r="G28" s="90"/>
      <c r="H28" s="98"/>
      <c r="I28" s="87"/>
      <c r="J28" s="132"/>
      <c r="K28" s="133"/>
      <c r="L28" s="86"/>
      <c r="M28" s="111"/>
      <c r="N28" s="98"/>
      <c r="O28" s="98"/>
    </row>
    <row r="29" spans="1:16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88"/>
      <c r="M29" s="90"/>
      <c r="N29" s="88"/>
      <c r="O29" s="90"/>
    </row>
    <row r="30" spans="1:16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7"/>
      <c r="M30" s="87"/>
      <c r="N30" s="88"/>
      <c r="O30" s="116"/>
    </row>
    <row r="31" spans="1:16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1"/>
      <c r="M31" s="90"/>
      <c r="N31" s="116"/>
    </row>
    <row r="32" spans="1:16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88"/>
      <c r="M32" s="115"/>
      <c r="N32" s="95"/>
    </row>
    <row r="33" spans="1:14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116"/>
      <c r="M33" s="115"/>
    </row>
    <row r="34" spans="1:14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106"/>
      <c r="M34" s="90"/>
    </row>
    <row r="35" spans="1:14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1"/>
      <c r="M35" s="89"/>
      <c r="N35" s="106"/>
    </row>
    <row r="36" spans="1:14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86"/>
      <c r="M36" s="111"/>
      <c r="N36" s="86"/>
    </row>
    <row r="37" spans="1:14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</row>
    <row r="38" spans="1:14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</row>
    <row r="39" spans="1:14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</row>
    <row r="40" spans="1:14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</row>
    <row r="41" spans="1:14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</row>
    <row r="42" spans="1:14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</row>
    <row r="43" spans="1:14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</row>
    <row r="44" spans="1:1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</row>
    <row r="45" spans="1:14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</row>
    <row r="46" spans="1:14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</row>
    <row r="47" spans="1:14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</row>
    <row r="48" spans="1:14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</row>
    <row r="49" spans="1:1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</row>
    <row r="50" spans="1:1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</row>
  </sheetData>
  <mergeCells count="17">
    <mergeCell ref="E22:J22"/>
    <mergeCell ref="E21:J21"/>
    <mergeCell ref="E16:J16"/>
    <mergeCell ref="E17:J17"/>
    <mergeCell ref="I2:J2"/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B1" zoomScale="70" zoomScaleNormal="70" workbookViewId="0">
      <selection activeCell="B1" sqref="B1:Y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98"/>
      <c r="B1" s="543" t="s">
        <v>0</v>
      </c>
      <c r="C1" s="544"/>
      <c r="D1" s="544"/>
      <c r="E1" s="544"/>
      <c r="F1" s="544"/>
      <c r="G1" s="544"/>
      <c r="H1" s="544"/>
      <c r="I1" s="544"/>
      <c r="J1" s="544"/>
      <c r="K1" s="544"/>
      <c r="L1" s="544"/>
      <c r="M1" s="544"/>
      <c r="N1" s="544"/>
      <c r="O1" s="544"/>
      <c r="P1" s="544"/>
      <c r="Q1" s="544"/>
      <c r="R1" s="544"/>
      <c r="S1" s="544"/>
      <c r="T1" s="544"/>
      <c r="U1" s="544"/>
      <c r="V1" s="544"/>
      <c r="W1" s="544"/>
      <c r="X1" s="544"/>
      <c r="Y1" s="545"/>
      <c r="Z1" s="193"/>
    </row>
    <row r="2" spans="1:28" ht="9" customHeight="1" thickBot="1">
      <c r="A2" s="196"/>
      <c r="B2" s="96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95"/>
      <c r="R2" s="117"/>
      <c r="S2" s="117"/>
      <c r="T2" s="117"/>
      <c r="U2" s="95"/>
      <c r="V2" s="117"/>
      <c r="W2" s="117"/>
      <c r="X2" s="117"/>
      <c r="Y2" s="95"/>
      <c r="Z2" s="90"/>
      <c r="AA2" s="111"/>
    </row>
    <row r="3" spans="1:28" ht="24.75" customHeight="1" thickBot="1">
      <c r="A3" s="199" t="s">
        <v>181</v>
      </c>
      <c r="B3" s="546" t="s">
        <v>224</v>
      </c>
      <c r="C3" s="547"/>
      <c r="D3" s="547"/>
      <c r="E3" s="547"/>
      <c r="F3" s="547"/>
      <c r="G3" s="547"/>
      <c r="H3" s="547"/>
      <c r="I3" s="547"/>
      <c r="J3" s="547"/>
      <c r="K3" s="547"/>
      <c r="L3" s="547"/>
      <c r="M3" s="547"/>
      <c r="N3" s="547"/>
      <c r="O3" s="547"/>
      <c r="P3" s="547"/>
      <c r="Q3" s="547"/>
      <c r="R3" s="547"/>
      <c r="S3" s="547"/>
      <c r="T3" s="547"/>
      <c r="U3" s="547"/>
      <c r="V3" s="547"/>
      <c r="W3" s="547"/>
      <c r="X3" s="547"/>
      <c r="Y3" s="548"/>
      <c r="Z3" s="194"/>
      <c r="AA3" s="111"/>
    </row>
    <row r="4" spans="1:28" ht="23.25" customHeight="1" thickBot="1">
      <c r="A4" s="200" t="s">
        <v>182</v>
      </c>
      <c r="B4" s="549" t="s">
        <v>183</v>
      </c>
      <c r="C4" s="550"/>
      <c r="D4" s="550"/>
      <c r="E4" s="550"/>
      <c r="F4" s="550"/>
      <c r="G4" s="550"/>
      <c r="H4" s="550"/>
      <c r="I4" s="550"/>
      <c r="J4" s="550"/>
      <c r="K4" s="550"/>
      <c r="L4" s="550"/>
      <c r="M4" s="550"/>
      <c r="N4" s="550"/>
      <c r="O4" s="550"/>
      <c r="P4" s="550"/>
      <c r="Q4" s="550"/>
      <c r="R4" s="550"/>
      <c r="S4" s="550"/>
      <c r="T4" s="550"/>
      <c r="U4" s="550"/>
      <c r="V4" s="550"/>
      <c r="W4" s="550"/>
      <c r="X4" s="550"/>
      <c r="Y4" s="551"/>
      <c r="Z4" s="195"/>
      <c r="AA4" s="111"/>
    </row>
    <row r="5" spans="1:28" ht="15.75" thickBot="1">
      <c r="A5" s="197"/>
      <c r="B5" s="96"/>
      <c r="C5" s="117"/>
      <c r="D5" s="117"/>
      <c r="E5" s="117"/>
      <c r="F5" s="115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95"/>
      <c r="R5" s="95"/>
      <c r="S5" s="117"/>
      <c r="T5" s="117"/>
      <c r="U5" s="95"/>
      <c r="V5" s="117"/>
      <c r="W5" s="117"/>
      <c r="X5" s="117"/>
      <c r="Y5" s="95"/>
      <c r="Z5" s="90"/>
      <c r="AA5" s="111"/>
    </row>
    <row r="6" spans="1:28" ht="24.75" customHeight="1" thickBot="1">
      <c r="A6" s="201"/>
      <c r="B6" s="555" t="s">
        <v>138</v>
      </c>
      <c r="C6" s="556"/>
      <c r="D6" s="556"/>
      <c r="E6" s="557"/>
      <c r="F6" s="97"/>
      <c r="G6" s="160"/>
      <c r="H6" s="575" t="s">
        <v>143</v>
      </c>
      <c r="I6" s="576"/>
      <c r="J6" s="576"/>
      <c r="K6" s="577"/>
      <c r="L6" s="97"/>
      <c r="M6" s="160"/>
      <c r="N6" s="583" t="s">
        <v>162</v>
      </c>
      <c r="O6" s="584"/>
      <c r="P6" s="585"/>
      <c r="Q6" s="167"/>
      <c r="R6" s="169"/>
      <c r="S6" s="535" t="s">
        <v>144</v>
      </c>
      <c r="T6" s="536"/>
      <c r="U6" s="170"/>
      <c r="V6" s="174"/>
      <c r="W6" s="161"/>
      <c r="X6" s="535" t="s">
        <v>145</v>
      </c>
      <c r="Y6" s="536"/>
      <c r="Z6" s="88"/>
      <c r="AA6" s="111"/>
    </row>
    <row r="7" spans="1:28" ht="30.75" customHeight="1" thickBot="1">
      <c r="A7" s="201"/>
      <c r="B7" s="211" t="s">
        <v>139</v>
      </c>
      <c r="C7" s="203" t="s">
        <v>140</v>
      </c>
      <c r="D7" s="204" t="s">
        <v>141</v>
      </c>
      <c r="E7" s="205" t="s">
        <v>142</v>
      </c>
      <c r="F7" s="97"/>
      <c r="G7" s="127"/>
      <c r="H7" s="571">
        <f>I23</f>
        <v>0</v>
      </c>
      <c r="I7" s="582"/>
      <c r="J7" s="582"/>
      <c r="K7" s="572"/>
      <c r="L7" s="97"/>
      <c r="M7" s="127"/>
      <c r="N7" s="567">
        <f>L23</f>
        <v>0</v>
      </c>
      <c r="O7" s="568"/>
      <c r="P7" s="569"/>
      <c r="Q7" s="168"/>
      <c r="R7" s="170"/>
      <c r="S7" s="571">
        <f>O23</f>
        <v>0</v>
      </c>
      <c r="T7" s="572"/>
      <c r="U7" s="97"/>
      <c r="V7" s="173"/>
      <c r="W7" s="90"/>
      <c r="X7" s="571">
        <f>R23</f>
        <v>0</v>
      </c>
      <c r="Y7" s="572"/>
      <c r="Z7" s="159"/>
      <c r="AA7" s="111"/>
    </row>
    <row r="8" spans="1:28" ht="21.75" customHeight="1" thickBot="1">
      <c r="A8" s="201"/>
      <c r="B8" s="213"/>
      <c r="C8" s="207"/>
      <c r="D8" s="202"/>
      <c r="E8" s="222"/>
      <c r="F8" s="97"/>
      <c r="G8" s="162"/>
      <c r="H8" s="163"/>
      <c r="I8" s="164"/>
      <c r="J8" s="172"/>
      <c r="K8" s="165"/>
      <c r="L8" s="97"/>
      <c r="M8" s="162"/>
      <c r="N8" s="166"/>
      <c r="O8" s="166"/>
      <c r="P8" s="165"/>
      <c r="Q8" s="97"/>
      <c r="R8" s="171"/>
      <c r="S8" s="166"/>
      <c r="T8" s="165"/>
      <c r="U8" s="86"/>
      <c r="V8" s="162"/>
      <c r="W8" s="166"/>
      <c r="X8" s="166"/>
      <c r="Y8" s="165"/>
      <c r="Z8" s="88"/>
      <c r="AA8" s="111"/>
    </row>
    <row r="9" spans="1:28" ht="18" customHeight="1" thickBot="1">
      <c r="A9" s="206"/>
      <c r="B9" s="213"/>
      <c r="C9" s="208"/>
      <c r="D9" s="152"/>
      <c r="E9" s="223"/>
      <c r="F9" s="88"/>
      <c r="G9" s="117"/>
      <c r="H9" s="117"/>
      <c r="I9" s="117"/>
      <c r="J9" s="117"/>
      <c r="K9" s="117"/>
      <c r="L9" s="117"/>
      <c r="M9" s="117"/>
      <c r="N9" s="117"/>
      <c r="O9" s="180"/>
      <c r="P9" s="117"/>
      <c r="Q9" s="95"/>
      <c r="R9" s="95"/>
      <c r="S9" s="117"/>
      <c r="T9" s="117"/>
      <c r="U9" s="98"/>
      <c r="V9" s="117"/>
      <c r="W9" s="117"/>
      <c r="X9" s="117"/>
      <c r="Y9" s="95"/>
      <c r="Z9" s="90"/>
      <c r="AA9" s="111"/>
    </row>
    <row r="10" spans="1:28" ht="21" customHeight="1">
      <c r="A10" s="89"/>
      <c r="B10" s="213"/>
      <c r="C10" s="208"/>
      <c r="D10" s="152"/>
      <c r="E10" s="223"/>
      <c r="F10" s="97"/>
      <c r="G10" s="563" t="s">
        <v>146</v>
      </c>
      <c r="H10" s="564"/>
      <c r="I10" s="564"/>
      <c r="J10" s="564"/>
      <c r="K10" s="564"/>
      <c r="L10" s="564"/>
      <c r="M10" s="564"/>
      <c r="N10" s="564"/>
      <c r="O10" s="564"/>
      <c r="P10" s="564"/>
      <c r="Q10" s="564"/>
      <c r="R10" s="564"/>
      <c r="S10" s="564"/>
      <c r="T10" s="564"/>
      <c r="U10" s="564"/>
      <c r="V10" s="564"/>
      <c r="W10" s="564"/>
      <c r="X10" s="564"/>
      <c r="Y10" s="565"/>
      <c r="Z10" s="88"/>
      <c r="AA10" s="111"/>
    </row>
    <row r="11" spans="1:28" ht="19.5" customHeight="1">
      <c r="A11" s="87"/>
      <c r="B11" s="213"/>
      <c r="C11" s="212"/>
      <c r="D11" s="152"/>
      <c r="E11" s="223"/>
      <c r="F11" s="97"/>
      <c r="G11" s="566" t="s">
        <v>147</v>
      </c>
      <c r="H11" s="561"/>
      <c r="I11" s="561" t="s">
        <v>148</v>
      </c>
      <c r="J11" s="561"/>
      <c r="K11" s="561"/>
      <c r="L11" s="561" t="s">
        <v>149</v>
      </c>
      <c r="M11" s="561"/>
      <c r="N11" s="561"/>
      <c r="O11" s="561" t="s">
        <v>150</v>
      </c>
      <c r="P11" s="561"/>
      <c r="Q11" s="561"/>
      <c r="R11" s="561" t="s">
        <v>145</v>
      </c>
      <c r="S11" s="561"/>
      <c r="T11" s="561"/>
      <c r="U11" s="561"/>
      <c r="V11" s="561"/>
      <c r="W11" s="561"/>
      <c r="X11" s="561"/>
      <c r="Y11" s="562"/>
      <c r="Z11" s="88"/>
      <c r="AA11" s="111"/>
    </row>
    <row r="12" spans="1:28" ht="17.25" customHeight="1">
      <c r="A12" s="87"/>
      <c r="B12" s="214"/>
      <c r="C12" s="216"/>
      <c r="D12" s="208"/>
      <c r="E12" s="223"/>
      <c r="F12" s="97"/>
      <c r="G12" s="566"/>
      <c r="H12" s="561"/>
      <c r="I12" s="561"/>
      <c r="J12" s="561"/>
      <c r="K12" s="561"/>
      <c r="L12" s="561"/>
      <c r="M12" s="561"/>
      <c r="N12" s="561"/>
      <c r="O12" s="561"/>
      <c r="P12" s="561"/>
      <c r="Q12" s="561"/>
      <c r="R12" s="537" t="s">
        <v>151</v>
      </c>
      <c r="S12" s="537"/>
      <c r="T12" s="537" t="s">
        <v>152</v>
      </c>
      <c r="U12" s="537"/>
      <c r="V12" s="537" t="s">
        <v>153</v>
      </c>
      <c r="W12" s="537"/>
      <c r="X12" s="537" t="s">
        <v>154</v>
      </c>
      <c r="Y12" s="558"/>
      <c r="Z12" s="88"/>
      <c r="AA12" s="87"/>
    </row>
    <row r="13" spans="1:28" ht="18.75" customHeight="1">
      <c r="A13" s="87"/>
      <c r="B13" s="213"/>
      <c r="C13" s="207"/>
      <c r="D13" s="152"/>
      <c r="E13" s="223"/>
      <c r="F13" s="97"/>
      <c r="G13" s="566"/>
      <c r="H13" s="561"/>
      <c r="I13" s="561"/>
      <c r="J13" s="561"/>
      <c r="K13" s="561"/>
      <c r="L13" s="561"/>
      <c r="M13" s="561"/>
      <c r="N13" s="561"/>
      <c r="O13" s="561"/>
      <c r="P13" s="561"/>
      <c r="Q13" s="561"/>
      <c r="R13" s="537"/>
      <c r="S13" s="537"/>
      <c r="T13" s="537"/>
      <c r="U13" s="537"/>
      <c r="V13" s="537"/>
      <c r="W13" s="537"/>
      <c r="X13" s="559"/>
      <c r="Y13" s="560"/>
      <c r="Z13" s="88"/>
      <c r="AA13" s="89"/>
    </row>
    <row r="14" spans="1:28" ht="18.75" customHeight="1">
      <c r="A14" s="87"/>
      <c r="B14" s="213"/>
      <c r="C14" s="208"/>
      <c r="D14" s="152"/>
      <c r="E14" s="223"/>
      <c r="F14" s="97"/>
      <c r="G14" s="538"/>
      <c r="H14" s="539"/>
      <c r="I14" s="540"/>
      <c r="J14" s="541"/>
      <c r="K14" s="542"/>
      <c r="L14" s="534"/>
      <c r="M14" s="534"/>
      <c r="N14" s="534"/>
      <c r="O14" s="534"/>
      <c r="P14" s="534"/>
      <c r="Q14" s="534"/>
      <c r="R14" s="534"/>
      <c r="S14" s="534"/>
      <c r="T14" s="534"/>
      <c r="U14" s="534"/>
      <c r="V14" s="534"/>
      <c r="W14" s="540"/>
      <c r="X14" s="534"/>
      <c r="Y14" s="570"/>
      <c r="Z14" s="88"/>
    </row>
    <row r="15" spans="1:28" ht="19.5" customHeight="1" thickBot="1">
      <c r="A15" s="87"/>
      <c r="B15" s="215"/>
      <c r="C15" s="210"/>
      <c r="D15" s="209"/>
      <c r="E15" s="224"/>
      <c r="F15" s="97"/>
      <c r="G15" s="538"/>
      <c r="H15" s="539"/>
      <c r="I15" s="540"/>
      <c r="J15" s="541"/>
      <c r="K15" s="542"/>
      <c r="L15" s="534"/>
      <c r="M15" s="534"/>
      <c r="N15" s="534"/>
      <c r="O15" s="534"/>
      <c r="P15" s="534"/>
      <c r="Q15" s="534"/>
      <c r="R15" s="534"/>
      <c r="S15" s="534"/>
      <c r="T15" s="534"/>
      <c r="U15" s="534"/>
      <c r="V15" s="534"/>
      <c r="W15" s="540"/>
      <c r="X15" s="534"/>
      <c r="Y15" s="570"/>
      <c r="Z15" s="88"/>
      <c r="AA15" s="111"/>
    </row>
    <row r="16" spans="1:28" ht="24" customHeight="1" thickBot="1">
      <c r="A16" s="90"/>
      <c r="B16" s="117"/>
      <c r="C16" s="117"/>
      <c r="D16" s="117"/>
      <c r="E16" s="117"/>
      <c r="F16" s="87"/>
      <c r="G16" s="538"/>
      <c r="H16" s="539"/>
      <c r="I16" s="540"/>
      <c r="J16" s="541"/>
      <c r="K16" s="542"/>
      <c r="L16" s="534"/>
      <c r="M16" s="534"/>
      <c r="N16" s="534"/>
      <c r="O16" s="534"/>
      <c r="P16" s="534"/>
      <c r="Q16" s="534"/>
      <c r="R16" s="534"/>
      <c r="S16" s="534"/>
      <c r="T16" s="534"/>
      <c r="U16" s="534"/>
      <c r="V16" s="534"/>
      <c r="W16" s="540"/>
      <c r="X16" s="534"/>
      <c r="Y16" s="570"/>
      <c r="Z16" s="88"/>
      <c r="AA16" s="111"/>
      <c r="AB16" s="218"/>
    </row>
    <row r="17" spans="1:27" ht="21" customHeight="1">
      <c r="A17" s="87"/>
      <c r="B17" s="552" t="s">
        <v>156</v>
      </c>
      <c r="C17" s="553"/>
      <c r="D17" s="553"/>
      <c r="E17" s="554"/>
      <c r="F17" s="97"/>
      <c r="G17" s="538"/>
      <c r="H17" s="539"/>
      <c r="I17" s="540"/>
      <c r="J17" s="541"/>
      <c r="K17" s="542"/>
      <c r="L17" s="534"/>
      <c r="M17" s="534"/>
      <c r="N17" s="534"/>
      <c r="O17" s="534"/>
      <c r="P17" s="534"/>
      <c r="Q17" s="534"/>
      <c r="R17" s="534"/>
      <c r="S17" s="534"/>
      <c r="T17" s="534"/>
      <c r="U17" s="534"/>
      <c r="V17" s="534"/>
      <c r="W17" s="540"/>
      <c r="X17" s="534"/>
      <c r="Y17" s="570"/>
      <c r="Z17" s="88"/>
      <c r="AA17" s="111"/>
    </row>
    <row r="18" spans="1:27" ht="34.5" customHeight="1">
      <c r="A18" s="87"/>
      <c r="B18" s="175" t="s">
        <v>157</v>
      </c>
      <c r="C18" s="151" t="s">
        <v>151</v>
      </c>
      <c r="D18" s="150" t="s">
        <v>137</v>
      </c>
      <c r="E18" s="176" t="s">
        <v>158</v>
      </c>
      <c r="F18" s="97"/>
      <c r="G18" s="538"/>
      <c r="H18" s="539"/>
      <c r="I18" s="540"/>
      <c r="J18" s="541"/>
      <c r="K18" s="542"/>
      <c r="L18" s="534"/>
      <c r="M18" s="534"/>
      <c r="N18" s="534"/>
      <c r="O18" s="534"/>
      <c r="P18" s="534"/>
      <c r="Q18" s="534"/>
      <c r="R18" s="534"/>
      <c r="S18" s="534"/>
      <c r="T18" s="534"/>
      <c r="U18" s="534"/>
      <c r="V18" s="534"/>
      <c r="W18" s="540"/>
      <c r="X18" s="534"/>
      <c r="Y18" s="570"/>
      <c r="Z18" s="88"/>
      <c r="AA18" s="111"/>
    </row>
    <row r="19" spans="1:27" ht="30.75" customHeight="1">
      <c r="A19" s="87"/>
      <c r="B19" s="177"/>
      <c r="C19" s="152"/>
      <c r="D19" s="157"/>
      <c r="E19" s="225"/>
      <c r="F19" s="97"/>
      <c r="G19" s="538"/>
      <c r="H19" s="539"/>
      <c r="I19" s="540"/>
      <c r="J19" s="541"/>
      <c r="K19" s="542"/>
      <c r="L19" s="534"/>
      <c r="M19" s="534"/>
      <c r="N19" s="534"/>
      <c r="O19" s="534"/>
      <c r="P19" s="534"/>
      <c r="Q19" s="534"/>
      <c r="R19" s="534"/>
      <c r="S19" s="534"/>
      <c r="T19" s="534"/>
      <c r="U19" s="534"/>
      <c r="V19" s="534"/>
      <c r="W19" s="540"/>
      <c r="X19" s="534"/>
      <c r="Y19" s="570"/>
      <c r="Z19" s="88"/>
      <c r="AA19" s="111"/>
    </row>
    <row r="20" spans="1:27" ht="30" customHeight="1">
      <c r="A20" s="87"/>
      <c r="B20" s="177"/>
      <c r="C20" s="157"/>
      <c r="D20" s="157"/>
      <c r="E20" s="225"/>
      <c r="F20" s="97"/>
      <c r="G20" s="538"/>
      <c r="H20" s="539"/>
      <c r="I20" s="540"/>
      <c r="J20" s="541"/>
      <c r="K20" s="542"/>
      <c r="L20" s="534"/>
      <c r="M20" s="534"/>
      <c r="N20" s="534"/>
      <c r="O20" s="534"/>
      <c r="P20" s="534"/>
      <c r="Q20" s="534"/>
      <c r="R20" s="534"/>
      <c r="S20" s="534"/>
      <c r="T20" s="534"/>
      <c r="U20" s="534"/>
      <c r="V20" s="534"/>
      <c r="W20" s="540"/>
      <c r="X20" s="534"/>
      <c r="Y20" s="570"/>
      <c r="Z20" s="88"/>
      <c r="AA20" s="111"/>
    </row>
    <row r="21" spans="1:27" ht="30" customHeight="1">
      <c r="A21" s="87"/>
      <c r="B21" s="177"/>
      <c r="C21" s="157"/>
      <c r="D21" s="157"/>
      <c r="E21" s="225"/>
      <c r="F21" s="97"/>
      <c r="G21" s="538"/>
      <c r="H21" s="539"/>
      <c r="I21" s="540"/>
      <c r="J21" s="541"/>
      <c r="K21" s="542"/>
      <c r="L21" s="534"/>
      <c r="M21" s="534"/>
      <c r="N21" s="534"/>
      <c r="O21" s="534"/>
      <c r="P21" s="534"/>
      <c r="Q21" s="534"/>
      <c r="R21" s="534"/>
      <c r="S21" s="534"/>
      <c r="T21" s="534"/>
      <c r="U21" s="534"/>
      <c r="V21" s="534"/>
      <c r="W21" s="540"/>
      <c r="X21" s="534"/>
      <c r="Y21" s="570"/>
      <c r="Z21" s="88"/>
      <c r="AA21" s="111"/>
    </row>
    <row r="22" spans="1:27" ht="32.25" customHeight="1">
      <c r="A22" s="87"/>
      <c r="B22" s="177"/>
      <c r="C22" s="157"/>
      <c r="D22" s="157"/>
      <c r="E22" s="225"/>
      <c r="F22" s="97"/>
      <c r="G22" s="538"/>
      <c r="H22" s="539"/>
      <c r="I22" s="540"/>
      <c r="J22" s="541"/>
      <c r="K22" s="542"/>
      <c r="L22" s="534"/>
      <c r="M22" s="534"/>
      <c r="N22" s="534"/>
      <c r="O22" s="534"/>
      <c r="P22" s="534"/>
      <c r="Q22" s="534"/>
      <c r="R22" s="534"/>
      <c r="S22" s="534"/>
      <c r="T22" s="534"/>
      <c r="U22" s="534"/>
      <c r="V22" s="534"/>
      <c r="W22" s="540"/>
      <c r="X22" s="534"/>
      <c r="Y22" s="570"/>
      <c r="Z22" s="88"/>
      <c r="AA22" s="111"/>
    </row>
    <row r="23" spans="1:27" ht="30.75" customHeight="1" thickBot="1">
      <c r="A23" s="87"/>
      <c r="B23" s="178"/>
      <c r="C23" s="179"/>
      <c r="D23" s="179"/>
      <c r="E23" s="226"/>
      <c r="F23" s="97"/>
      <c r="G23" s="581" t="s">
        <v>155</v>
      </c>
      <c r="H23" s="573"/>
      <c r="I23" s="573">
        <f>SUM(I14:K22)</f>
        <v>0</v>
      </c>
      <c r="J23" s="573"/>
      <c r="K23" s="573"/>
      <c r="L23" s="573">
        <f>SUM(L14:N22)</f>
        <v>0</v>
      </c>
      <c r="M23" s="573"/>
      <c r="N23" s="573"/>
      <c r="O23" s="578">
        <f>SUM(O14:Q22)</f>
        <v>0</v>
      </c>
      <c r="P23" s="579"/>
      <c r="Q23" s="580"/>
      <c r="R23" s="578">
        <f>SUM(R14:S22)</f>
        <v>0</v>
      </c>
      <c r="S23" s="580"/>
      <c r="T23" s="578">
        <f>SUM(T14:U22)</f>
        <v>0</v>
      </c>
      <c r="U23" s="580"/>
      <c r="V23" s="578">
        <f>SUM(V14:W22)</f>
        <v>0</v>
      </c>
      <c r="W23" s="579"/>
      <c r="X23" s="573">
        <f>SUM(X14:Y22)</f>
        <v>0</v>
      </c>
      <c r="Y23" s="574"/>
      <c r="Z23" s="88"/>
      <c r="AA23" s="111"/>
    </row>
    <row r="24" spans="1:27" ht="12" customHeight="1">
      <c r="A24" s="90"/>
      <c r="B24" s="115"/>
      <c r="C24" s="115"/>
      <c r="D24" s="115"/>
      <c r="E24" s="115"/>
      <c r="F24" s="90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89"/>
      <c r="R24" s="89"/>
      <c r="S24" s="115"/>
      <c r="T24" s="115"/>
      <c r="U24" s="89"/>
      <c r="V24" s="115"/>
      <c r="W24" s="115"/>
      <c r="X24" s="115"/>
      <c r="Y24" s="89"/>
      <c r="Z24" s="90"/>
      <c r="AA24" s="111"/>
    </row>
    <row r="25" spans="1:27" ht="9" customHeight="1" thickBot="1">
      <c r="A25" s="90"/>
      <c r="B25" s="90"/>
      <c r="C25" s="90"/>
      <c r="D25" s="90"/>
      <c r="E25" s="90"/>
      <c r="F25" s="90"/>
      <c r="G25" s="98"/>
      <c r="H25" s="98"/>
      <c r="I25" s="98"/>
      <c r="J25" s="98"/>
      <c r="K25" s="90"/>
      <c r="L25" s="98"/>
      <c r="M25" s="98"/>
      <c r="N25" s="98"/>
      <c r="O25" s="98"/>
      <c r="P25" s="98"/>
      <c r="Q25" s="111"/>
      <c r="R25" s="111"/>
      <c r="S25" s="98"/>
      <c r="T25" s="98"/>
      <c r="U25" s="111"/>
      <c r="V25" s="98"/>
      <c r="W25" s="98"/>
      <c r="X25" s="98"/>
      <c r="Y25" s="111"/>
      <c r="Z25" s="90"/>
      <c r="AA25" s="111"/>
    </row>
    <row r="26" spans="1:27" ht="37.5" customHeight="1">
      <c r="A26" s="90"/>
      <c r="B26" s="90"/>
      <c r="C26" s="90"/>
      <c r="D26" s="90"/>
      <c r="E26" s="90"/>
      <c r="F26" s="87"/>
      <c r="G26" s="153"/>
      <c r="H26" s="618" t="s">
        <v>170</v>
      </c>
      <c r="I26" s="619"/>
      <c r="J26" s="620"/>
      <c r="K26" s="97"/>
      <c r="L26" s="624" t="s">
        <v>163</v>
      </c>
      <c r="M26" s="625"/>
      <c r="N26" s="625"/>
      <c r="O26" s="625"/>
      <c r="P26" s="625"/>
      <c r="Q26" s="625"/>
      <c r="R26" s="625"/>
      <c r="S26" s="625"/>
      <c r="T26" s="625"/>
      <c r="U26" s="625"/>
      <c r="V26" s="625"/>
      <c r="W26" s="625"/>
      <c r="X26" s="625"/>
      <c r="Y26" s="626"/>
      <c r="Z26" s="88"/>
      <c r="AA26" s="111"/>
    </row>
    <row r="27" spans="1:27" ht="32.25" customHeight="1">
      <c r="A27" s="90"/>
      <c r="B27" s="90"/>
      <c r="C27" s="90"/>
      <c r="D27" s="90"/>
      <c r="E27" s="90"/>
      <c r="F27" s="87"/>
      <c r="G27" s="154"/>
      <c r="H27" s="615">
        <f>Y38</f>
        <v>0</v>
      </c>
      <c r="I27" s="616"/>
      <c r="J27" s="617"/>
      <c r="K27" s="97"/>
      <c r="L27" s="589" t="s">
        <v>147</v>
      </c>
      <c r="M27" s="537"/>
      <c r="N27" s="537"/>
      <c r="O27" s="537" t="s">
        <v>164</v>
      </c>
      <c r="P27" s="537"/>
      <c r="Q27" s="537" t="s">
        <v>165</v>
      </c>
      <c r="R27" s="537"/>
      <c r="S27" s="537" t="s">
        <v>166</v>
      </c>
      <c r="T27" s="537" t="s">
        <v>167</v>
      </c>
      <c r="U27" s="537"/>
      <c r="V27" s="537" t="s">
        <v>168</v>
      </c>
      <c r="W27" s="537" t="s">
        <v>169</v>
      </c>
      <c r="X27" s="537"/>
      <c r="Y27" s="558" t="s">
        <v>155</v>
      </c>
      <c r="Z27" s="88"/>
      <c r="AA27" s="87"/>
    </row>
    <row r="28" spans="1:27" ht="9.75" customHeight="1">
      <c r="A28" s="90"/>
      <c r="B28" s="90"/>
      <c r="C28" s="90"/>
      <c r="D28" s="90"/>
      <c r="E28" s="90"/>
      <c r="F28" s="87"/>
      <c r="G28" s="154"/>
      <c r="H28" s="90"/>
      <c r="I28" s="90"/>
      <c r="J28" s="185"/>
      <c r="K28" s="97"/>
      <c r="L28" s="589"/>
      <c r="M28" s="537"/>
      <c r="N28" s="537"/>
      <c r="O28" s="537"/>
      <c r="P28" s="537"/>
      <c r="Q28" s="537"/>
      <c r="R28" s="537"/>
      <c r="S28" s="537"/>
      <c r="T28" s="537"/>
      <c r="U28" s="537"/>
      <c r="V28" s="537"/>
      <c r="W28" s="537"/>
      <c r="X28" s="537"/>
      <c r="Y28" s="558"/>
      <c r="Z28" s="88"/>
      <c r="AA28" s="111"/>
    </row>
    <row r="29" spans="1:27" ht="17.25" customHeight="1" thickBot="1">
      <c r="A29" s="90"/>
      <c r="B29" s="90"/>
      <c r="C29" s="90"/>
      <c r="D29" s="90"/>
      <c r="E29" s="90"/>
      <c r="F29" s="87"/>
      <c r="G29" s="155"/>
      <c r="H29" s="186"/>
      <c r="I29" s="186"/>
      <c r="J29" s="156"/>
      <c r="K29" s="97"/>
      <c r="L29" s="586"/>
      <c r="M29" s="587"/>
      <c r="N29" s="587"/>
      <c r="O29" s="587"/>
      <c r="P29" s="587"/>
      <c r="Q29" s="587"/>
      <c r="R29" s="587"/>
      <c r="S29" s="79"/>
      <c r="T29" s="587"/>
      <c r="U29" s="587"/>
      <c r="V29" s="79"/>
      <c r="W29" s="587"/>
      <c r="X29" s="588"/>
      <c r="Y29" s="219"/>
      <c r="Z29" s="88"/>
      <c r="AA29" s="111"/>
    </row>
    <row r="30" spans="1:27" ht="15.75" thickBot="1">
      <c r="A30" s="90"/>
      <c r="B30" s="90"/>
      <c r="C30" s="90"/>
      <c r="D30" s="90"/>
      <c r="E30" s="90"/>
      <c r="F30" s="90"/>
      <c r="G30" s="117"/>
      <c r="H30" s="117"/>
      <c r="I30" s="117"/>
      <c r="J30" s="117"/>
      <c r="K30" s="87"/>
      <c r="L30" s="586"/>
      <c r="M30" s="587"/>
      <c r="N30" s="587"/>
      <c r="O30" s="587"/>
      <c r="P30" s="587"/>
      <c r="Q30" s="587"/>
      <c r="R30" s="587"/>
      <c r="S30" s="79"/>
      <c r="T30" s="587"/>
      <c r="U30" s="587"/>
      <c r="V30" s="79"/>
      <c r="W30" s="587"/>
      <c r="X30" s="588"/>
      <c r="Y30" s="219"/>
      <c r="Z30" s="88"/>
      <c r="AA30" s="87"/>
    </row>
    <row r="31" spans="1:27" ht="21">
      <c r="A31" s="90"/>
      <c r="B31" s="90"/>
      <c r="C31" s="90"/>
      <c r="D31" s="90"/>
      <c r="E31" s="90"/>
      <c r="F31" s="87"/>
      <c r="G31" s="153"/>
      <c r="H31" s="621" t="s">
        <v>160</v>
      </c>
      <c r="I31" s="622"/>
      <c r="J31" s="623"/>
      <c r="K31" s="97"/>
      <c r="L31" s="586"/>
      <c r="M31" s="587"/>
      <c r="N31" s="587"/>
      <c r="O31" s="587"/>
      <c r="P31" s="587"/>
      <c r="Q31" s="587"/>
      <c r="R31" s="587"/>
      <c r="S31" s="79"/>
      <c r="T31" s="587"/>
      <c r="U31" s="587"/>
      <c r="V31" s="79"/>
      <c r="W31" s="587"/>
      <c r="X31" s="588"/>
      <c r="Y31" s="219"/>
      <c r="Z31" s="88"/>
      <c r="AA31" s="87"/>
    </row>
    <row r="32" spans="1:27" ht="17.25" customHeight="1">
      <c r="A32" s="90"/>
      <c r="B32" s="90"/>
      <c r="C32" s="90"/>
      <c r="D32" s="90"/>
      <c r="E32" s="90"/>
      <c r="F32" s="87"/>
      <c r="G32" s="154"/>
      <c r="H32" s="90"/>
      <c r="I32" s="90"/>
      <c r="J32" s="185"/>
      <c r="K32" s="97"/>
      <c r="L32" s="586"/>
      <c r="M32" s="587"/>
      <c r="N32" s="587"/>
      <c r="O32" s="587"/>
      <c r="P32" s="587"/>
      <c r="Q32" s="587"/>
      <c r="R32" s="587"/>
      <c r="S32" s="79"/>
      <c r="T32" s="587"/>
      <c r="U32" s="587"/>
      <c r="V32" s="79"/>
      <c r="W32" s="587"/>
      <c r="X32" s="588"/>
      <c r="Y32" s="219"/>
      <c r="Z32" s="88"/>
      <c r="AA32" s="87"/>
    </row>
    <row r="33" spans="1:27" ht="31.5" customHeight="1">
      <c r="A33" s="90"/>
      <c r="B33" s="90"/>
      <c r="C33" s="90"/>
      <c r="D33" s="90"/>
      <c r="E33" s="90"/>
      <c r="F33" s="87"/>
      <c r="G33" s="154"/>
      <c r="H33" s="615">
        <f>O38</f>
        <v>0</v>
      </c>
      <c r="I33" s="616"/>
      <c r="J33" s="617"/>
      <c r="K33" s="97"/>
      <c r="L33" s="586"/>
      <c r="M33" s="587"/>
      <c r="N33" s="587"/>
      <c r="O33" s="587"/>
      <c r="P33" s="587"/>
      <c r="Q33" s="587"/>
      <c r="R33" s="587"/>
      <c r="S33" s="79"/>
      <c r="T33" s="587"/>
      <c r="U33" s="587"/>
      <c r="V33" s="79"/>
      <c r="W33" s="587"/>
      <c r="X33" s="588"/>
      <c r="Y33" s="219"/>
      <c r="Z33" s="88"/>
      <c r="AA33" s="217"/>
    </row>
    <row r="34" spans="1:27" ht="18" customHeight="1">
      <c r="A34" s="90"/>
      <c r="B34" s="90"/>
      <c r="C34" s="90"/>
      <c r="D34" s="90"/>
      <c r="E34" s="90"/>
      <c r="F34" s="87"/>
      <c r="G34" s="154"/>
      <c r="H34" s="90"/>
      <c r="I34" s="90"/>
      <c r="J34" s="185"/>
      <c r="K34" s="97"/>
      <c r="L34" s="586"/>
      <c r="M34" s="587"/>
      <c r="N34" s="587"/>
      <c r="O34" s="587"/>
      <c r="P34" s="587"/>
      <c r="Q34" s="587"/>
      <c r="R34" s="587"/>
      <c r="S34" s="79"/>
      <c r="T34" s="587"/>
      <c r="U34" s="587"/>
      <c r="V34" s="79"/>
      <c r="W34" s="587"/>
      <c r="X34" s="588"/>
      <c r="Y34" s="219"/>
      <c r="Z34" s="88"/>
      <c r="AA34" s="87"/>
    </row>
    <row r="35" spans="1:27" ht="15.75" customHeight="1" thickBot="1">
      <c r="A35" s="90"/>
      <c r="B35" s="90"/>
      <c r="C35" s="90"/>
      <c r="D35" s="90"/>
      <c r="E35" s="90"/>
      <c r="F35" s="87"/>
      <c r="G35" s="155"/>
      <c r="H35" s="186"/>
      <c r="I35" s="186"/>
      <c r="J35" s="156"/>
      <c r="K35" s="97"/>
      <c r="L35" s="586"/>
      <c r="M35" s="587"/>
      <c r="N35" s="587"/>
      <c r="O35" s="590"/>
      <c r="P35" s="590"/>
      <c r="Q35" s="590"/>
      <c r="R35" s="590"/>
      <c r="S35" s="182"/>
      <c r="T35" s="590"/>
      <c r="U35" s="590"/>
      <c r="V35" s="182"/>
      <c r="W35" s="590"/>
      <c r="X35" s="591"/>
      <c r="Y35" s="219"/>
      <c r="Z35" s="88"/>
      <c r="AA35" s="111"/>
    </row>
    <row r="36" spans="1:27" ht="21" customHeight="1" thickBot="1">
      <c r="A36" s="90"/>
      <c r="B36" s="90"/>
      <c r="C36" s="90"/>
      <c r="D36" s="90"/>
      <c r="E36" s="90"/>
      <c r="F36" s="90"/>
      <c r="G36" s="117"/>
      <c r="H36" s="117"/>
      <c r="I36" s="117"/>
      <c r="J36" s="117"/>
      <c r="K36" s="87"/>
      <c r="L36" s="586"/>
      <c r="M36" s="587"/>
      <c r="N36" s="588"/>
      <c r="O36" s="592"/>
      <c r="P36" s="592"/>
      <c r="Q36" s="592"/>
      <c r="R36" s="592"/>
      <c r="S36" s="183"/>
      <c r="T36" s="592"/>
      <c r="U36" s="592"/>
      <c r="V36" s="183"/>
      <c r="W36" s="592"/>
      <c r="X36" s="593"/>
      <c r="Y36" s="219"/>
      <c r="Z36" s="88"/>
      <c r="AA36" s="87"/>
    </row>
    <row r="37" spans="1:27" ht="19.5" customHeight="1">
      <c r="A37" s="90"/>
      <c r="B37" s="90"/>
      <c r="C37" s="90"/>
      <c r="D37" s="90"/>
      <c r="E37" s="90"/>
      <c r="F37" s="87"/>
      <c r="G37" s="153"/>
      <c r="H37" s="621" t="s">
        <v>159</v>
      </c>
      <c r="I37" s="622"/>
      <c r="J37" s="623"/>
      <c r="K37" s="97"/>
      <c r="L37" s="586"/>
      <c r="M37" s="587"/>
      <c r="N37" s="588"/>
      <c r="O37" s="592"/>
      <c r="P37" s="592"/>
      <c r="Q37" s="592"/>
      <c r="R37" s="592"/>
      <c r="S37" s="183"/>
      <c r="T37" s="592"/>
      <c r="U37" s="592"/>
      <c r="V37" s="183"/>
      <c r="W37" s="592"/>
      <c r="X37" s="593"/>
      <c r="Y37" s="219"/>
      <c r="Z37" s="88"/>
    </row>
    <row r="38" spans="1:27" ht="14.25" customHeight="1" thickBot="1">
      <c r="A38" s="90"/>
      <c r="B38" s="90"/>
      <c r="C38" s="90"/>
      <c r="D38" s="90"/>
      <c r="E38" s="90"/>
      <c r="F38" s="87"/>
      <c r="G38" s="154"/>
      <c r="H38" s="90"/>
      <c r="I38" s="90"/>
      <c r="J38" s="185"/>
      <c r="K38" s="97"/>
      <c r="L38" s="605" t="s">
        <v>155</v>
      </c>
      <c r="M38" s="606"/>
      <c r="N38" s="607"/>
      <c r="O38" s="594">
        <f>SUM(O29:P37)</f>
        <v>0</v>
      </c>
      <c r="P38" s="594"/>
      <c r="Q38" s="594">
        <f>SUM(Q29:R37)</f>
        <v>0</v>
      </c>
      <c r="R38" s="594"/>
      <c r="S38" s="220">
        <f>SUM(S29:S37)</f>
        <v>0</v>
      </c>
      <c r="T38" s="594">
        <f>SUM(T29:U37)</f>
        <v>0</v>
      </c>
      <c r="U38" s="594"/>
      <c r="V38" s="220">
        <f>SUM(V29:V37)</f>
        <v>0</v>
      </c>
      <c r="W38" s="594">
        <f>SUM(W29:X37)</f>
        <v>0</v>
      </c>
      <c r="X38" s="594"/>
      <c r="Y38" s="221">
        <f>SUM(Y29:Y37)</f>
        <v>0</v>
      </c>
      <c r="Z38" s="88"/>
      <c r="AA38" s="111"/>
    </row>
    <row r="39" spans="1:27" ht="25.5" customHeight="1">
      <c r="A39" s="90"/>
      <c r="B39" s="90"/>
      <c r="C39" s="90"/>
      <c r="D39" s="90"/>
      <c r="E39" s="90"/>
      <c r="F39" s="87"/>
      <c r="G39" s="154"/>
      <c r="H39" s="615">
        <f>S38</f>
        <v>0</v>
      </c>
      <c r="I39" s="616"/>
      <c r="J39" s="617"/>
      <c r="K39" s="97"/>
      <c r="L39" s="600"/>
      <c r="M39" s="608"/>
      <c r="N39" s="609"/>
      <c r="O39" s="600"/>
      <c r="P39" s="601"/>
      <c r="Q39" s="613"/>
      <c r="R39" s="614"/>
      <c r="S39" s="115"/>
      <c r="T39" s="641"/>
      <c r="U39" s="641"/>
      <c r="V39" s="115"/>
      <c r="W39" s="641"/>
      <c r="X39" s="641"/>
      <c r="Y39" s="146"/>
      <c r="Z39" s="90"/>
      <c r="AA39" s="87"/>
    </row>
    <row r="40" spans="1:27" ht="12" customHeight="1">
      <c r="A40" s="90"/>
      <c r="B40" s="90"/>
      <c r="C40" s="90"/>
      <c r="D40" s="90"/>
      <c r="E40" s="90"/>
      <c r="F40" s="87"/>
      <c r="G40" s="154"/>
      <c r="H40" s="90"/>
      <c r="I40" s="90"/>
      <c r="J40" s="185"/>
      <c r="K40" s="97"/>
      <c r="L40" s="610"/>
      <c r="M40" s="611"/>
      <c r="N40" s="612"/>
      <c r="O40" s="602"/>
      <c r="P40" s="599"/>
      <c r="Q40" s="598"/>
      <c r="R40" s="599"/>
      <c r="S40" s="90"/>
      <c r="T40" s="642"/>
      <c r="U40" s="642"/>
      <c r="V40" s="90"/>
      <c r="W40" s="642"/>
      <c r="X40" s="642"/>
      <c r="Y40" s="158"/>
      <c r="Z40" s="90"/>
    </row>
    <row r="41" spans="1:27" ht="9" customHeight="1" thickBot="1">
      <c r="A41" s="90"/>
      <c r="B41" s="90"/>
      <c r="C41" s="90"/>
      <c r="D41" s="90"/>
      <c r="E41" s="90"/>
      <c r="F41" s="87"/>
      <c r="G41" s="155"/>
      <c r="H41" s="186"/>
      <c r="I41" s="186"/>
      <c r="J41" s="156"/>
      <c r="K41" s="97"/>
      <c r="L41" s="610"/>
      <c r="M41" s="611"/>
      <c r="N41" s="612"/>
      <c r="O41" s="603"/>
      <c r="P41" s="604"/>
      <c r="Q41" s="610"/>
      <c r="R41" s="612"/>
      <c r="S41" s="90"/>
      <c r="T41" s="610"/>
      <c r="U41" s="612"/>
      <c r="V41" s="90"/>
      <c r="W41" s="610"/>
      <c r="X41" s="612"/>
      <c r="Y41" s="158"/>
      <c r="Z41" s="90"/>
      <c r="AA41" s="111"/>
    </row>
    <row r="42" spans="1:27" ht="24" thickBot="1">
      <c r="A42" s="90"/>
      <c r="B42" s="90"/>
      <c r="C42" s="90"/>
      <c r="D42" s="90"/>
      <c r="E42" s="90"/>
      <c r="F42" s="90"/>
      <c r="G42" s="117"/>
      <c r="H42" s="117"/>
      <c r="I42" s="117"/>
      <c r="J42" s="117"/>
      <c r="K42" s="87"/>
      <c r="L42" s="595"/>
      <c r="M42" s="596"/>
      <c r="N42" s="597"/>
      <c r="O42" s="613"/>
      <c r="P42" s="614"/>
      <c r="Q42" s="90"/>
      <c r="R42" s="639" t="s">
        <v>217</v>
      </c>
      <c r="S42" s="640"/>
      <c r="T42" s="116"/>
      <c r="U42" s="643"/>
      <c r="V42" s="644"/>
      <c r="W42" s="643"/>
      <c r="X42" s="644"/>
      <c r="Y42" s="158"/>
      <c r="Z42" s="90"/>
      <c r="AA42" s="87"/>
    </row>
    <row r="43" spans="1:27" ht="26.25" customHeight="1">
      <c r="A43" s="90"/>
      <c r="B43" s="90"/>
      <c r="C43" s="90"/>
      <c r="D43" s="90"/>
      <c r="E43" s="90"/>
      <c r="F43" s="87"/>
      <c r="G43" s="153"/>
      <c r="H43" s="646" t="s">
        <v>171</v>
      </c>
      <c r="I43" s="646"/>
      <c r="J43" s="647"/>
      <c r="K43" s="97"/>
      <c r="L43" s="153"/>
      <c r="M43" s="184"/>
      <c r="N43" s="630" t="s">
        <v>161</v>
      </c>
      <c r="O43" s="631"/>
      <c r="P43" s="632"/>
      <c r="Q43" s="154"/>
      <c r="R43" s="346" t="s">
        <v>218</v>
      </c>
      <c r="S43" s="359"/>
      <c r="T43" s="356" t="s">
        <v>221</v>
      </c>
      <c r="U43" s="347"/>
      <c r="V43" s="347"/>
      <c r="W43" s="347"/>
      <c r="X43" s="360"/>
      <c r="Y43" s="353"/>
      <c r="Z43" s="349"/>
      <c r="AA43" s="354"/>
    </row>
    <row r="44" spans="1:27" ht="12" customHeight="1">
      <c r="A44" s="90"/>
      <c r="B44" s="90"/>
      <c r="C44" s="90"/>
      <c r="D44" s="90"/>
      <c r="E44" s="90"/>
      <c r="F44" s="87"/>
      <c r="G44" s="154"/>
      <c r="H44" s="90"/>
      <c r="I44" s="90"/>
      <c r="J44" s="185"/>
      <c r="K44" s="97"/>
      <c r="L44" s="154"/>
      <c r="M44" s="90"/>
      <c r="N44" s="90"/>
      <c r="O44" s="90"/>
      <c r="P44" s="185"/>
      <c r="Q44" s="366"/>
      <c r="R44" s="348"/>
      <c r="S44" s="363"/>
      <c r="T44" s="364"/>
      <c r="U44" s="361"/>
      <c r="V44" s="362"/>
      <c r="W44" s="362"/>
      <c r="X44" s="362"/>
      <c r="Y44" s="368"/>
      <c r="Z44" s="362"/>
      <c r="AA44" s="363"/>
    </row>
    <row r="45" spans="1:27" ht="27" customHeight="1">
      <c r="A45" s="90"/>
      <c r="B45" s="90"/>
      <c r="C45" s="90"/>
      <c r="D45" s="90"/>
      <c r="E45" s="90"/>
      <c r="F45" s="87"/>
      <c r="G45" s="154"/>
      <c r="H45" s="615">
        <f>SUM(V38)</f>
        <v>0</v>
      </c>
      <c r="I45" s="616"/>
      <c r="J45" s="617"/>
      <c r="K45" s="97"/>
      <c r="L45" s="154"/>
      <c r="M45" s="90"/>
      <c r="N45" s="90"/>
      <c r="O45" s="633">
        <f>SUM(Q38,T38,W38)</f>
        <v>0</v>
      </c>
      <c r="P45" s="634"/>
      <c r="Q45" s="154"/>
      <c r="R45" s="347" t="s">
        <v>219</v>
      </c>
      <c r="S45" s="357"/>
      <c r="T45" s="355" t="s">
        <v>222</v>
      </c>
      <c r="U45" s="356"/>
      <c r="V45" s="349"/>
      <c r="W45" s="349"/>
      <c r="X45" s="354"/>
      <c r="Y45" s="367"/>
      <c r="Z45" s="349"/>
      <c r="AA45" s="354"/>
    </row>
    <row r="46" spans="1:27" ht="17.25" customHeight="1">
      <c r="A46" s="90"/>
      <c r="B46" s="90"/>
      <c r="C46" s="90"/>
      <c r="D46" s="90"/>
      <c r="E46" s="90"/>
      <c r="F46" s="87"/>
      <c r="G46" s="154"/>
      <c r="H46" s="90"/>
      <c r="I46" s="90"/>
      <c r="J46" s="185"/>
      <c r="K46" s="97"/>
      <c r="L46" s="154"/>
      <c r="M46" s="90"/>
      <c r="N46" s="90"/>
      <c r="O46" s="635"/>
      <c r="P46" s="636"/>
      <c r="Q46" s="154"/>
      <c r="R46" s="348"/>
      <c r="S46" s="363"/>
      <c r="T46" s="364"/>
      <c r="U46" s="361"/>
      <c r="V46" s="362"/>
      <c r="W46" s="362"/>
      <c r="X46" s="362"/>
      <c r="Y46" s="369"/>
      <c r="Z46" s="362"/>
      <c r="AA46" s="365"/>
    </row>
    <row r="47" spans="1:27" ht="19.5" customHeight="1" thickBot="1">
      <c r="A47" s="90"/>
      <c r="B47" s="90"/>
      <c r="C47" s="90"/>
      <c r="D47" s="90"/>
      <c r="E47" s="90"/>
      <c r="F47" s="87"/>
      <c r="G47" s="155"/>
      <c r="H47" s="186"/>
      <c r="I47" s="186"/>
      <c r="J47" s="156"/>
      <c r="K47" s="97"/>
      <c r="L47" s="155"/>
      <c r="M47" s="186"/>
      <c r="N47" s="186"/>
      <c r="O47" s="186"/>
      <c r="P47" s="156"/>
      <c r="R47" s="355" t="s">
        <v>220</v>
      </c>
      <c r="S47" s="354"/>
      <c r="T47" s="355" t="s">
        <v>223</v>
      </c>
      <c r="U47" s="356"/>
      <c r="V47" s="349"/>
      <c r="W47" s="349"/>
      <c r="X47" s="354"/>
      <c r="Y47" s="370"/>
      <c r="Z47" s="349"/>
      <c r="AA47" s="358"/>
    </row>
    <row r="48" spans="1:27" ht="18.75" customHeight="1">
      <c r="A48" s="90"/>
      <c r="B48" s="90"/>
      <c r="C48" s="90"/>
      <c r="D48" s="90"/>
      <c r="E48" s="98"/>
      <c r="F48" s="111"/>
      <c r="G48" s="115"/>
      <c r="H48" s="117"/>
      <c r="I48" s="117"/>
      <c r="J48" s="115"/>
      <c r="K48" s="86"/>
      <c r="L48" s="184"/>
      <c r="M48" s="184"/>
      <c r="N48" s="184"/>
      <c r="O48" s="184"/>
      <c r="P48" s="95"/>
      <c r="Q48" s="90"/>
      <c r="R48" s="87"/>
      <c r="S48" s="90"/>
      <c r="T48" s="90"/>
      <c r="U48" s="87"/>
      <c r="V48" s="90"/>
      <c r="W48" s="90"/>
      <c r="X48" s="90"/>
      <c r="Y48" s="87"/>
      <c r="Z48" s="90"/>
      <c r="AA48" s="111"/>
    </row>
    <row r="49" spans="1:28" ht="28.5" customHeight="1">
      <c r="A49" s="90"/>
      <c r="B49" s="90"/>
      <c r="C49" s="90"/>
      <c r="D49" s="90"/>
      <c r="E49" s="90"/>
      <c r="F49" s="87"/>
      <c r="G49" s="90"/>
      <c r="H49" s="98"/>
      <c r="I49" s="98"/>
      <c r="J49" s="90"/>
      <c r="K49" s="90"/>
      <c r="L49" s="115"/>
      <c r="M49" s="115"/>
      <c r="N49" s="115"/>
      <c r="O49" s="115"/>
      <c r="P49" s="90"/>
      <c r="Q49" s="90"/>
      <c r="R49" s="87"/>
      <c r="S49" s="90"/>
      <c r="T49" s="90"/>
      <c r="U49" s="87"/>
      <c r="V49" s="90"/>
      <c r="W49" s="90"/>
      <c r="X49" s="90"/>
      <c r="Y49" s="87"/>
      <c r="Z49" s="90"/>
      <c r="AA49" s="111"/>
    </row>
    <row r="50" spans="1:28" ht="16.5" thickBot="1">
      <c r="A50" s="90"/>
      <c r="B50" s="90"/>
      <c r="C50" s="90"/>
      <c r="D50" s="90"/>
      <c r="E50" s="90"/>
      <c r="F50" s="87"/>
      <c r="G50" s="187"/>
      <c r="H50" s="637"/>
      <c r="I50" s="637"/>
      <c r="J50" s="638"/>
      <c r="K50" s="88"/>
      <c r="L50" s="115"/>
      <c r="M50" s="115"/>
      <c r="N50" s="115"/>
      <c r="O50" s="115"/>
      <c r="P50" s="90"/>
      <c r="Q50" s="87"/>
      <c r="R50" s="87"/>
      <c r="S50" s="90"/>
      <c r="T50" s="90"/>
      <c r="U50" s="87"/>
      <c r="V50" s="90"/>
      <c r="W50" s="90"/>
      <c r="X50" s="90"/>
      <c r="Y50" s="87"/>
      <c r="Z50" s="90"/>
      <c r="AA50" s="111"/>
    </row>
    <row r="51" spans="1:28">
      <c r="A51" s="90"/>
      <c r="B51" s="90"/>
      <c r="C51" s="90"/>
      <c r="D51" s="90"/>
      <c r="E51" s="90"/>
      <c r="F51" s="90"/>
      <c r="G51" s="115"/>
      <c r="H51" s="115"/>
      <c r="I51" s="115"/>
      <c r="J51" s="115"/>
      <c r="K51" s="90"/>
      <c r="L51" s="90"/>
      <c r="M51" s="90"/>
      <c r="N51" s="90"/>
      <c r="O51" s="90"/>
      <c r="P51" s="90"/>
      <c r="Q51" s="87"/>
      <c r="R51" s="87"/>
      <c r="S51" s="90"/>
      <c r="T51" s="90"/>
      <c r="U51" s="87"/>
      <c r="V51" s="90"/>
      <c r="W51" s="90"/>
      <c r="X51" s="90"/>
      <c r="Y51" s="87"/>
      <c r="Z51" s="90"/>
    </row>
    <row r="52" spans="1:28" ht="36">
      <c r="A52" s="90"/>
      <c r="B52" s="90"/>
      <c r="C52" s="90"/>
      <c r="D52" s="90"/>
      <c r="E52" s="90"/>
      <c r="F52" s="90"/>
      <c r="G52" s="90"/>
      <c r="H52" s="645"/>
      <c r="I52" s="645"/>
      <c r="J52" s="645"/>
      <c r="K52" s="90"/>
      <c r="L52" s="90"/>
      <c r="M52" s="90"/>
      <c r="N52" s="90"/>
      <c r="O52" s="90"/>
      <c r="P52" s="90"/>
      <c r="Q52" s="87"/>
      <c r="R52" s="87"/>
      <c r="S52" s="90"/>
      <c r="T52" s="90"/>
      <c r="U52" s="87"/>
      <c r="V52" s="90"/>
      <c r="W52" s="90"/>
      <c r="X52" s="90"/>
      <c r="Y52" s="87"/>
      <c r="Z52" s="90"/>
      <c r="AA52" s="111"/>
    </row>
    <row r="53" spans="1:28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87"/>
      <c r="R53" s="87"/>
      <c r="S53" s="90"/>
      <c r="T53" s="90"/>
      <c r="U53" s="87"/>
      <c r="V53" s="90"/>
      <c r="W53" s="90"/>
      <c r="X53" s="90"/>
      <c r="Y53" s="87"/>
      <c r="Z53" s="90"/>
      <c r="AA53" s="111"/>
    </row>
    <row r="54" spans="1:28" ht="3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87"/>
      <c r="R54" s="87"/>
      <c r="S54" s="90"/>
      <c r="T54" s="90"/>
      <c r="U54" s="87"/>
      <c r="V54" s="90"/>
      <c r="W54" s="90"/>
      <c r="X54" s="90"/>
      <c r="Y54" s="87"/>
      <c r="Z54" s="90"/>
      <c r="AA54" s="111"/>
    </row>
    <row r="55" spans="1:28" ht="5.2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87"/>
      <c r="R55" s="87"/>
      <c r="S55" s="90"/>
      <c r="T55" s="90"/>
      <c r="U55" s="87"/>
      <c r="V55" s="90"/>
      <c r="W55" s="90"/>
      <c r="X55" s="627"/>
      <c r="Y55" s="628"/>
      <c r="Z55" s="628"/>
      <c r="AA55" s="628"/>
      <c r="AB55" s="629"/>
    </row>
    <row r="56" spans="1:28" ht="23.25" hidden="1">
      <c r="A56" s="90"/>
      <c r="B56" s="90"/>
      <c r="C56" s="90"/>
      <c r="D56" s="90"/>
      <c r="E56" s="115"/>
      <c r="F56" s="115"/>
      <c r="G56" s="115"/>
      <c r="H56" s="115"/>
      <c r="I56" s="115"/>
      <c r="J56" s="115"/>
      <c r="K56" s="115"/>
      <c r="L56" s="90"/>
      <c r="M56" s="90"/>
      <c r="N56" s="90"/>
      <c r="O56" s="90"/>
      <c r="P56" s="90"/>
      <c r="Q56" s="87"/>
      <c r="R56" s="87"/>
      <c r="S56" s="90"/>
      <c r="T56" s="90"/>
      <c r="U56" s="87"/>
      <c r="V56" s="90"/>
      <c r="W56" s="90"/>
      <c r="X56" s="350"/>
      <c r="Y56" s="351"/>
      <c r="Z56" s="90"/>
      <c r="AA56" s="90"/>
      <c r="AB56" s="87"/>
    </row>
    <row r="57" spans="1:28" ht="23.25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87"/>
      <c r="R57" s="87"/>
      <c r="S57" s="90"/>
      <c r="T57" s="90"/>
      <c r="U57" s="87"/>
      <c r="V57" s="90"/>
      <c r="W57" s="90"/>
      <c r="X57" s="352"/>
      <c r="Y57" s="351"/>
      <c r="Z57" s="90"/>
      <c r="AA57" s="90"/>
      <c r="AB57" s="87"/>
    </row>
    <row r="58" spans="1:28" ht="23.25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87"/>
      <c r="R58" s="87"/>
      <c r="S58" s="90"/>
      <c r="T58" s="90"/>
      <c r="U58" s="87"/>
      <c r="V58" s="90"/>
      <c r="W58" s="90"/>
      <c r="X58" s="350"/>
      <c r="Y58" s="351"/>
      <c r="Z58" s="90"/>
      <c r="AA58" s="90"/>
      <c r="AB58" s="87"/>
    </row>
    <row r="59" spans="1:28" ht="23.25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87"/>
      <c r="R59" s="87"/>
      <c r="S59" s="90"/>
      <c r="T59" s="90"/>
      <c r="U59" s="87"/>
      <c r="V59" s="90"/>
      <c r="W59" s="90"/>
      <c r="X59" s="352"/>
      <c r="Y59" s="351"/>
      <c r="Z59" s="90"/>
      <c r="AA59" s="90"/>
      <c r="AB59" s="87"/>
    </row>
    <row r="60" spans="1:28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87"/>
      <c r="R60" s="87"/>
      <c r="S60" s="90"/>
      <c r="T60" s="90"/>
      <c r="U60" s="87"/>
      <c r="V60" s="90"/>
      <c r="W60" s="90"/>
      <c r="X60" s="90"/>
      <c r="Y60" s="87"/>
      <c r="Z60" s="90"/>
      <c r="AA60" s="111"/>
    </row>
    <row r="61" spans="1:28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87"/>
      <c r="R61" s="87"/>
      <c r="X61" s="90"/>
      <c r="Y61" s="87"/>
      <c r="Z61" s="90"/>
    </row>
    <row r="62" spans="1:28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87"/>
      <c r="R62" s="87"/>
      <c r="X62" s="90"/>
      <c r="Y62" s="87"/>
      <c r="Z62" s="90"/>
    </row>
    <row r="63" spans="1:28" ht="23.2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87"/>
      <c r="R63" s="87"/>
      <c r="U63" s="627"/>
      <c r="V63" s="628"/>
      <c r="W63" s="628"/>
      <c r="X63" s="628"/>
      <c r="Y63" s="629"/>
      <c r="Z63" s="90"/>
    </row>
    <row r="64" spans="1:28" ht="23.25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87"/>
      <c r="R64" s="87"/>
      <c r="U64" s="350"/>
      <c r="V64" s="351"/>
      <c r="W64" s="90"/>
      <c r="X64" s="90"/>
      <c r="Y64" s="87"/>
      <c r="Z64" s="90"/>
    </row>
    <row r="65" spans="1:26" ht="23.2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87"/>
      <c r="R65" s="87"/>
      <c r="U65" s="352"/>
      <c r="V65" s="351"/>
      <c r="W65" s="90"/>
      <c r="X65" s="90"/>
      <c r="Y65" s="87"/>
      <c r="Z65" s="90"/>
    </row>
    <row r="66" spans="1:26" ht="23.25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87"/>
      <c r="R66" s="87"/>
      <c r="U66" s="350"/>
      <c r="V66" s="351"/>
      <c r="W66" s="90"/>
      <c r="X66" s="90"/>
      <c r="Y66" s="87"/>
      <c r="Z66" s="90"/>
    </row>
    <row r="67" spans="1:26" ht="23.25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87"/>
      <c r="R67" s="87"/>
      <c r="S67" s="90"/>
      <c r="T67" s="90"/>
      <c r="U67" s="352"/>
      <c r="V67" s="351"/>
      <c r="W67" s="90"/>
      <c r="X67" s="90"/>
      <c r="Y67" s="87"/>
      <c r="Z67" s="90"/>
    </row>
    <row r="68" spans="1:26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87"/>
      <c r="R68" s="87"/>
      <c r="S68" s="90"/>
      <c r="T68" s="90"/>
      <c r="U68" s="87"/>
      <c r="V68" s="90"/>
      <c r="W68" s="90"/>
      <c r="X68" s="90"/>
      <c r="Y68" s="87"/>
      <c r="Z68" s="90"/>
    </row>
    <row r="69" spans="1:26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87"/>
      <c r="R69" s="87"/>
      <c r="S69" s="90"/>
      <c r="T69" s="90"/>
      <c r="U69" s="87"/>
      <c r="V69" s="90"/>
      <c r="W69" s="90"/>
      <c r="X69" s="90"/>
      <c r="Y69" s="87"/>
      <c r="Z69" s="90"/>
    </row>
    <row r="70" spans="1:26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87"/>
      <c r="R70" s="87"/>
      <c r="S70" s="90"/>
      <c r="T70" s="90"/>
      <c r="U70" s="87"/>
      <c r="V70" s="90"/>
      <c r="W70" s="90"/>
      <c r="X70" s="90"/>
      <c r="Y70" s="87"/>
      <c r="Z70" s="90"/>
    </row>
    <row r="71" spans="1:26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87"/>
      <c r="R71" s="87"/>
      <c r="S71" s="90"/>
      <c r="T71" s="90"/>
      <c r="U71" s="87"/>
      <c r="V71" s="90"/>
      <c r="W71" s="90"/>
      <c r="X71" s="90"/>
      <c r="Y71" s="87"/>
      <c r="Z71" s="90"/>
    </row>
    <row r="72" spans="1:26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87"/>
      <c r="R72" s="87"/>
      <c r="S72" s="90"/>
      <c r="T72" s="90"/>
      <c r="U72" s="87"/>
      <c r="V72" s="90"/>
      <c r="W72" s="90"/>
      <c r="X72" s="90"/>
      <c r="Y72" s="87"/>
      <c r="Z72" s="90"/>
    </row>
    <row r="73" spans="1:26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87"/>
      <c r="R73" s="87"/>
      <c r="S73" s="90"/>
      <c r="T73" s="90"/>
      <c r="U73" s="87"/>
      <c r="V73" s="90"/>
      <c r="W73" s="90"/>
      <c r="X73" s="90"/>
      <c r="Y73" s="87"/>
      <c r="Z73" s="90"/>
    </row>
    <row r="74" spans="1:26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87"/>
      <c r="R74" s="87"/>
      <c r="S74" s="90"/>
      <c r="T74" s="90"/>
      <c r="U74" s="87"/>
      <c r="V74" s="90"/>
      <c r="W74" s="90"/>
      <c r="X74" s="90"/>
      <c r="Y74" s="87"/>
      <c r="Z74" s="90"/>
    </row>
    <row r="75" spans="1:26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R75" s="87"/>
      <c r="S75" s="90"/>
      <c r="T75" s="90"/>
      <c r="U75" s="87"/>
      <c r="V75" s="90"/>
      <c r="W75" s="90"/>
      <c r="X75" s="90"/>
      <c r="Y75" s="87"/>
      <c r="Z75" s="90"/>
    </row>
    <row r="76" spans="1:2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87"/>
      <c r="R76" s="87"/>
      <c r="S76" s="90"/>
      <c r="T76" s="90"/>
      <c r="U76" s="87"/>
      <c r="V76" s="90"/>
      <c r="W76" s="90"/>
      <c r="X76" s="90"/>
      <c r="Y76" s="87"/>
      <c r="Z76" s="90"/>
    </row>
    <row r="77" spans="1:26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87"/>
      <c r="R77" s="87"/>
      <c r="S77" s="90"/>
      <c r="T77" s="90"/>
      <c r="U77" s="87"/>
      <c r="V77" s="90"/>
      <c r="W77" s="90"/>
      <c r="X77" s="90"/>
      <c r="Y77" s="87"/>
      <c r="Z77" s="90"/>
    </row>
    <row r="78" spans="1:26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87"/>
      <c r="R78" s="87"/>
      <c r="S78" s="90"/>
      <c r="T78" s="90"/>
      <c r="U78" s="87"/>
      <c r="V78" s="90"/>
      <c r="W78" s="90"/>
      <c r="X78" s="90"/>
      <c r="Y78" s="87"/>
      <c r="Z78" s="90"/>
    </row>
    <row r="79" spans="1:26">
      <c r="R79" s="87"/>
      <c r="S79" s="90"/>
      <c r="T79" s="90"/>
      <c r="U79" s="87"/>
      <c r="V79" s="90"/>
      <c r="W79" s="90"/>
      <c r="X79" s="90"/>
      <c r="Y79" s="87"/>
      <c r="Z79" s="90"/>
    </row>
    <row r="80" spans="1:26">
      <c r="V80" s="90"/>
      <c r="W80" s="90"/>
      <c r="X80" s="90"/>
      <c r="Y80" s="87"/>
      <c r="Z80" s="90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5" priority="10">
      <formula>SEARCH("No actualizado",$C8)&gt;0</formula>
    </cfRule>
    <cfRule type="expression" dxfId="4" priority="11">
      <formula>SEARCH("Actualizado",$C8)&gt;0</formula>
    </cfRule>
    <cfRule type="expression" dxfId="3" priority="12">
      <formula>SEARCH("Pendiente Actualizar",$C8)&gt;0</formula>
    </cfRule>
  </conditionalFormatting>
  <conditionalFormatting sqref="E19:E23">
    <cfRule type="expression" dxfId="2" priority="1">
      <formula>SEARCH("No monitoreado",$D19)&gt;0</formula>
    </cfRule>
    <cfRule type="expression" dxfId="1" priority="2">
      <formula>SEARCH("Monitoreo pendiente",$D19)&gt;0</formula>
    </cfRule>
    <cfRule type="expression" dxfId="0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650" t="s">
        <v>172</v>
      </c>
      <c r="C2" s="650"/>
      <c r="D2" s="650"/>
      <c r="E2" s="650"/>
      <c r="F2" s="650"/>
    </row>
    <row r="3" spans="1:6">
      <c r="B3" s="651" t="s">
        <v>173</v>
      </c>
      <c r="C3" s="651"/>
      <c r="D3" s="651"/>
      <c r="E3" s="651"/>
      <c r="F3" s="651"/>
    </row>
    <row r="4" spans="1:6">
      <c r="B4" s="81" t="s">
        <v>174</v>
      </c>
      <c r="C4" s="81" t="s">
        <v>175</v>
      </c>
      <c r="D4" s="81" t="s">
        <v>176</v>
      </c>
      <c r="E4" s="81" t="s">
        <v>177</v>
      </c>
      <c r="F4" s="81" t="s">
        <v>178</v>
      </c>
    </row>
    <row r="5" spans="1:6">
      <c r="A5" s="181"/>
      <c r="B5" s="81">
        <v>1</v>
      </c>
      <c r="C5" s="81">
        <v>2</v>
      </c>
      <c r="D5" s="81">
        <v>3</v>
      </c>
      <c r="E5" s="81">
        <v>4</v>
      </c>
      <c r="F5" s="81">
        <v>5</v>
      </c>
    </row>
    <row r="6" spans="1:6">
      <c r="A6" s="81">
        <v>5</v>
      </c>
      <c r="B6" s="188">
        <v>0</v>
      </c>
      <c r="C6" s="188">
        <v>0</v>
      </c>
      <c r="D6" s="189">
        <v>2</v>
      </c>
      <c r="E6" s="189">
        <v>0</v>
      </c>
      <c r="F6" s="189">
        <v>0</v>
      </c>
    </row>
    <row r="7" spans="1:6">
      <c r="A7" s="81">
        <v>4</v>
      </c>
      <c r="B7" s="190">
        <v>2</v>
      </c>
      <c r="C7" s="188">
        <v>12</v>
      </c>
      <c r="D7" s="188">
        <v>22</v>
      </c>
      <c r="E7" s="189">
        <v>19</v>
      </c>
      <c r="F7" s="189">
        <v>0</v>
      </c>
    </row>
    <row r="8" spans="1:6">
      <c r="A8" s="81">
        <v>3</v>
      </c>
      <c r="B8" s="191">
        <v>3</v>
      </c>
      <c r="C8" s="190">
        <v>32</v>
      </c>
      <c r="D8" s="188">
        <v>86</v>
      </c>
      <c r="E8" s="189">
        <v>48</v>
      </c>
      <c r="F8" s="189">
        <v>2</v>
      </c>
    </row>
    <row r="9" spans="1:6">
      <c r="A9" s="81">
        <v>2</v>
      </c>
      <c r="B9" s="191">
        <v>12</v>
      </c>
      <c r="C9" s="191">
        <v>58</v>
      </c>
      <c r="D9" s="190">
        <v>70</v>
      </c>
      <c r="E9" s="188">
        <v>31</v>
      </c>
      <c r="F9" s="189">
        <v>11</v>
      </c>
    </row>
    <row r="10" spans="1:6">
      <c r="A10" s="81">
        <v>1</v>
      </c>
      <c r="B10" s="191">
        <v>35</v>
      </c>
      <c r="C10" s="191">
        <v>19</v>
      </c>
      <c r="D10" s="190">
        <v>25</v>
      </c>
      <c r="E10" s="188">
        <v>21</v>
      </c>
      <c r="F10" s="188">
        <v>16</v>
      </c>
    </row>
    <row r="14" spans="1:6" ht="15.75">
      <c r="C14" s="256" t="s">
        <v>179</v>
      </c>
      <c r="D14" s="256" t="s">
        <v>173</v>
      </c>
      <c r="E14" s="257" t="s">
        <v>155</v>
      </c>
    </row>
    <row r="15" spans="1:6">
      <c r="C15" s="81"/>
      <c r="D15" s="81"/>
      <c r="E15" s="2"/>
    </row>
    <row r="16" spans="1:6">
      <c r="C16" s="81"/>
      <c r="D16" s="81"/>
      <c r="E16" s="2"/>
    </row>
    <row r="17" spans="3:8">
      <c r="C17" s="81"/>
      <c r="D17" s="81"/>
      <c r="E17" s="2"/>
    </row>
    <row r="18" spans="3:8">
      <c r="C18" s="81"/>
      <c r="D18" s="81"/>
      <c r="E18" s="2"/>
    </row>
    <row r="19" spans="3:8">
      <c r="C19" s="81"/>
      <c r="D19" s="81"/>
      <c r="E19" s="2"/>
    </row>
    <row r="20" spans="3:8">
      <c r="C20" s="81"/>
      <c r="D20" s="81"/>
      <c r="E20" s="2"/>
    </row>
    <row r="21" spans="3:8">
      <c r="C21" s="81"/>
      <c r="D21" s="81"/>
      <c r="E21" s="2"/>
    </row>
    <row r="22" spans="3:8">
      <c r="C22" s="81"/>
      <c r="D22" s="81"/>
      <c r="E22" s="2"/>
    </row>
    <row r="23" spans="3:8">
      <c r="C23" s="81"/>
      <c r="D23" s="81"/>
      <c r="E23" s="2"/>
    </row>
    <row r="24" spans="3:8">
      <c r="C24" s="81"/>
      <c r="D24" s="81"/>
      <c r="E24" s="2"/>
    </row>
    <row r="25" spans="3:8">
      <c r="C25" s="81"/>
      <c r="D25" s="81"/>
      <c r="E25" s="2"/>
    </row>
    <row r="26" spans="3:8">
      <c r="C26" s="81"/>
      <c r="D26" s="81"/>
      <c r="E26" s="2"/>
      <c r="G26" s="648" t="s">
        <v>179</v>
      </c>
      <c r="H26" s="649">
        <v>5</v>
      </c>
    </row>
    <row r="27" spans="3:8">
      <c r="C27" s="81"/>
      <c r="D27" s="81"/>
      <c r="E27" s="2"/>
      <c r="G27" s="648"/>
      <c r="H27" s="649"/>
    </row>
    <row r="28" spans="3:8">
      <c r="C28" s="81"/>
      <c r="D28" s="81"/>
      <c r="E28" s="2"/>
      <c r="G28" s="648"/>
      <c r="H28" s="649"/>
    </row>
    <row r="29" spans="3:8">
      <c r="C29" s="81"/>
      <c r="D29" s="81"/>
      <c r="E29" s="2"/>
      <c r="G29" s="648"/>
      <c r="H29" s="649"/>
    </row>
    <row r="30" spans="3:8">
      <c r="C30" s="81"/>
      <c r="D30" s="81"/>
      <c r="E30" s="2"/>
      <c r="G30" s="648"/>
      <c r="H30" s="649"/>
    </row>
    <row r="31" spans="3:8">
      <c r="C31" s="81"/>
      <c r="D31" s="81"/>
      <c r="E31" s="2"/>
      <c r="G31" s="648"/>
      <c r="H31" s="649">
        <v>4</v>
      </c>
    </row>
    <row r="32" spans="3:8">
      <c r="C32" s="81"/>
      <c r="D32" s="81"/>
      <c r="E32" s="2"/>
      <c r="G32" s="648"/>
      <c r="H32" s="649"/>
    </row>
    <row r="33" spans="3:8">
      <c r="C33" s="81"/>
      <c r="D33" s="81"/>
      <c r="E33" s="2"/>
      <c r="G33" s="648"/>
      <c r="H33" s="649"/>
    </row>
    <row r="34" spans="3:8">
      <c r="C34" s="81"/>
      <c r="D34" s="81"/>
      <c r="E34" s="2"/>
      <c r="G34" s="648"/>
      <c r="H34" s="649"/>
    </row>
    <row r="35" spans="3:8">
      <c r="C35" s="81"/>
      <c r="D35" s="81"/>
      <c r="E35" s="2"/>
      <c r="G35" s="648"/>
      <c r="H35" s="649"/>
    </row>
    <row r="36" spans="3:8">
      <c r="C36" s="81"/>
      <c r="D36" s="81"/>
      <c r="E36" s="2"/>
      <c r="G36" s="648"/>
      <c r="H36" s="649">
        <v>3</v>
      </c>
    </row>
    <row r="37" spans="3:8">
      <c r="C37" s="81"/>
      <c r="D37" s="81"/>
      <c r="E37" s="2"/>
      <c r="G37" s="648"/>
      <c r="H37" s="649"/>
    </row>
    <row r="38" spans="3:8">
      <c r="C38" s="81"/>
      <c r="D38" s="81"/>
      <c r="E38" s="2"/>
      <c r="G38" s="648"/>
      <c r="H38" s="649"/>
    </row>
    <row r="39" spans="3:8">
      <c r="C39" s="81"/>
      <c r="D39" s="81"/>
      <c r="E39" s="2"/>
      <c r="G39" s="648"/>
      <c r="H39" s="649"/>
    </row>
    <row r="40" spans="3:8">
      <c r="G40" s="648"/>
      <c r="H40" s="649"/>
    </row>
    <row r="41" spans="3:8">
      <c r="G41" s="648"/>
      <c r="H41" s="649">
        <v>2</v>
      </c>
    </row>
    <row r="42" spans="3:8">
      <c r="G42" s="648"/>
      <c r="H42" s="649"/>
    </row>
    <row r="43" spans="3:8">
      <c r="G43" s="648"/>
      <c r="H43" s="649"/>
    </row>
    <row r="44" spans="3:8">
      <c r="G44" s="648"/>
      <c r="H44" s="649"/>
    </row>
    <row r="45" spans="3:8">
      <c r="G45" s="648"/>
      <c r="H45" s="649"/>
    </row>
    <row r="46" spans="3:8">
      <c r="G46" s="648"/>
      <c r="H46" s="649">
        <v>1</v>
      </c>
    </row>
    <row r="47" spans="3:8">
      <c r="G47" s="648"/>
      <c r="H47" s="649"/>
    </row>
    <row r="48" spans="3:8">
      <c r="G48" s="648"/>
      <c r="H48" s="649"/>
    </row>
    <row r="49" spans="7:10">
      <c r="G49" s="648"/>
      <c r="H49" s="649"/>
    </row>
    <row r="50" spans="7:10">
      <c r="G50" s="648"/>
      <c r="H50" s="649"/>
    </row>
    <row r="55" spans="7:10">
      <c r="H55" s="192"/>
      <c r="I55" s="649"/>
      <c r="J55" s="648"/>
    </row>
    <row r="56" spans="7:10">
      <c r="H56" s="192"/>
      <c r="I56" s="649"/>
      <c r="J56" s="648"/>
    </row>
    <row r="57" spans="7:10">
      <c r="H57" s="192"/>
      <c r="I57" s="649"/>
      <c r="J57" s="648"/>
    </row>
    <row r="58" spans="7:10">
      <c r="H58" s="192"/>
      <c r="I58" s="649"/>
      <c r="J58" s="648"/>
    </row>
    <row r="59" spans="7:10">
      <c r="H59" s="192"/>
      <c r="I59" s="649"/>
      <c r="J59" s="648"/>
    </row>
    <row r="60" spans="7:10">
      <c r="H60" s="192"/>
      <c r="I60" s="649"/>
      <c r="J60" s="648"/>
    </row>
    <row r="61" spans="7:10">
      <c r="H61" s="192"/>
      <c r="I61" s="649"/>
      <c r="J61" s="648"/>
    </row>
    <row r="62" spans="7:10">
      <c r="H62" s="192"/>
      <c r="I62" s="649"/>
      <c r="J62" s="648"/>
    </row>
    <row r="63" spans="7:10">
      <c r="H63" s="192"/>
      <c r="I63" s="649"/>
      <c r="J63" s="648"/>
    </row>
    <row r="64" spans="7:10">
      <c r="H64" s="192"/>
      <c r="I64" s="649"/>
      <c r="J64" s="648"/>
    </row>
    <row r="65" spans="8:11">
      <c r="H65" s="192"/>
      <c r="I65" s="649"/>
      <c r="J65" s="648"/>
    </row>
    <row r="66" spans="8:11">
      <c r="H66" s="192"/>
      <c r="I66" s="649"/>
      <c r="J66" s="648"/>
    </row>
    <row r="67" spans="8:11">
      <c r="H67" s="192"/>
      <c r="I67" s="649"/>
      <c r="J67" s="648"/>
    </row>
    <row r="68" spans="8:11">
      <c r="H68" s="192"/>
      <c r="I68" s="649"/>
      <c r="J68" s="648"/>
    </row>
    <row r="69" spans="8:11">
      <c r="H69" s="192"/>
      <c r="I69" s="649"/>
      <c r="J69" s="648"/>
    </row>
    <row r="70" spans="8:11">
      <c r="H70" s="192"/>
      <c r="I70" s="649"/>
      <c r="J70" s="648"/>
      <c r="K70" s="648" t="s">
        <v>180</v>
      </c>
    </row>
    <row r="71" spans="8:11">
      <c r="H71" s="192"/>
      <c r="I71" s="649"/>
      <c r="J71" s="648"/>
      <c r="K71" s="648"/>
    </row>
    <row r="72" spans="8:11">
      <c r="H72" s="192"/>
      <c r="I72" s="649"/>
      <c r="J72" s="648"/>
      <c r="K72" s="648"/>
    </row>
    <row r="73" spans="8:11">
      <c r="H73" s="192"/>
      <c r="I73" s="649"/>
      <c r="J73" s="648"/>
      <c r="K73" s="648"/>
    </row>
    <row r="74" spans="8:11">
      <c r="H74" s="192"/>
      <c r="I74" s="649"/>
      <c r="J74" s="648"/>
      <c r="K74" s="648"/>
    </row>
    <row r="75" spans="8:11">
      <c r="H75" s="192"/>
      <c r="I75" s="649"/>
      <c r="J75" s="648"/>
      <c r="K75" s="648"/>
    </row>
    <row r="76" spans="8:11">
      <c r="H76" s="192"/>
      <c r="I76" s="649"/>
      <c r="J76" s="648"/>
      <c r="K76" s="648"/>
    </row>
    <row r="77" spans="8:11">
      <c r="H77" s="192"/>
      <c r="I77" s="649"/>
      <c r="J77" s="648"/>
      <c r="K77" s="648"/>
    </row>
    <row r="78" spans="8:11">
      <c r="H78" s="192"/>
      <c r="I78" s="649"/>
      <c r="J78" s="648"/>
      <c r="K78" s="648"/>
    </row>
    <row r="79" spans="8:11">
      <c r="H79" s="192"/>
      <c r="I79" s="649"/>
      <c r="J79" s="648"/>
      <c r="K79" s="648"/>
    </row>
    <row r="80" spans="8:11">
      <c r="K80" s="648"/>
    </row>
    <row r="81" spans="11:11">
      <c r="K81" s="648"/>
    </row>
    <row r="82" spans="11:11">
      <c r="K82" s="648"/>
    </row>
    <row r="83" spans="11:11">
      <c r="K83" s="648"/>
    </row>
    <row r="84" spans="11:11">
      <c r="K84" s="648"/>
    </row>
    <row r="85" spans="11:11">
      <c r="K85" s="648"/>
    </row>
    <row r="86" spans="11:11">
      <c r="K86" s="648"/>
    </row>
    <row r="87" spans="11:11">
      <c r="K87" s="648"/>
    </row>
    <row r="88" spans="11:11">
      <c r="K88" s="648"/>
    </row>
    <row r="89" spans="11:11">
      <c r="K89" s="648"/>
    </row>
    <row r="90" spans="11:11">
      <c r="K90" s="648"/>
    </row>
    <row r="91" spans="11:11">
      <c r="K91" s="648"/>
    </row>
    <row r="92" spans="11:11">
      <c r="K92" s="648"/>
    </row>
    <row r="93" spans="11:11">
      <c r="K93" s="648"/>
    </row>
    <row r="94" spans="11:11">
      <c r="K94" s="648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U46"/>
  <sheetViews>
    <sheetView topLeftCell="A6" zoomScale="55" zoomScaleNormal="55" workbookViewId="0">
      <selection activeCell="T5" sqref="T5"/>
    </sheetView>
  </sheetViews>
  <sheetFormatPr baseColWidth="10" defaultRowHeight="15"/>
  <cols>
    <col min="1" max="1" width="3.140625" customWidth="1"/>
    <col min="2" max="2" width="50.140625" customWidth="1"/>
    <col min="3" max="3" width="33.7109375" customWidth="1"/>
    <col min="4" max="4" width="39.5703125" customWidth="1"/>
    <col min="5" max="5" width="21.710937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4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5.28515625" customWidth="1"/>
    <col min="16" max="16" width="15.42578125" customWidth="1"/>
    <col min="17" max="17" width="4.28515625" customWidth="1"/>
    <col min="18" max="18" width="4.42578125" customWidth="1"/>
    <col min="19" max="19" width="2.42578125" customWidth="1"/>
  </cols>
  <sheetData>
    <row r="1" spans="1:21" ht="21">
      <c r="A1" s="90"/>
      <c r="B1" s="656" t="s">
        <v>188</v>
      </c>
      <c r="C1" s="657"/>
      <c r="D1" s="657"/>
      <c r="E1" s="657"/>
      <c r="F1" s="657"/>
      <c r="G1" s="657"/>
      <c r="H1" s="657"/>
      <c r="I1" s="657"/>
      <c r="J1" s="657"/>
      <c r="K1" s="657"/>
      <c r="L1" s="657"/>
      <c r="M1" s="657"/>
      <c r="N1" s="657"/>
      <c r="O1" s="657"/>
      <c r="P1" s="658"/>
      <c r="Q1" s="90"/>
      <c r="R1" s="90"/>
      <c r="S1" s="90"/>
      <c r="T1" s="90"/>
      <c r="U1" s="90"/>
    </row>
    <row r="2" spans="1:21" ht="18.75" customHeight="1">
      <c r="A2" s="90"/>
      <c r="B2" s="652" t="s">
        <v>189</v>
      </c>
      <c r="C2" s="653"/>
      <c r="D2" s="653"/>
      <c r="E2" s="653"/>
      <c r="F2" s="653"/>
      <c r="G2" s="654" t="s">
        <v>234</v>
      </c>
      <c r="H2" s="654"/>
      <c r="I2" s="654"/>
      <c r="J2" s="654"/>
      <c r="K2" s="654"/>
      <c r="L2" s="654"/>
      <c r="M2" s="654"/>
      <c r="N2" s="654"/>
      <c r="O2" s="654"/>
      <c r="P2" s="655"/>
      <c r="Q2" s="90"/>
      <c r="R2" s="90"/>
      <c r="S2" s="90"/>
      <c r="T2" s="90"/>
      <c r="U2" s="90"/>
    </row>
    <row r="3" spans="1:21" ht="6" customHeight="1">
      <c r="A3" s="90"/>
      <c r="B3" s="237"/>
      <c r="C3" s="241"/>
      <c r="D3" s="240"/>
      <c r="E3" s="241"/>
      <c r="F3" s="240"/>
      <c r="G3" s="240"/>
      <c r="H3" s="240"/>
      <c r="I3" s="241"/>
      <c r="J3" s="242"/>
      <c r="K3" s="239"/>
      <c r="L3" s="237"/>
      <c r="M3" s="237"/>
      <c r="N3" s="237"/>
      <c r="O3" s="237"/>
      <c r="P3" s="238"/>
      <c r="Q3" s="90"/>
      <c r="R3" s="90"/>
      <c r="S3" s="90"/>
      <c r="T3" s="90"/>
      <c r="U3" s="90"/>
    </row>
    <row r="4" spans="1:21" ht="27.75" customHeight="1">
      <c r="A4" s="90"/>
      <c r="B4" s="111"/>
      <c r="C4" s="98"/>
      <c r="D4" s="98"/>
      <c r="E4" s="91"/>
      <c r="F4" s="91"/>
      <c r="G4" s="91"/>
      <c r="H4" s="88"/>
      <c r="I4" s="96"/>
      <c r="J4" s="243"/>
      <c r="K4" s="671" t="s">
        <v>230</v>
      </c>
      <c r="L4" s="671"/>
      <c r="M4" s="671"/>
      <c r="N4" s="671"/>
      <c r="O4" s="671"/>
      <c r="P4" s="671"/>
      <c r="Q4" s="90"/>
      <c r="R4" s="90"/>
      <c r="S4" s="90"/>
      <c r="T4" s="90"/>
      <c r="U4" s="90"/>
    </row>
    <row r="5" spans="1:21" ht="36" customHeight="1" thickBot="1">
      <c r="A5" s="90"/>
      <c r="B5" s="111"/>
      <c r="H5" s="87"/>
      <c r="I5" s="90"/>
      <c r="J5" s="244"/>
      <c r="K5" s="667" t="s">
        <v>191</v>
      </c>
      <c r="L5" s="667"/>
      <c r="M5" s="667" t="s">
        <v>194</v>
      </c>
      <c r="N5" s="667"/>
      <c r="O5" s="667" t="s">
        <v>195</v>
      </c>
      <c r="P5" s="667"/>
      <c r="Q5" s="88"/>
      <c r="R5" s="90"/>
      <c r="S5" s="90"/>
      <c r="T5" s="90"/>
      <c r="U5" s="90"/>
    </row>
    <row r="6" spans="1:21" ht="58.5" customHeight="1">
      <c r="A6" s="90"/>
      <c r="B6" s="87"/>
      <c r="H6" s="87"/>
      <c r="I6" s="90"/>
      <c r="J6" s="87"/>
      <c r="K6" s="682"/>
      <c r="L6" s="663"/>
      <c r="M6" s="662"/>
      <c r="N6" s="663"/>
      <c r="O6" s="662"/>
      <c r="P6" s="668"/>
      <c r="Q6" s="88"/>
      <c r="R6" s="90"/>
      <c r="S6" s="90"/>
      <c r="T6" s="90"/>
      <c r="U6" s="90"/>
    </row>
    <row r="7" spans="1:21" ht="50.25" customHeight="1">
      <c r="A7" s="90"/>
      <c r="C7" s="90"/>
      <c r="D7" s="90"/>
      <c r="E7" s="669"/>
      <c r="F7" s="670"/>
      <c r="G7" s="670"/>
      <c r="H7" s="670"/>
      <c r="I7" s="90"/>
      <c r="J7" s="111"/>
      <c r="K7" s="672"/>
      <c r="L7" s="665"/>
      <c r="M7" s="664"/>
      <c r="N7" s="665"/>
      <c r="O7" s="664"/>
      <c r="P7" s="666"/>
      <c r="Q7" s="88"/>
      <c r="R7" s="90"/>
      <c r="S7" s="90"/>
      <c r="T7" s="90"/>
      <c r="U7" s="90"/>
    </row>
    <row r="8" spans="1:21" ht="50.25" customHeight="1">
      <c r="A8" s="87"/>
      <c r="B8" s="90"/>
      <c r="C8" s="90"/>
      <c r="D8" s="90"/>
      <c r="I8" s="90"/>
      <c r="J8" s="87"/>
      <c r="K8" s="672"/>
      <c r="L8" s="665"/>
      <c r="M8" s="664"/>
      <c r="N8" s="665"/>
      <c r="O8" s="664"/>
      <c r="P8" s="666"/>
      <c r="Q8" s="88"/>
      <c r="R8" s="90"/>
      <c r="S8" s="90"/>
      <c r="T8" s="90"/>
      <c r="U8" s="90"/>
    </row>
    <row r="9" spans="1:21" ht="55.5" customHeight="1">
      <c r="A9" s="87"/>
      <c r="B9" s="90"/>
      <c r="C9" s="90"/>
      <c r="D9" s="90"/>
      <c r="I9" s="90"/>
      <c r="J9" s="111"/>
      <c r="K9" s="672"/>
      <c r="L9" s="665"/>
      <c r="M9" s="664"/>
      <c r="N9" s="665"/>
      <c r="O9" s="664"/>
      <c r="P9" s="666"/>
      <c r="Q9" s="88"/>
      <c r="R9" s="90"/>
      <c r="S9" s="90"/>
      <c r="T9" s="90"/>
      <c r="U9" s="90"/>
    </row>
    <row r="10" spans="1:21" ht="88.5" customHeight="1" thickBot="1">
      <c r="A10" s="87"/>
      <c r="B10" s="90"/>
      <c r="C10" s="90"/>
      <c r="D10" s="90"/>
      <c r="I10" s="90"/>
      <c r="J10" s="87"/>
      <c r="K10" s="672"/>
      <c r="L10" s="665"/>
      <c r="M10" s="664"/>
      <c r="N10" s="665"/>
      <c r="O10" s="664"/>
      <c r="P10" s="666"/>
      <c r="Q10" s="88"/>
      <c r="R10" s="90"/>
      <c r="S10" s="90"/>
      <c r="T10" s="90"/>
      <c r="U10" s="90"/>
    </row>
    <row r="11" spans="1:21" ht="44.25" customHeight="1">
      <c r="A11" s="87"/>
      <c r="B11" s="90"/>
      <c r="C11" s="90"/>
      <c r="D11" s="87"/>
      <c r="E11" s="659" t="s">
        <v>193</v>
      </c>
      <c r="F11" s="660"/>
      <c r="G11" s="660"/>
      <c r="H11" s="661"/>
      <c r="I11" s="88"/>
      <c r="J11" s="111"/>
      <c r="K11" s="672"/>
      <c r="L11" s="665"/>
      <c r="M11" s="664"/>
      <c r="N11" s="665"/>
      <c r="O11" s="664"/>
      <c r="P11" s="666"/>
      <c r="Q11" s="88"/>
      <c r="R11" s="90"/>
      <c r="S11" s="90"/>
      <c r="T11" s="90"/>
      <c r="U11" s="90"/>
    </row>
    <row r="12" spans="1:21" ht="47.25" customHeight="1" thickBot="1">
      <c r="A12" s="87"/>
      <c r="B12" s="90"/>
      <c r="C12" s="90"/>
      <c r="D12" s="87"/>
      <c r="E12" s="673" t="s">
        <v>191</v>
      </c>
      <c r="F12" s="674"/>
      <c r="G12" s="675"/>
      <c r="H12" s="444" t="s">
        <v>192</v>
      </c>
      <c r="I12" s="88"/>
      <c r="J12" s="111"/>
      <c r="K12" s="672"/>
      <c r="L12" s="665"/>
      <c r="M12" s="664"/>
      <c r="N12" s="665"/>
      <c r="O12" s="664"/>
      <c r="P12" s="666"/>
      <c r="Q12" s="88"/>
      <c r="R12" s="90"/>
      <c r="S12" s="90"/>
      <c r="T12" s="90"/>
      <c r="U12" s="90"/>
    </row>
    <row r="13" spans="1:21" ht="42" customHeight="1">
      <c r="A13" s="87"/>
      <c r="B13" s="90"/>
      <c r="C13" s="90"/>
      <c r="D13" s="87"/>
      <c r="E13" s="676" t="s">
        <v>209</v>
      </c>
      <c r="F13" s="677"/>
      <c r="G13" s="678"/>
      <c r="H13" s="309">
        <v>2</v>
      </c>
      <c r="I13" s="88"/>
      <c r="J13" s="87"/>
      <c r="K13" s="672"/>
      <c r="L13" s="665"/>
      <c r="M13" s="664"/>
      <c r="N13" s="665"/>
      <c r="O13" s="664"/>
      <c r="P13" s="666"/>
      <c r="Q13" s="88"/>
      <c r="R13" s="90"/>
      <c r="S13" s="90"/>
      <c r="T13" s="90"/>
      <c r="U13" s="90"/>
    </row>
    <row r="14" spans="1:21" ht="60.75" customHeight="1">
      <c r="A14" s="87"/>
      <c r="B14" s="90"/>
      <c r="C14" s="90"/>
      <c r="D14" s="87"/>
      <c r="E14" s="679" t="s">
        <v>207</v>
      </c>
      <c r="F14" s="680"/>
      <c r="G14" s="681"/>
      <c r="H14" s="310">
        <v>26</v>
      </c>
      <c r="I14" s="88"/>
      <c r="J14" s="95"/>
      <c r="K14" s="672"/>
      <c r="L14" s="665"/>
      <c r="M14" s="664"/>
      <c r="N14" s="665"/>
      <c r="O14" s="664"/>
      <c r="P14" s="666"/>
      <c r="Q14" s="88"/>
      <c r="R14" s="90"/>
      <c r="S14" s="90"/>
      <c r="T14" s="90"/>
      <c r="U14" s="90"/>
    </row>
    <row r="15" spans="1:21" ht="42" customHeight="1">
      <c r="A15" s="87"/>
      <c r="B15" s="90"/>
      <c r="C15" s="90"/>
      <c r="D15" s="87"/>
      <c r="E15" s="679" t="s">
        <v>208</v>
      </c>
      <c r="F15" s="680"/>
      <c r="G15" s="681"/>
      <c r="H15" s="310">
        <v>5</v>
      </c>
      <c r="I15" s="88"/>
      <c r="J15" s="87"/>
      <c r="K15" s="672"/>
      <c r="L15" s="665"/>
      <c r="M15" s="664"/>
      <c r="N15" s="665"/>
      <c r="O15" s="664"/>
      <c r="P15" s="666"/>
      <c r="Q15" s="88"/>
      <c r="R15" s="90"/>
      <c r="S15" s="90"/>
      <c r="T15" s="90"/>
      <c r="U15" s="90"/>
    </row>
    <row r="16" spans="1:21" ht="45.75" customHeight="1">
      <c r="A16" s="87"/>
      <c r="B16" s="90"/>
      <c r="C16" s="90"/>
      <c r="D16" s="87"/>
      <c r="E16" s="679" t="s">
        <v>210</v>
      </c>
      <c r="F16" s="680"/>
      <c r="G16" s="681"/>
      <c r="H16" s="310">
        <v>29</v>
      </c>
      <c r="I16" s="88"/>
      <c r="J16" s="111"/>
      <c r="K16" s="672"/>
      <c r="L16" s="665"/>
      <c r="M16" s="664"/>
      <c r="N16" s="665"/>
      <c r="O16" s="664"/>
      <c r="P16" s="666"/>
      <c r="Q16" s="88"/>
      <c r="R16" s="90"/>
      <c r="S16" s="90"/>
      <c r="T16" s="90"/>
      <c r="U16" s="90"/>
    </row>
    <row r="17" spans="1:21" ht="66" customHeight="1">
      <c r="A17" s="87"/>
      <c r="D17" s="106"/>
      <c r="E17" s="679" t="s">
        <v>211</v>
      </c>
      <c r="F17" s="680"/>
      <c r="G17" s="681"/>
      <c r="H17" s="310">
        <v>6</v>
      </c>
      <c r="I17" s="88"/>
      <c r="J17" s="111"/>
      <c r="K17" s="672"/>
      <c r="L17" s="665"/>
      <c r="M17" s="664"/>
      <c r="N17" s="665"/>
      <c r="O17" s="664"/>
      <c r="P17" s="666"/>
      <c r="Q17" s="88"/>
      <c r="R17" s="90"/>
      <c r="S17" s="90"/>
      <c r="T17" s="90"/>
      <c r="U17" s="90"/>
    </row>
    <row r="18" spans="1:21" ht="44.25" customHeight="1" thickBot="1">
      <c r="A18" s="87"/>
      <c r="C18" s="115"/>
      <c r="D18" s="87"/>
      <c r="E18" s="691" t="s">
        <v>212</v>
      </c>
      <c r="F18" s="692"/>
      <c r="G18" s="693"/>
      <c r="H18" s="311">
        <v>25</v>
      </c>
      <c r="I18" s="88"/>
      <c r="J18" s="87"/>
      <c r="K18" s="699"/>
      <c r="L18" s="698"/>
      <c r="M18" s="683"/>
      <c r="N18" s="698"/>
      <c r="O18" s="683"/>
      <c r="P18" s="684"/>
      <c r="Q18" s="88"/>
      <c r="R18" s="90"/>
      <c r="S18" s="87"/>
      <c r="T18" s="90"/>
      <c r="U18" s="90"/>
    </row>
    <row r="19" spans="1:21" ht="11.25" customHeight="1" thickBot="1">
      <c r="A19" s="87"/>
      <c r="B19" s="91"/>
      <c r="C19" s="111"/>
      <c r="D19" s="98"/>
      <c r="E19" s="252"/>
      <c r="F19" s="236"/>
      <c r="G19" s="236"/>
      <c r="H19" s="236"/>
      <c r="I19" s="98"/>
      <c r="J19" s="87"/>
      <c r="K19" s="279"/>
      <c r="L19" s="95"/>
      <c r="M19" s="117"/>
      <c r="O19" s="115"/>
      <c r="P19" s="301"/>
      <c r="Q19" s="88"/>
      <c r="R19" s="90"/>
      <c r="S19" s="87"/>
      <c r="T19" s="90"/>
      <c r="U19" s="90"/>
    </row>
    <row r="20" spans="1:21" ht="56.25" customHeight="1" thickBot="1">
      <c r="A20" s="87"/>
      <c r="B20" s="445" t="s">
        <v>190</v>
      </c>
      <c r="C20" s="446" t="s">
        <v>225</v>
      </c>
      <c r="D20" s="246"/>
      <c r="E20" s="98"/>
      <c r="F20" s="98"/>
      <c r="G20" s="98"/>
      <c r="H20" s="98"/>
      <c r="I20" s="98"/>
      <c r="J20" s="95"/>
      <c r="K20" s="302"/>
      <c r="L20" s="298"/>
      <c r="M20" s="90"/>
      <c r="N20" s="90"/>
      <c r="O20" s="88"/>
      <c r="P20" s="185"/>
      <c r="Q20" s="88"/>
      <c r="R20" s="90"/>
      <c r="T20" s="90"/>
      <c r="U20" s="90"/>
    </row>
    <row r="21" spans="1:21" ht="3.75" customHeight="1" thickBot="1">
      <c r="A21" s="87"/>
      <c r="B21" s="447"/>
      <c r="C21" s="448"/>
      <c r="D21" s="280"/>
      <c r="E21" s="278"/>
      <c r="F21" s="290"/>
      <c r="G21" s="287"/>
      <c r="H21" s="278"/>
      <c r="I21" s="284"/>
      <c r="J21" s="296"/>
      <c r="K21" s="303"/>
      <c r="L21" s="285"/>
      <c r="M21" s="87"/>
      <c r="N21" s="90"/>
      <c r="O21" s="88"/>
      <c r="P21" s="185"/>
      <c r="Q21" s="88"/>
      <c r="R21" s="90"/>
      <c r="T21" s="90"/>
      <c r="U21" s="90"/>
    </row>
    <row r="22" spans="1:21" ht="35.25" customHeight="1" thickBot="1">
      <c r="A22" s="87"/>
      <c r="B22" s="299"/>
      <c r="C22" s="300"/>
      <c r="D22" s="280"/>
      <c r="E22" s="289"/>
      <c r="F22" s="308" t="s">
        <v>193</v>
      </c>
      <c r="G22" s="288"/>
      <c r="H22" s="694" t="s">
        <v>196</v>
      </c>
      <c r="I22" s="695"/>
      <c r="J22" s="297"/>
      <c r="K22" s="304"/>
      <c r="L22" s="285"/>
      <c r="M22" s="115"/>
      <c r="N22" s="90"/>
      <c r="O22" s="88"/>
      <c r="P22" s="185"/>
      <c r="Q22" s="88"/>
      <c r="R22" s="90"/>
      <c r="T22" s="90"/>
      <c r="U22" s="90"/>
    </row>
    <row r="23" spans="1:21" ht="35.25" customHeight="1" thickBot="1">
      <c r="A23" s="87"/>
      <c r="B23" s="248"/>
      <c r="C23" s="249"/>
      <c r="D23" s="280"/>
      <c r="E23" s="282"/>
      <c r="F23" s="291">
        <f>SUM(H13:H18)</f>
        <v>93</v>
      </c>
      <c r="G23" s="281"/>
      <c r="H23" s="292">
        <f>SUM(C22:C27)</f>
        <v>0</v>
      </c>
      <c r="I23" s="283"/>
      <c r="J23" s="297"/>
      <c r="K23" s="305"/>
      <c r="L23" s="286"/>
      <c r="M23" s="306"/>
      <c r="N23" s="306"/>
      <c r="O23" s="88"/>
      <c r="P23" s="185"/>
      <c r="Q23" s="88"/>
      <c r="R23" s="90"/>
      <c r="T23" s="90"/>
      <c r="U23" s="90"/>
    </row>
    <row r="24" spans="1:21" ht="35.25" customHeight="1" thickBot="1">
      <c r="A24" s="87"/>
      <c r="B24" s="250"/>
      <c r="C24" s="251"/>
      <c r="D24" s="246"/>
      <c r="E24" s="117"/>
      <c r="F24" s="117"/>
      <c r="G24" s="90"/>
      <c r="H24" s="115"/>
      <c r="I24" s="115"/>
      <c r="J24" s="89"/>
      <c r="K24" s="279"/>
      <c r="L24" s="135"/>
      <c r="M24" s="136"/>
      <c r="N24" s="134"/>
      <c r="O24" s="91"/>
      <c r="P24" s="385"/>
      <c r="Q24" s="88"/>
      <c r="R24" s="90"/>
      <c r="T24" s="90"/>
      <c r="U24" s="90"/>
    </row>
    <row r="25" spans="1:21" ht="33" customHeight="1" thickBot="1">
      <c r="A25" s="87"/>
      <c r="B25" s="250"/>
      <c r="C25" s="251"/>
      <c r="D25" s="280"/>
      <c r="E25" s="186"/>
      <c r="F25" s="186"/>
      <c r="G25" s="98"/>
      <c r="I25" s="166"/>
      <c r="J25" s="87"/>
      <c r="K25" s="388" t="s">
        <v>227</v>
      </c>
      <c r="L25" s="184"/>
      <c r="M25" s="387"/>
      <c r="N25" s="390"/>
      <c r="O25" s="389"/>
      <c r="P25" s="284"/>
      <c r="Q25" s="88"/>
      <c r="R25" s="90"/>
      <c r="T25" s="90"/>
      <c r="U25" s="90"/>
    </row>
    <row r="26" spans="1:21" ht="44.25" customHeight="1">
      <c r="A26" s="87"/>
      <c r="B26" s="250"/>
      <c r="C26" s="251"/>
      <c r="D26" s="280"/>
      <c r="E26" s="294"/>
      <c r="F26" s="307" t="s">
        <v>197</v>
      </c>
      <c r="H26" s="696" t="s">
        <v>226</v>
      </c>
      <c r="I26" s="697"/>
      <c r="J26" s="386"/>
      <c r="K26" s="685" t="s">
        <v>229</v>
      </c>
      <c r="L26" s="686"/>
      <c r="M26" s="686"/>
      <c r="N26" s="687"/>
      <c r="O26" s="88"/>
      <c r="P26" s="185"/>
      <c r="Q26" s="88"/>
      <c r="R26" s="90"/>
      <c r="T26" s="90"/>
      <c r="U26" s="90"/>
    </row>
    <row r="27" spans="1:21" ht="36.75" customHeight="1" thickBot="1">
      <c r="A27" s="87"/>
      <c r="B27" s="253"/>
      <c r="C27" s="254"/>
      <c r="D27" s="246"/>
      <c r="E27" s="293"/>
      <c r="F27" s="295">
        <v>45657</v>
      </c>
      <c r="G27" s="86"/>
      <c r="H27" s="255">
        <f>COUNTA(O6:P27)</f>
        <v>0</v>
      </c>
      <c r="I27" s="247"/>
      <c r="J27" s="245"/>
      <c r="K27" s="688" t="s">
        <v>228</v>
      </c>
      <c r="L27" s="689"/>
      <c r="M27" s="689"/>
      <c r="N27" s="690"/>
      <c r="O27" s="186"/>
      <c r="P27" s="156"/>
      <c r="Q27" s="88"/>
      <c r="R27" s="90"/>
      <c r="T27" s="90"/>
      <c r="U27" s="90"/>
    </row>
    <row r="28" spans="1:21" ht="44.25" customHeight="1">
      <c r="A28" s="90"/>
      <c r="B28" s="117"/>
      <c r="C28" s="117"/>
      <c r="D28" s="117"/>
      <c r="E28" s="117"/>
      <c r="F28" s="95"/>
      <c r="G28" s="95"/>
      <c r="H28" s="95"/>
      <c r="I28" s="98"/>
      <c r="J28" s="111"/>
      <c r="K28" s="135"/>
      <c r="L28" s="117"/>
      <c r="M28" s="117"/>
      <c r="N28" s="313"/>
      <c r="O28" s="96"/>
      <c r="P28" s="115"/>
      <c r="Q28" s="90"/>
      <c r="R28" s="90"/>
      <c r="S28" s="87"/>
      <c r="T28" s="90"/>
      <c r="U28" s="90"/>
    </row>
    <row r="29" spans="1:21" ht="43.5" customHeight="1">
      <c r="A29" s="87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88"/>
      <c r="R29" s="90"/>
      <c r="S29" s="87"/>
      <c r="T29" s="90"/>
      <c r="U29" s="90"/>
    </row>
    <row r="30" spans="1:21" ht="45" customHeight="1">
      <c r="A30" s="87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88"/>
      <c r="R30" s="90"/>
      <c r="S30" s="90"/>
      <c r="T30" s="90"/>
      <c r="U30" s="90"/>
    </row>
    <row r="31" spans="1:21">
      <c r="A31" s="87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88"/>
      <c r="R31" s="90"/>
      <c r="S31" s="90"/>
      <c r="T31" s="90"/>
      <c r="U31" s="90"/>
    </row>
    <row r="32" spans="1:21">
      <c r="A32" s="87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88"/>
      <c r="R32" s="90"/>
      <c r="S32" s="90"/>
      <c r="T32" s="90"/>
      <c r="U32" s="90"/>
    </row>
    <row r="33" spans="1:21">
      <c r="A33" s="87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88"/>
      <c r="R33" s="90"/>
      <c r="S33" s="90"/>
      <c r="T33" s="90"/>
      <c r="U33" s="90"/>
    </row>
    <row r="34" spans="1:21">
      <c r="A34" s="87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88"/>
      <c r="R34" s="90"/>
      <c r="S34" s="90"/>
      <c r="T34" s="90"/>
      <c r="U34" s="90"/>
    </row>
    <row r="35" spans="1:21">
      <c r="A35" s="87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88"/>
      <c r="R35" s="90"/>
      <c r="S35" s="90"/>
      <c r="T35" s="90"/>
      <c r="U35" s="90"/>
    </row>
    <row r="36" spans="1:21">
      <c r="A36" s="87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88"/>
      <c r="R36" s="90"/>
      <c r="S36" s="90"/>
      <c r="T36" s="90"/>
      <c r="U36" s="90"/>
    </row>
    <row r="37" spans="1:21">
      <c r="A37" s="87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88"/>
      <c r="R37" s="90"/>
      <c r="S37" s="90"/>
      <c r="T37" s="90"/>
      <c r="U37" s="90"/>
    </row>
    <row r="38" spans="1:21">
      <c r="A38" s="87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88"/>
      <c r="R38" s="90"/>
      <c r="S38" s="90"/>
      <c r="T38" s="90"/>
      <c r="U38" s="90"/>
    </row>
    <row r="39" spans="1:21">
      <c r="A39" s="87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88"/>
      <c r="R39" s="90"/>
      <c r="S39" s="90"/>
      <c r="T39" s="90"/>
      <c r="U39" s="90"/>
    </row>
    <row r="40" spans="1:21">
      <c r="A40" s="87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88"/>
      <c r="R40" s="90"/>
      <c r="S40" s="90"/>
      <c r="T40" s="90"/>
      <c r="U40" s="90"/>
    </row>
    <row r="41" spans="1:21">
      <c r="A41" s="87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88"/>
      <c r="R41" s="90"/>
      <c r="S41" s="90"/>
      <c r="T41" s="90"/>
      <c r="U41" s="90"/>
    </row>
    <row r="42" spans="1:21">
      <c r="A42" s="87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88"/>
      <c r="R42" s="90"/>
      <c r="S42" s="90"/>
      <c r="T42" s="90"/>
      <c r="U42" s="90"/>
    </row>
    <row r="43" spans="1:21">
      <c r="A43" s="87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88"/>
      <c r="R43" s="90"/>
      <c r="S43" s="90"/>
      <c r="T43" s="90"/>
      <c r="U43" s="90"/>
    </row>
    <row r="44" spans="1:21">
      <c r="A44" s="87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88"/>
      <c r="R44" s="90"/>
      <c r="S44" s="90"/>
      <c r="T44" s="90"/>
      <c r="U44" s="90"/>
    </row>
    <row r="45" spans="1:21">
      <c r="A45" s="87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88"/>
      <c r="R45" s="90"/>
      <c r="S45" s="90"/>
      <c r="T45" s="90"/>
      <c r="U45" s="90"/>
    </row>
    <row r="46" spans="1:21">
      <c r="A46" s="87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88"/>
      <c r="R46" s="90"/>
      <c r="S46" s="90"/>
      <c r="T46" s="90"/>
      <c r="U46" s="90"/>
    </row>
  </sheetData>
  <mergeCells count="59">
    <mergeCell ref="K26:N26"/>
    <mergeCell ref="K27:N27"/>
    <mergeCell ref="E17:G17"/>
    <mergeCell ref="E18:G18"/>
    <mergeCell ref="E15:G15"/>
    <mergeCell ref="H22:I22"/>
    <mergeCell ref="H26:I26"/>
    <mergeCell ref="M17:N17"/>
    <mergeCell ref="M18:N18"/>
    <mergeCell ref="K17:L17"/>
    <mergeCell ref="K18:L18"/>
    <mergeCell ref="K15:L15"/>
    <mergeCell ref="O18:P18"/>
    <mergeCell ref="O17:P17"/>
    <mergeCell ref="O16:P16"/>
    <mergeCell ref="O15:P15"/>
    <mergeCell ref="M12:N12"/>
    <mergeCell ref="M13:N13"/>
    <mergeCell ref="M14:N14"/>
    <mergeCell ref="O12:P12"/>
    <mergeCell ref="O13:P13"/>
    <mergeCell ref="O14:P14"/>
    <mergeCell ref="K6:L6"/>
    <mergeCell ref="K7:L7"/>
    <mergeCell ref="K8:L8"/>
    <mergeCell ref="K9:L9"/>
    <mergeCell ref="K10:L10"/>
    <mergeCell ref="M11:N11"/>
    <mergeCell ref="E7:H7"/>
    <mergeCell ref="K4:P4"/>
    <mergeCell ref="M15:N15"/>
    <mergeCell ref="K16:L16"/>
    <mergeCell ref="M8:N8"/>
    <mergeCell ref="M9:N9"/>
    <mergeCell ref="E12:G12"/>
    <mergeCell ref="E13:G13"/>
    <mergeCell ref="E14:G14"/>
    <mergeCell ref="E16:G16"/>
    <mergeCell ref="M16:N16"/>
    <mergeCell ref="K11:L11"/>
    <mergeCell ref="K12:L12"/>
    <mergeCell ref="K13:L13"/>
    <mergeCell ref="K14:L14"/>
    <mergeCell ref="B2:F2"/>
    <mergeCell ref="G2:P2"/>
    <mergeCell ref="B1:P1"/>
    <mergeCell ref="E11:H11"/>
    <mergeCell ref="M6:N6"/>
    <mergeCell ref="M7:N7"/>
    <mergeCell ref="O10:P10"/>
    <mergeCell ref="O11:P11"/>
    <mergeCell ref="M5:N5"/>
    <mergeCell ref="K5:L5"/>
    <mergeCell ref="O5:P5"/>
    <mergeCell ref="O6:P6"/>
    <mergeCell ref="O7:P7"/>
    <mergeCell ref="O8:P8"/>
    <mergeCell ref="O9:P9"/>
    <mergeCell ref="M10:N10"/>
  </mergeCells>
  <phoneticPr fontId="32" type="noConversion"/>
  <printOptions horizontalCentered="1" verticalCentered="1"/>
  <pageMargins left="0" right="0" top="0" bottom="0" header="0" footer="0"/>
  <pageSetup paperSize="5" scale="55" fitToWidth="0" orientation="landscape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4"/>
  <sheetViews>
    <sheetView workbookViewId="0">
      <selection activeCell="A3" sqref="A3:D14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312" t="s">
        <v>198</v>
      </c>
      <c r="B2" s="312" t="s">
        <v>199</v>
      </c>
      <c r="C2" s="312" t="s">
        <v>200</v>
      </c>
      <c r="D2" s="312" t="s">
        <v>201</v>
      </c>
    </row>
    <row r="3" spans="1:4" ht="58.5" customHeight="1">
      <c r="A3" s="441"/>
      <c r="B3" s="437"/>
      <c r="C3" s="443"/>
      <c r="D3" s="443"/>
    </row>
    <row r="4" spans="1:4" ht="68.25" customHeight="1">
      <c r="A4" s="442"/>
      <c r="B4" s="438"/>
      <c r="C4" s="443"/>
      <c r="D4" s="443"/>
    </row>
    <row r="5" spans="1:4" ht="47.25" customHeight="1">
      <c r="A5" s="442"/>
      <c r="B5" s="437"/>
      <c r="C5" s="443"/>
      <c r="D5" s="443"/>
    </row>
    <row r="6" spans="1:4" ht="45" customHeight="1">
      <c r="A6" s="442"/>
      <c r="B6" s="438"/>
      <c r="C6" s="443"/>
      <c r="D6" s="443"/>
    </row>
    <row r="7" spans="1:4" ht="66" customHeight="1">
      <c r="A7" s="442"/>
      <c r="B7" s="437"/>
      <c r="C7" s="443"/>
      <c r="D7" s="443"/>
    </row>
    <row r="8" spans="1:4" ht="48.75" customHeight="1">
      <c r="A8" s="442"/>
      <c r="B8" s="438"/>
      <c r="C8" s="443"/>
      <c r="D8" s="443"/>
    </row>
    <row r="9" spans="1:4" ht="52.5" customHeight="1">
      <c r="A9" s="442"/>
      <c r="B9" s="437"/>
      <c r="C9" s="443"/>
      <c r="D9" s="443"/>
    </row>
    <row r="10" spans="1:4" ht="32.25" customHeight="1">
      <c r="A10" s="442"/>
      <c r="B10" s="438"/>
      <c r="C10" s="443"/>
      <c r="D10" s="443"/>
    </row>
    <row r="11" spans="1:4" ht="14.25" customHeight="1">
      <c r="A11" s="442"/>
      <c r="B11" s="437"/>
      <c r="C11" s="443"/>
      <c r="D11" s="443"/>
    </row>
    <row r="12" spans="1:4">
      <c r="A12" s="442"/>
      <c r="B12" s="439"/>
      <c r="C12" s="443"/>
      <c r="D12" s="443"/>
    </row>
    <row r="13" spans="1:4">
      <c r="A13" s="442"/>
      <c r="B13" s="438"/>
      <c r="C13" s="443"/>
      <c r="D13" s="443"/>
    </row>
    <row r="14" spans="1:4">
      <c r="A14" s="442"/>
      <c r="B14" s="440"/>
      <c r="C14" s="443"/>
      <c r="D14" s="4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3E8CA1-0683-49D4-9501-EE88776F2630}">
  <ds:schemaRefs>
    <ds:schemaRef ds:uri="http://schemas.openxmlformats.org/package/2006/metadata/core-properties"/>
    <ds:schemaRef ds:uri="http://schemas.microsoft.com/office/2006/metadata/properties"/>
    <ds:schemaRef ds:uri="954542bb-2825-439d-9db6-a5c04d3b21fd"/>
    <ds:schemaRef ds:uri="cc851cf5-9d25-4af0-b62f-d23d0a4f5e5c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6</vt:i4>
      </vt:variant>
    </vt:vector>
  </HeadingPairs>
  <TitlesOfParts>
    <vt:vector size="19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Gestión de riesgos</vt:lpstr>
      <vt:lpstr>data_riesgos</vt:lpstr>
      <vt:lpstr>programas sociales</vt:lpstr>
      <vt:lpstr>datos_graficos</vt:lpstr>
      <vt:lpstr>'03-  ESTADO REGIONES'!Área_de_impresión</vt:lpstr>
      <vt:lpstr>'Convenios ADP'!Área_de_impresión</vt:lpstr>
      <vt:lpstr>'Ev Proveedores'!Área_de_impresión</vt:lpstr>
      <vt:lpstr>'Gestión de riesgos'!Área_de_impresión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2025-05-13T14:16:56Z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