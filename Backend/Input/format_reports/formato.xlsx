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hidePivotFieldList="1" defaultThemeVersion="124226"/>
  <xr:revisionPtr revIDLastSave="0" documentId="13_ncr:1_{245CB1D9-3D31-488F-BBE7-5EE039F2C401}" xr6:coauthVersionLast="47" xr6:coauthVersionMax="47" xr10:uidLastSave="{00000000-0000-0000-0000-000000000000}"/>
  <bookViews>
    <workbookView xWindow="-120" yWindow="-120" windowWidth="20730" windowHeight="11040" tabRatio="719" firstSheet="7" activeTab="12" xr2:uid="{00000000-000D-0000-FFFF-FFFF00000000}"/>
  </bookViews>
  <sheets>
    <sheet name="Portada" sheetId="52" r:id="rId1"/>
    <sheet name="01-PANEL" sheetId="35" r:id="rId2"/>
    <sheet name="data_panel" sheetId="36" state="hidden" r:id="rId3"/>
    <sheet name="02-ESTADO NC" sheetId="20" r:id="rId4"/>
    <sheet name="03-  ESTADO REGIONES" sheetId="32" r:id="rId5"/>
    <sheet name="data_status_NC" sheetId="33" state="hidden" r:id="rId6"/>
    <sheet name="data_status_reg" sheetId="46" state="hidden" r:id="rId7"/>
    <sheet name="Ev Proveedores" sheetId="43" r:id="rId8"/>
    <sheet name="Convenios ADP" sheetId="45" r:id="rId9"/>
    <sheet name="Convenios ADP_II" sheetId="54" r:id="rId10"/>
    <sheet name="Gestión de riesgos" sheetId="48" r:id="rId11"/>
    <sheet name="data_riesgos" sheetId="49" state="hidden" r:id="rId12"/>
    <sheet name="programas sociales" sheetId="50" r:id="rId13"/>
    <sheet name="Planes de tratamientos" sheetId="55" state="hidden" r:id="rId14"/>
    <sheet name="Planes tratamientos" sheetId="53" state="hidden" r:id="rId15"/>
    <sheet name="datos_graficos" sheetId="51" state="hidden" r:id="rId16"/>
  </sheets>
  <definedNames>
    <definedName name="_xlnm.Print_Area" localSheetId="4">'03-  ESTADO REGIONES'!$A$1:$R$23</definedName>
    <definedName name="_xlnm.Print_Area" localSheetId="8">'Convenios ADP'!$A$1:$L$23</definedName>
    <definedName name="_xlnm.Print_Area" localSheetId="9">'Convenios ADP_II'!$A$1:$L$20</definedName>
    <definedName name="_xlnm.Print_Area" localSheetId="7">'Ev Proveedores'!$B$2:$O$34</definedName>
    <definedName name="_xlnm.Print_Area" localSheetId="10">'Gestión de riesgos'!$A$1:$AA$48</definedName>
    <definedName name="_xlnm.Print_Area" localSheetId="13">'Planes de tratamientos'!$A$1:$O$37</definedName>
    <definedName name="_xlnm.Print_Area" localSheetId="0">Portada!$B$1:$J$21</definedName>
    <definedName name="_xlnm.Print_Area" localSheetId="12">'programas sociales'!$B$1:$O$29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3" l="1"/>
  <c r="D49" i="33"/>
  <c r="D50" i="33"/>
  <c r="D51" i="33"/>
  <c r="D52" i="33"/>
  <c r="D53" i="33"/>
  <c r="D47" i="33"/>
  <c r="D40" i="33"/>
  <c r="D41" i="33"/>
  <c r="D42" i="33"/>
  <c r="D43" i="33"/>
  <c r="D44" i="33"/>
  <c r="D45" i="33"/>
  <c r="D39" i="33"/>
  <c r="D33" i="33"/>
  <c r="D34" i="33"/>
  <c r="D35" i="33"/>
  <c r="D36" i="33"/>
  <c r="D37" i="33"/>
  <c r="D32" i="33"/>
  <c r="D24" i="33"/>
  <c r="D25" i="33"/>
  <c r="D26" i="33"/>
  <c r="D27" i="33"/>
  <c r="D28" i="33"/>
  <c r="D29" i="33"/>
  <c r="D30" i="33"/>
  <c r="D23" i="33"/>
  <c r="D19" i="33"/>
  <c r="D20" i="33"/>
  <c r="D21" i="33"/>
  <c r="D18" i="33"/>
  <c r="D14" i="33"/>
  <c r="D15" i="33"/>
  <c r="D16" i="33"/>
  <c r="D13" i="33"/>
  <c r="D8" i="33"/>
  <c r="D9" i="33"/>
  <c r="D10" i="33"/>
  <c r="D11" i="33"/>
  <c r="D7" i="33"/>
  <c r="D4" i="33"/>
  <c r="D5" i="33"/>
  <c r="D3" i="33"/>
  <c r="C21" i="55"/>
  <c r="B21" i="55"/>
  <c r="A21" i="55"/>
  <c r="F25" i="55"/>
  <c r="N7" i="55" s="1"/>
  <c r="E15" i="55"/>
  <c r="K7" i="55" s="1"/>
  <c r="E14" i="55"/>
  <c r="E13" i="55"/>
  <c r="E7" i="55" s="1"/>
  <c r="B7" i="55" l="1"/>
  <c r="H21" i="50"/>
  <c r="C22" i="50"/>
  <c r="T23" i="53"/>
  <c r="U23" i="53"/>
  <c r="V23" i="53"/>
  <c r="W23" i="53"/>
  <c r="X23" i="53"/>
  <c r="Y23" i="53"/>
  <c r="Z23" i="53"/>
  <c r="AA23" i="53"/>
  <c r="AB23" i="53"/>
  <c r="AC23" i="53"/>
  <c r="AD23" i="53"/>
  <c r="AE23" i="53"/>
  <c r="AF23" i="53"/>
  <c r="T15" i="53"/>
  <c r="U15" i="53"/>
  <c r="V15" i="53"/>
  <c r="W15" i="53"/>
  <c r="X15" i="53"/>
  <c r="Y15" i="53"/>
  <c r="Z15" i="53"/>
  <c r="AA15" i="53"/>
  <c r="AB15" i="53"/>
  <c r="AC15" i="53"/>
  <c r="AD15" i="53"/>
  <c r="AE15" i="53"/>
  <c r="AF15" i="53"/>
  <c r="T19" i="53"/>
  <c r="U19" i="53"/>
  <c r="V19" i="53"/>
  <c r="W19" i="53"/>
  <c r="X19" i="53"/>
  <c r="Y19" i="53"/>
  <c r="Z19" i="53"/>
  <c r="AA19" i="53"/>
  <c r="AB19" i="53"/>
  <c r="AC19" i="53"/>
  <c r="AD19" i="53"/>
  <c r="AE19" i="53"/>
  <c r="AF19" i="53"/>
  <c r="T13" i="53"/>
  <c r="U13" i="53"/>
  <c r="V13" i="53"/>
  <c r="W13" i="53"/>
  <c r="X13" i="53"/>
  <c r="Y13" i="53"/>
  <c r="Z13" i="53"/>
  <c r="AA13" i="53"/>
  <c r="AB13" i="53"/>
  <c r="AC13" i="53"/>
  <c r="AD13" i="53"/>
  <c r="AE13" i="53"/>
  <c r="AF13" i="53"/>
  <c r="T14" i="53"/>
  <c r="U14" i="53"/>
  <c r="V14" i="53"/>
  <c r="W14" i="53"/>
  <c r="X14" i="53"/>
  <c r="Y14" i="53"/>
  <c r="Z14" i="53"/>
  <c r="AA14" i="53"/>
  <c r="AB14" i="53"/>
  <c r="AC14" i="53"/>
  <c r="AD14" i="53"/>
  <c r="AE14" i="53"/>
  <c r="AF14" i="53"/>
  <c r="T17" i="53"/>
  <c r="U17" i="53"/>
  <c r="V17" i="53"/>
  <c r="W17" i="53"/>
  <c r="X17" i="53"/>
  <c r="Y17" i="53"/>
  <c r="Z17" i="53"/>
  <c r="AA17" i="53"/>
  <c r="AB17" i="53"/>
  <c r="AC17" i="53"/>
  <c r="AD17" i="53"/>
  <c r="AE17" i="53"/>
  <c r="AF17" i="53"/>
  <c r="T18" i="53"/>
  <c r="U18" i="53"/>
  <c r="V18" i="53"/>
  <c r="W18" i="53"/>
  <c r="X18" i="53"/>
  <c r="Y18" i="53"/>
  <c r="Z18" i="53"/>
  <c r="AA18" i="53"/>
  <c r="AB18" i="53"/>
  <c r="AC18" i="53"/>
  <c r="AD18" i="53"/>
  <c r="AE18" i="53"/>
  <c r="AF18" i="53"/>
  <c r="T21" i="53"/>
  <c r="U21" i="53"/>
  <c r="V21" i="53"/>
  <c r="W21" i="53"/>
  <c r="X21" i="53"/>
  <c r="Y21" i="53"/>
  <c r="Z21" i="53"/>
  <c r="AA21" i="53"/>
  <c r="AB21" i="53"/>
  <c r="AC21" i="53"/>
  <c r="AD21" i="53"/>
  <c r="AE21" i="53"/>
  <c r="AF21" i="53"/>
  <c r="T22" i="53"/>
  <c r="U22" i="53"/>
  <c r="V22" i="53"/>
  <c r="W22" i="53"/>
  <c r="X22" i="53"/>
  <c r="Y22" i="53"/>
  <c r="Z22" i="53"/>
  <c r="AA22" i="53"/>
  <c r="AB22" i="53"/>
  <c r="AC22" i="53"/>
  <c r="AD22" i="53"/>
  <c r="AE22" i="53"/>
  <c r="AF22" i="53"/>
  <c r="S19" i="53"/>
  <c r="S23" i="53"/>
  <c r="S15" i="53"/>
  <c r="S21" i="53"/>
  <c r="S17" i="53"/>
  <c r="S13" i="53"/>
  <c r="S22" i="53"/>
  <c r="S14" i="53"/>
  <c r="S18" i="53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6" i="32"/>
  <c r="C8" i="35"/>
  <c r="D25" i="35"/>
  <c r="O38" i="48" l="1"/>
  <c r="H33" i="48" s="1"/>
  <c r="Q38" i="48"/>
  <c r="S38" i="48"/>
  <c r="H39" i="48" s="1"/>
  <c r="T38" i="48"/>
  <c r="V38" i="48"/>
  <c r="H45" i="48" s="1"/>
  <c r="W38" i="48"/>
  <c r="Y38" i="48"/>
  <c r="H27" i="48" s="1"/>
  <c r="X23" i="48"/>
  <c r="V23" i="48"/>
  <c r="T23" i="48"/>
  <c r="R23" i="48"/>
  <c r="X7" i="48" s="1"/>
  <c r="O23" i="48"/>
  <c r="S7" i="48" s="1"/>
  <c r="L23" i="48"/>
  <c r="N7" i="48" s="1"/>
  <c r="I23" i="48"/>
  <c r="H7" i="48" s="1"/>
  <c r="D6" i="32"/>
  <c r="R10" i="35"/>
  <c r="D13" i="35" s="1"/>
  <c r="R11" i="35"/>
  <c r="D14" i="35" s="1"/>
  <c r="R12" i="35"/>
  <c r="D12" i="35" s="1"/>
  <c r="R13" i="35"/>
  <c r="D11" i="35" s="1"/>
  <c r="D26" i="35"/>
  <c r="M21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6" i="32"/>
  <c r="J21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6" i="32"/>
  <c r="G20" i="32"/>
  <c r="G19" i="32"/>
  <c r="G7" i="32"/>
  <c r="G8" i="32"/>
  <c r="G9" i="32"/>
  <c r="G10" i="32"/>
  <c r="G11" i="32"/>
  <c r="G12" i="32"/>
  <c r="G13" i="32"/>
  <c r="G14" i="32"/>
  <c r="G15" i="32"/>
  <c r="G16" i="32"/>
  <c r="G17" i="32"/>
  <c r="G6" i="32"/>
  <c r="D21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O14" i="35"/>
  <c r="D28" i="35"/>
  <c r="D27" i="35"/>
  <c r="M14" i="35"/>
  <c r="K14" i="35"/>
  <c r="O45" i="48" l="1"/>
  <c r="R14" i="35"/>
  <c r="D15" i="35" s="1"/>
  <c r="D29" i="35"/>
</calcChain>
</file>

<file path=xl/sharedStrings.xml><?xml version="1.0" encoding="utf-8"?>
<sst xmlns="http://schemas.openxmlformats.org/spreadsheetml/2006/main" count="783" uniqueCount="341">
  <si>
    <t>SUBSECRETARÍA DE EDUCACIÓN</t>
  </si>
  <si>
    <t>TIPO</t>
  </si>
  <si>
    <t>RIESGO BAJO</t>
  </si>
  <si>
    <t>RIESGO MEDIO</t>
  </si>
  <si>
    <t>RIESGO ALTO</t>
  </si>
  <si>
    <t>TOTAL INDICADORES</t>
  </si>
  <si>
    <t>PMG</t>
  </si>
  <si>
    <t>H</t>
  </si>
  <si>
    <t>CDC NIVEL CENTRAL</t>
  </si>
  <si>
    <t>CDC REGIONES</t>
  </si>
  <si>
    <t>TOTAL</t>
  </si>
  <si>
    <t>Total general</t>
  </si>
  <si>
    <t>INDICADORES CON RIESGO</t>
  </si>
  <si>
    <t>Bajo</t>
  </si>
  <si>
    <t>Medio</t>
  </si>
  <si>
    <t>Alto</t>
  </si>
  <si>
    <t>DAG</t>
  </si>
  <si>
    <t>DIPLAP</t>
  </si>
  <si>
    <t>CPEIP</t>
  </si>
  <si>
    <t>DEG</t>
  </si>
  <si>
    <t>UCE</t>
  </si>
  <si>
    <t>CDC</t>
  </si>
  <si>
    <t>Jurídica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</si>
  <si>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</si>
  <si>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</si>
  <si>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</si>
  <si>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</si>
  <si>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</si>
  <si>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</si>
  <si>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</si>
  <si>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</si>
  <si>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Araucanía</t>
  </si>
  <si>
    <t>Los Lagos</t>
  </si>
  <si>
    <t>Aysén</t>
  </si>
  <si>
    <t>Magallanes</t>
  </si>
  <si>
    <t>Metropolitana</t>
  </si>
  <si>
    <t>Los Ríos</t>
  </si>
  <si>
    <t>Arica y Parinacota</t>
  </si>
  <si>
    <t>Ñuble</t>
  </si>
  <si>
    <t>Variable</t>
  </si>
  <si>
    <t>Valor Informe Mes</t>
  </si>
  <si>
    <t>Gabinete Ministro</t>
  </si>
  <si>
    <t>CDC: Auditorías del Plan Anual de Auditoría</t>
  </si>
  <si>
    <t>CDC: Solicitudes de información respondidas</t>
  </si>
  <si>
    <t>CDC: Documentos publicados en web Centro de Estudios</t>
  </si>
  <si>
    <t>Gabinete Subsecretaria</t>
  </si>
  <si>
    <t>CDC: Solicitudes de certificados de estudio</t>
  </si>
  <si>
    <t xml:space="preserve">CDC: Acciones formativas del Centro de Innovación </t>
  </si>
  <si>
    <t>CDC: Compra de equipamiento</t>
  </si>
  <si>
    <t xml:space="preserve">PMG: Sistema Calidad de Servicio y Experiencia </t>
  </si>
  <si>
    <t>H: Provincias que participan de acciones de CPEIP</t>
  </si>
  <si>
    <t>CDC: Inscipción para completar los estudios</t>
  </si>
  <si>
    <t>CDC: Acciones plan de difusión</t>
  </si>
  <si>
    <t>CDC: Procesos de validación de estudios</t>
  </si>
  <si>
    <t xml:space="preserve">CDC: Tickets de atención resueltos </t>
  </si>
  <si>
    <t>CDC: Sitios web con certificados de sitio seguro</t>
  </si>
  <si>
    <t>CDC: Sistemas definidos como críticos</t>
  </si>
  <si>
    <t>CDC: Asistencia vía SIGE</t>
  </si>
  <si>
    <t>CDC: Transacciones a través del sistema SIGPA</t>
  </si>
  <si>
    <t>CDC: Procesos documentados URAE</t>
  </si>
  <si>
    <t>PMG: Concentración del Gasto</t>
  </si>
  <si>
    <t>PMG: Transformación Digital</t>
  </si>
  <si>
    <t>CDC: Solicitudes de beneficios y/o préstamos</t>
  </si>
  <si>
    <t>CDC: Expedientes de compras</t>
  </si>
  <si>
    <t>CDC: Cierres contables oportunos</t>
  </si>
  <si>
    <t>CDC: Contratos nuevos a honorarios NC</t>
  </si>
  <si>
    <t>PMG: Sistema Estado Verde</t>
  </si>
  <si>
    <t>CDC: Recursos de Lectura, Aprendizaje y Bibliotecas</t>
  </si>
  <si>
    <t>CDC: Ejecución del plan de Desarrollo Curricular</t>
  </si>
  <si>
    <t>CDC: Difusión de instrumentos curriculares</t>
  </si>
  <si>
    <t>CDC: Modernización de textos escolares</t>
  </si>
  <si>
    <t>CDC: Ejecución del plan de Evaluación y Estándares</t>
  </si>
  <si>
    <t>H: Textos Escolares entregados</t>
  </si>
  <si>
    <t>CDC: Recursos de apelación, reclamación</t>
  </si>
  <si>
    <t xml:space="preserve">CDC: Actos administrativos con una Licitación Pública </t>
  </si>
  <si>
    <t>CDC: Propuestas de convenios o reformulación</t>
  </si>
  <si>
    <t>CDC: Actos administrativos que transfieren recursos</t>
  </si>
  <si>
    <t>CDC: Actos administrativos artículo 11 de la Ley N°20.159</t>
  </si>
  <si>
    <t>CDC: Actos administrativos Bases Admin. y Técnicas</t>
  </si>
  <si>
    <t>CDC: Defensas a recursos de protección</t>
  </si>
  <si>
    <t>REGIONES : ESTADO RIESGO INDICADORES POR CR AL CIERRE:</t>
  </si>
  <si>
    <t>REGIÓN</t>
  </si>
  <si>
    <t xml:space="preserve">CDC: Acciones del plan regional ejecutadas </t>
  </si>
  <si>
    <t>CDC: solicitudes de certificados de estudio no disponibles en línea</t>
  </si>
  <si>
    <t>CDC: capacitaciones a sostenedores</t>
  </si>
  <si>
    <t>No aplica</t>
  </si>
  <si>
    <t>Cod_Sigemet</t>
  </si>
  <si>
    <t>EVALUACIÓN PROVEEDORES INDICADORES</t>
  </si>
  <si>
    <t>La evaluación de proveedores consiste en medir de manera mensual la calidad de la información que reportan las distintas Divisiones, Departamentos y Unidades Estratégicas que tienen indicadores PMG H y/o CDC. En esta medición se analizan principalmente tres variables: oportunidad, consistencia y completitud de la información , elementos fundamentales para el cumplimiento de los indicadores del Servicio.</t>
  </si>
  <si>
    <t>Cumpl. promedio</t>
  </si>
  <si>
    <t>División</t>
  </si>
  <si>
    <t>Oportunidad</t>
  </si>
  <si>
    <t>Consistencia</t>
  </si>
  <si>
    <t>Completitud</t>
  </si>
  <si>
    <t>LEYENDA EVALUACIÓN PROVEEDORES</t>
  </si>
  <si>
    <t>Se entrega la información de variables e indicadores dentro del plazo establecido</t>
  </si>
  <si>
    <t>La información entregada es consistente para cada variable e indicador (avance, medios, análisis y riesgo)</t>
  </si>
  <si>
    <t>Se carga toda la información de cada variable e indicador (avance, medios, análisis y riesgo)</t>
  </si>
  <si>
    <t>Servicio</t>
  </si>
  <si>
    <t>Convenio totalmente tramitado</t>
  </si>
  <si>
    <t>Evaluación Año 1</t>
  </si>
  <si>
    <t>Monitoreo Año 1</t>
  </si>
  <si>
    <t>Monitoreo Año 2</t>
  </si>
  <si>
    <t>Monitoreo Año 3</t>
  </si>
  <si>
    <t>Evaluación Año 3</t>
  </si>
  <si>
    <t>El cumplimiento de los hitos está normado por la ley 19.882 e instructivo del Servicio Civil (SC)</t>
  </si>
  <si>
    <t xml:space="preserve"> - Todos los Convenios de Alta Dirección Pública (CADP) expuestos, se encuentran vigentes a la fecha del reporte.​</t>
  </si>
  <si>
    <t xml:space="preserve"> - Las fechas expuestas representan Las fechas de corte donde se inicia cada  proceso.​</t>
  </si>
  <si>
    <t>Leyenda</t>
  </si>
  <si>
    <t>Comentarios por Servicio:</t>
  </si>
  <si>
    <t>Regiones</t>
  </si>
  <si>
    <t>Estado</t>
  </si>
  <si>
    <t>Herramientas del Proceso de Gestión de Riesgo</t>
  </si>
  <si>
    <t xml:space="preserve">Instrumentos </t>
  </si>
  <si>
    <t xml:space="preserve">Estado </t>
  </si>
  <si>
    <t>Año última actualización</t>
  </si>
  <si>
    <t xml:space="preserve">Alerta </t>
  </si>
  <si>
    <t>Procesos</t>
  </si>
  <si>
    <t>Etapas</t>
  </si>
  <si>
    <t>Riesgos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</si>
  <si>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</si>
  <si>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</si>
  <si>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</si>
  <si>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</si>
  <si>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</si>
  <si>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Cantidad de Riesgos</t>
  </si>
  <si>
    <t xml:space="preserve">Riesgos Financieros </t>
  </si>
  <si>
    <t>Riesgos Estratégicos</t>
  </si>
  <si>
    <t xml:space="preserve">Señales de Alerta </t>
  </si>
  <si>
    <t>Total</t>
  </si>
  <si>
    <t>Monitoreo Plan de Tratamiento de Riesgos 2024</t>
  </si>
  <si>
    <t>Tipo de Riesgos</t>
  </si>
  <si>
    <t>Alerta</t>
  </si>
  <si>
    <t>Financieros</t>
  </si>
  <si>
    <t>Estratégicos</t>
  </si>
  <si>
    <t>Señales de Alerta</t>
  </si>
  <si>
    <t xml:space="preserve">    Subprocesos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</si>
  <si>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</si>
  <si>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</si>
  <si>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</si>
  <si>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</si>
  <si>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</si>
  <si>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</si>
  <si>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</si>
  <si>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Planes de Tratamiento</t>
  </si>
  <si>
    <t>Institucionales</t>
  </si>
  <si>
    <t>Matriz de Riesgo - Mapa de Calor</t>
  </si>
  <si>
    <t>Impacto</t>
  </si>
  <si>
    <t>Insignificantes</t>
  </si>
  <si>
    <t>Menores</t>
  </si>
  <si>
    <t>Moderadas</t>
  </si>
  <si>
    <t>Mayores</t>
  </si>
  <si>
    <t>Catastróficas</t>
  </si>
  <si>
    <t>Probabilidad</t>
  </si>
  <si>
    <t>IMPACTO</t>
  </si>
  <si>
    <t xml:space="preserve">
</t>
  </si>
  <si>
    <t>_x000D_</t>
  </si>
  <si>
    <t xml:space="preserve">NIVEL CENTRAL: ESTADO DE RIESGO INDICADORES POR CR AL CIERRE DE </t>
  </si>
  <si>
    <t>POR INSTRUMENTO DE GESTIÓN</t>
  </si>
  <si>
    <t>Evaluacion Año 2</t>
  </si>
  <si>
    <t>PROGRAMAS SOCIALES</t>
  </si>
  <si>
    <t>MINISTERIO DE EDUCACIÓN</t>
  </si>
  <si>
    <t>SUBSECRETARÍA/SERVICIO</t>
  </si>
  <si>
    <t>SUBSECRETARÍA / SERVICIO</t>
  </si>
  <si>
    <t>MONITOREO</t>
  </si>
  <si>
    <t>CATEGORÍA</t>
  </si>
  <si>
    <t>FECHA</t>
  </si>
  <si>
    <t>EVENTO</t>
  </si>
  <si>
    <t>POSICIÓN</t>
  </si>
  <si>
    <t>EJE</t>
  </si>
  <si>
    <t xml:space="preserve">Reporte mensual de avance de indicadores </t>
  </si>
  <si>
    <t>Departamento de Planificación y Control de Gestión</t>
  </si>
  <si>
    <t>División de Planificación y Presupuesto</t>
  </si>
  <si>
    <t>Subsecretaría de Educación</t>
  </si>
  <si>
    <t xml:space="preserve">                                                                                                            
                                                                                                                            </t>
  </si>
  <si>
    <t xml:space="preserve">         </t>
  </si>
  <si>
    <t xml:space="preserve">          ESTADO RIESGO INDICADORES </t>
  </si>
  <si>
    <t xml:space="preserve">      SUBSECRETARÍA DE EDUCACIÓN</t>
  </si>
  <si>
    <t>Abreviaturas</t>
  </si>
  <si>
    <r>
      <t xml:space="preserve">RE: </t>
    </r>
    <r>
      <rPr>
        <sz val="18"/>
        <color theme="3"/>
        <rFont val="Calibri"/>
        <family val="2"/>
        <scheme val="minor"/>
      </rPr>
      <t>Riesgos Estratégicos</t>
    </r>
  </si>
  <si>
    <r>
      <t xml:space="preserve">RF: </t>
    </r>
    <r>
      <rPr>
        <sz val="18"/>
        <color theme="3"/>
        <rFont val="Calibri"/>
        <family val="2"/>
        <scheme val="minor"/>
      </rPr>
      <t>Riesgos Financieros</t>
    </r>
  </si>
  <si>
    <r>
      <t xml:space="preserve">RI:  </t>
    </r>
    <r>
      <rPr>
        <sz val="18"/>
        <color theme="3"/>
        <rFont val="Calibri"/>
        <family val="2"/>
        <scheme val="minor"/>
      </rPr>
      <t>Riesgos Institucionales</t>
    </r>
  </si>
  <si>
    <r>
      <t xml:space="preserve">RE/SA: </t>
    </r>
    <r>
      <rPr>
        <sz val="18"/>
        <color theme="3"/>
        <rFont val="Calibri"/>
        <family val="2"/>
        <scheme val="minor"/>
      </rPr>
      <t>Riesgos Estratégicos con Señal de Alerta</t>
    </r>
  </si>
  <si>
    <r>
      <t xml:space="preserve">RF/SA: </t>
    </r>
    <r>
      <rPr>
        <sz val="18"/>
        <color theme="3"/>
        <rFont val="Calibri"/>
        <family val="2"/>
        <scheme val="minor"/>
      </rPr>
      <t>Riesgos Financieros con señal de Alerta</t>
    </r>
  </si>
  <si>
    <r>
      <t xml:space="preserve">RI/SA: </t>
    </r>
    <r>
      <rPr>
        <sz val="18"/>
        <color theme="3"/>
        <rFont val="Calibri"/>
        <family val="2"/>
        <scheme val="minor"/>
      </rPr>
      <t>Riesgos Institucionales con Señal de Alerta</t>
    </r>
  </si>
  <si>
    <t>Proceso de Gestión de Riesgos(PGR)</t>
  </si>
  <si>
    <t>Leyenda:</t>
  </si>
  <si>
    <t xml:space="preserve"> - Representa los Hitos acumulados que han sido ejecutados al año 2025. ​</t>
  </si>
  <si>
    <t>CDC: Acciones del plan fortalecimineto de la matrícula implementadas</t>
  </si>
  <si>
    <t>CDC: Estudiantes OAP que postulan a 
través del SAE</t>
  </si>
  <si>
    <t>Resultados Planes de Tratamiento</t>
  </si>
  <si>
    <t>Primer Trimestre - 2025</t>
  </si>
  <si>
    <t>Tipo de Plan de Tratamiento</t>
  </si>
  <si>
    <t>Estado de cumplimiento</t>
  </si>
  <si>
    <t>Cumplidos</t>
  </si>
  <si>
    <t>Cumplidos Parcialmente</t>
  </si>
  <si>
    <t>No Cumplidos/ Con retraso.</t>
  </si>
  <si>
    <t>Planes de tratamiento</t>
  </si>
  <si>
    <t>Cumpl. Promedio</t>
  </si>
  <si>
    <t xml:space="preserve">  Evaluación de Proveedores</t>
  </si>
  <si>
    <t>Categoría</t>
  </si>
  <si>
    <t>Estado de implementación</t>
  </si>
  <si>
    <t>Implementación</t>
  </si>
  <si>
    <t>En proceso de implementación</t>
  </si>
  <si>
    <t>No implementada</t>
  </si>
  <si>
    <t>Detalles de Cumplimiento -Planes de Tratamiento de Riesgos</t>
  </si>
  <si>
    <t>PMG: Medidas de Equidad y Género</t>
  </si>
  <si>
    <t>CDC: Elaboración de informe formación docente</t>
  </si>
  <si>
    <t>CDC: Formación de bienestar docente</t>
  </si>
  <si>
    <t>CDC: Informe proyecto de ley carrera directiva</t>
  </si>
  <si>
    <t>PMG: Sistema de Riesgos Psicosociales laborales</t>
  </si>
  <si>
    <t>H: Implementación del Programa "A convivir se Aprende"</t>
  </si>
  <si>
    <t>H: Entrega de Kit evaluativo de los EE subvencionados</t>
  </si>
  <si>
    <t>ABRIL - 2025</t>
  </si>
  <si>
    <t>Gab Subse</t>
  </si>
  <si>
    <t>Gab Ministro</t>
  </si>
  <si>
    <t>La Araucanía</t>
  </si>
  <si>
    <t>I23_014</t>
  </si>
  <si>
    <t>I16_066</t>
  </si>
  <si>
    <t>I25_007</t>
  </si>
  <si>
    <t>I16_056</t>
  </si>
  <si>
    <t>I25_006</t>
  </si>
  <si>
    <t>I23_014-SECREDUC 01</t>
  </si>
  <si>
    <t>I23_014-SECREDUC 02</t>
  </si>
  <si>
    <t>I23_014-SECREDUC 03</t>
  </si>
  <si>
    <t>I23_014-SECREDUC 04</t>
  </si>
  <si>
    <t>I23_014-SECREDUC 05</t>
  </si>
  <si>
    <t>I23_014-SECREDUC 06</t>
  </si>
  <si>
    <t>I23_014-SECREDUC 07</t>
  </si>
  <si>
    <t>I23_014-SECREDUC 08</t>
  </si>
  <si>
    <t>I23_014-SECREDUC 09</t>
  </si>
  <si>
    <t>I23_014-SECREDUC 10</t>
  </si>
  <si>
    <t>I23_014-SECREDUC 11</t>
  </si>
  <si>
    <t>I23_014-SECREDUC 12</t>
  </si>
  <si>
    <t>I23_014-SECREDUC 13</t>
  </si>
  <si>
    <t>I23_014-SECREDUC 14</t>
  </si>
  <si>
    <t>I23_014-SECREDUC 15</t>
  </si>
  <si>
    <t>I23_014-SECREDUC 16</t>
  </si>
  <si>
    <t>I16_066-SECREDUC 01</t>
  </si>
  <si>
    <t>I16_066-SECREDUC 02</t>
  </si>
  <si>
    <t>I16_066-SECREDUC 03</t>
  </si>
  <si>
    <t>I16_066-SECREDUC 04</t>
  </si>
  <si>
    <t>I16_066-SECREDUC 05</t>
  </si>
  <si>
    <t>I16_066-SECREDUC 06</t>
  </si>
  <si>
    <t>I16_066-SECREDUC 07</t>
  </si>
  <si>
    <t>I16_066-SECREDUC 08</t>
  </si>
  <si>
    <t>I16_066-SECREDUC 09</t>
  </si>
  <si>
    <t>I16_066-SECREDUC 10</t>
  </si>
  <si>
    <t>I16_066-SECREDUC 11</t>
  </si>
  <si>
    <t>I16_066-SECREDUC 12</t>
  </si>
  <si>
    <t>I16_066-SECREDUC 13</t>
  </si>
  <si>
    <t>I16_066-SECREDUC 14</t>
  </si>
  <si>
    <t>I16_066-SECREDUC 15</t>
  </si>
  <si>
    <t>I16_066-SECREDUC 16</t>
  </si>
  <si>
    <t>I25_007-SECREDUC 01</t>
  </si>
  <si>
    <t>I25_007-SECREDUC 02</t>
  </si>
  <si>
    <t>I25_007-SECREDUC 03</t>
  </si>
  <si>
    <t>I25_007-SECREDUC 04</t>
  </si>
  <si>
    <t>I25_007-SECREDUC 05</t>
  </si>
  <si>
    <t>I25_007-SECREDUC 06</t>
  </si>
  <si>
    <t>I25_007-SECREDUC 07</t>
  </si>
  <si>
    <t>I25_007-SECREDUC 08</t>
  </si>
  <si>
    <t>I25_007-SECREDUC 09</t>
  </si>
  <si>
    <t>I25_007-SECREDUC 10</t>
  </si>
  <si>
    <t>I25_007-SECREDUC 11</t>
  </si>
  <si>
    <t>I25_007-SECREDUC 12</t>
  </si>
  <si>
    <t>I25_007-SECREDUC 13</t>
  </si>
  <si>
    <t>I25_007-SECREDUC 14</t>
  </si>
  <si>
    <t>I25_007-SECREDUC 15</t>
  </si>
  <si>
    <t>I25_007-SECREDUC 16</t>
  </si>
  <si>
    <t>I16_056-SECREDUC 01</t>
  </si>
  <si>
    <t>I16_056-SECREDUC 02</t>
  </si>
  <si>
    <t>I16_056-SECREDUC 03</t>
  </si>
  <si>
    <t>I16_056-SECREDUC 04</t>
  </si>
  <si>
    <t>I16_056-SECREDUC 05</t>
  </si>
  <si>
    <t>I16_056-SECREDUC 06</t>
  </si>
  <si>
    <t>I16_056-SECREDUC 07</t>
  </si>
  <si>
    <t>I16_056-SECREDUC 08</t>
  </si>
  <si>
    <t>I16_056-SECREDUC 09</t>
  </si>
  <si>
    <t>I16_056-SECREDUC 10</t>
  </si>
  <si>
    <t>I16_056-SECREDUC 11</t>
  </si>
  <si>
    <t>I16_056-SECREDUC 12</t>
  </si>
  <si>
    <t>I16_056-SECREDUC 13</t>
  </si>
  <si>
    <t>I16_056-SECREDUC 14</t>
  </si>
  <si>
    <t>I16_056-SECREDUC 15</t>
  </si>
  <si>
    <t>I16_056-SECREDUC 16</t>
  </si>
  <si>
    <t>I25_006-SECREDUC 01</t>
  </si>
  <si>
    <t>I25_006-SECREDUC 02</t>
  </si>
  <si>
    <t>I25_006-SECREDUC 03</t>
  </si>
  <si>
    <t>I25_006-SECREDUC 04</t>
  </si>
  <si>
    <t>I25_006-SECREDUC 05</t>
  </si>
  <si>
    <t>I25_006-SECREDUC 06</t>
  </si>
  <si>
    <t>I25_006-SECREDUC 07</t>
  </si>
  <si>
    <t>I25_006-SECREDUC 08</t>
  </si>
  <si>
    <t>I25_006-SECREDUC 09</t>
  </si>
  <si>
    <t>I25_006-SECREDUC 10</t>
  </si>
  <si>
    <t>I25_006-SECREDUC 11</t>
  </si>
  <si>
    <t>I25_006-SECREDUC 12</t>
  </si>
  <si>
    <t>I25_006-SECREDUC 13</t>
  </si>
  <si>
    <t>I25_006-SECREDUC 14</t>
  </si>
  <si>
    <t>I25_006-SECREDUC 15</t>
  </si>
  <si>
    <t>I25_006-SECREDUC 16</t>
  </si>
  <si>
    <t>Acum ABRIL - 2025</t>
  </si>
  <si>
    <t>Hitos ADP ocurridos al 20 de ABRIL</t>
  </si>
  <si>
    <t>Política de Gestión de Riesgos</t>
  </si>
  <si>
    <t>Ranking de Procesos</t>
  </si>
  <si>
    <t>Matriz de Riesgos</t>
  </si>
  <si>
    <t>Ranking de Riesgos</t>
  </si>
  <si>
    <t>Señales de Alerta - Asociadas a MR</t>
  </si>
  <si>
    <t>Señales de Alerta - No Asociadas a MR</t>
  </si>
  <si>
    <t>Plan de Tratamiento de Riesgos</t>
  </si>
  <si>
    <t>Plan de Comunicaciones y Consulta</t>
  </si>
  <si>
    <t>Pendiente actualizar</t>
  </si>
  <si>
    <t xml:space="preserve">Actualizado </t>
  </si>
  <si>
    <t xml:space="preserve">Institucionales </t>
  </si>
  <si>
    <t>Señales de Alerta no asociadas a MR</t>
  </si>
  <si>
    <t>Se hizo envío del 1° monitoreo al CAIGG, el 30/04</t>
  </si>
  <si>
    <t xml:space="preserve">Ciberseguridad </t>
  </si>
  <si>
    <t>GabMin Estudios</t>
  </si>
  <si>
    <t>Ayuda MINEDUC</t>
  </si>
  <si>
    <t>TOTAL PROGRAMAS SOCIALES MINEDUC 2025</t>
  </si>
  <si>
    <r>
      <t xml:space="preserve">RF: </t>
    </r>
    <r>
      <rPr>
        <sz val="16"/>
        <color theme="3"/>
        <rFont val="Calibri"/>
        <family val="2"/>
        <scheme val="minor"/>
      </rPr>
      <t>Recomendación Favorable</t>
    </r>
  </si>
  <si>
    <t>NOTA: El monitoreo se realiza a programas sociales implementados en 2024</t>
  </si>
  <si>
    <t xml:space="preserve">NÚMERO DE PROGRAMAS SOCIALES </t>
  </si>
  <si>
    <t>PROGRAMA SOCIAL</t>
  </si>
  <si>
    <t>LÍNEA DE TIEMPO DE LOS PROCESOS DE EX ANTE Y MONITOREO DE LOS PROGRAMAS SOCIALES</t>
  </si>
  <si>
    <t>TOTAL DE PROGRAMAS SOCIALES MONITOREADOS 2024</t>
  </si>
  <si>
    <t>RESULTADO DEL PROCESO DE EVALUACIÓN EX ANTE 2025</t>
  </si>
  <si>
    <t>Convenios Alta Dirección Pública I Nivel</t>
  </si>
  <si>
    <t>Convenios Alta Dirección Pública II Nivel que está subrogando prolongadamente un I Nivel</t>
  </si>
  <si>
    <t>Cumpl.</t>
  </si>
  <si>
    <t>Promedio</t>
  </si>
  <si>
    <t>En proceso</t>
  </si>
  <si>
    <t>No cumplidos</t>
  </si>
  <si>
    <t>Señales de alerta</t>
  </si>
  <si>
    <t>Primer Trimestre -2025</t>
  </si>
  <si>
    <t>bajo</t>
  </si>
  <si>
    <t>Hitos del proceso</t>
  </si>
  <si>
    <t>Hitos de proceso de evaluación Ex Ante</t>
  </si>
  <si>
    <r>
      <rPr>
        <b/>
        <sz val="16"/>
        <color rgb="FF002060"/>
        <rFont val="Calibri"/>
        <family val="2"/>
        <scheme val="minor"/>
      </rPr>
      <t>EV</t>
    </r>
    <r>
      <rPr>
        <b/>
        <sz val="16"/>
        <color rgb="FF0070C0"/>
        <rFont val="Calibri"/>
        <family val="2"/>
        <scheme val="minor"/>
      </rPr>
      <t xml:space="preserve">: </t>
    </r>
    <r>
      <rPr>
        <sz val="16"/>
        <color theme="3"/>
        <rFont val="Calibri"/>
        <family val="2"/>
        <scheme val="minor"/>
      </rPr>
      <t>En evaluación por parte de Ministerio del desarrollo y Familia.</t>
    </r>
  </si>
  <si>
    <r>
      <rPr>
        <b/>
        <sz val="18"/>
        <color rgb="FF002060"/>
        <rFont val="Calibri"/>
        <family val="2"/>
        <scheme val="minor"/>
      </rPr>
      <t>*:</t>
    </r>
    <r>
      <rPr>
        <sz val="16"/>
        <color theme="3"/>
        <rFont val="Calibri"/>
        <family val="2"/>
        <scheme val="minor"/>
      </rPr>
      <t xml:space="preserve"> Programas se dieron de baja del proceso ex ante por parte del Servicio para reformularse en el proceso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</si>
</sst>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0"/>
      <name val="Calibri Light"/>
      <family val="2"/>
    </font>
    <font>
      <b/>
      <sz val="28"/>
      <color theme="0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1"/>
      <name val="Calibri Light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 Light"/>
      <family val="2"/>
    </font>
    <font>
      <sz val="16"/>
      <color theme="1"/>
      <name val="Calibri Light"/>
      <family val="2"/>
    </font>
    <font>
      <b/>
      <sz val="2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 Light"/>
      <family val="2"/>
    </font>
    <font>
      <b/>
      <sz val="16"/>
      <color rgb="FFF4EE00"/>
      <name val="Calibri Light"/>
      <family val="2"/>
    </font>
    <font>
      <b/>
      <sz val="22"/>
      <color theme="0"/>
      <name val="Calibri Light"/>
      <family val="2"/>
    </font>
    <font>
      <sz val="18"/>
      <name val="Calibri Light"/>
      <family val="2"/>
    </font>
    <font>
      <b/>
      <sz val="28"/>
      <color theme="0"/>
      <name val="Calibri Light"/>
      <family val="2"/>
    </font>
    <font>
      <b/>
      <sz val="14"/>
      <color rgb="FF000000"/>
      <name val="Calibri Light"/>
      <family val="2"/>
    </font>
    <font>
      <b/>
      <sz val="11"/>
      <color theme="1"/>
      <name val="Calibri Light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Light"/>
      <family val="2"/>
    </font>
    <font>
      <sz val="18"/>
      <color theme="1"/>
      <name val="Calibri Light"/>
      <family val="2"/>
    </font>
    <font>
      <sz val="18"/>
      <color theme="1"/>
      <name val="Calibri"/>
      <family val="2"/>
      <scheme val="minor"/>
    </font>
    <font>
      <sz val="14"/>
      <color rgb="FF000000"/>
      <name val="Calibri Light"/>
      <family val="2"/>
    </font>
    <font>
      <sz val="18"/>
      <color theme="0"/>
      <name val="Calibri"/>
      <family val="2"/>
      <scheme val="minor"/>
    </font>
    <font>
      <b/>
      <u/>
      <sz val="28"/>
      <color rgb="FF00206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cuerpo"/>
    </font>
    <font>
      <b/>
      <sz val="28"/>
      <color theme="3" tint="0.39997558519241921"/>
      <name val="Calibri"/>
      <family val="2"/>
      <scheme val="minor"/>
    </font>
    <font>
      <b/>
      <sz val="11"/>
      <color rgb="FFFFFFFF"/>
      <name val="Calibri Light"/>
      <family val="2"/>
    </font>
    <font>
      <b/>
      <sz val="36"/>
      <color theme="3" tint="0.39997558519241921"/>
      <name val="Calibri"/>
      <family val="2"/>
      <scheme val="minor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rgb="FFFF0000"/>
      <name val="Calibri cuerpo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FF00"/>
      <name val="Calibri Light"/>
      <family val="2"/>
    </font>
    <font>
      <b/>
      <sz val="16"/>
      <color rgb="FFFFFF00"/>
      <name val="Calibri Light"/>
      <family val="2"/>
    </font>
    <font>
      <b/>
      <sz val="11"/>
      <color theme="0"/>
      <name val="Calibri"/>
      <family val="2"/>
      <scheme val="minor"/>
    </font>
    <font>
      <b/>
      <sz val="28"/>
      <color rgb="FF00808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4"/>
      <color rgb="FFFFFFFF"/>
      <name val="Aptos Narrow"/>
      <family val="2"/>
    </font>
    <font>
      <b/>
      <sz val="20"/>
      <color theme="0"/>
      <name val="Calibri Light"/>
      <family val="2"/>
    </font>
    <font>
      <b/>
      <sz val="26"/>
      <color theme="0"/>
      <name val="Calibri Light"/>
      <family val="2"/>
    </font>
    <font>
      <b/>
      <sz val="20"/>
      <color rgb="FFFFFF00"/>
      <name val="Calibri Light"/>
      <family val="2"/>
    </font>
    <font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name val="Calibri Light"/>
      <family val="2"/>
    </font>
    <font>
      <sz val="11"/>
      <color rgb="FF000000"/>
      <name val="Aptos Narrow"/>
      <family val="2"/>
    </font>
    <font>
      <b/>
      <sz val="16"/>
      <color rgb="FFF4EE0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rgb="FFF4EE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Aptos Narrow"/>
      <family val="2"/>
    </font>
    <font>
      <sz val="13"/>
      <name val="Calibri"/>
      <family val="2"/>
      <scheme val="minor"/>
    </font>
    <font>
      <sz val="13"/>
      <name val="Aptos Narrow"/>
      <family val="2"/>
    </font>
    <font>
      <b/>
      <sz val="16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sz val="20"/>
      <color rgb="FFF4EE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4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theme="7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theme="3" tint="-0.249977111117893"/>
      </top>
      <bottom style="thin">
        <color theme="0"/>
      </bottom>
      <diagonal/>
    </border>
    <border>
      <left/>
      <right/>
      <top style="medium">
        <color theme="3" tint="-0.249977111117893"/>
      </top>
      <bottom/>
      <diagonal/>
    </border>
    <border>
      <left style="thin">
        <color theme="0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 style="thin">
        <color theme="0"/>
      </bottom>
      <diagonal/>
    </border>
    <border>
      <left style="thin">
        <color theme="0"/>
      </left>
      <right style="medium">
        <color theme="3" tint="-0.249977111117893"/>
      </right>
      <top style="medium">
        <color theme="3" tint="-0.249977111117893"/>
      </top>
      <bottom style="thin">
        <color theme="0"/>
      </bottom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thin">
        <color theme="0"/>
      </left>
      <right style="medium">
        <color theme="3" tint="-0.249977111117893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medium">
        <color rgb="FFFF0000"/>
      </left>
      <right/>
      <top style="thin">
        <color theme="0"/>
      </top>
      <bottom/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thin">
        <color theme="0"/>
      </right>
      <top style="medium">
        <color theme="1"/>
      </top>
      <bottom/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/>
      <diagonal/>
    </border>
    <border>
      <left style="thin">
        <color theme="0"/>
      </left>
      <right/>
      <top style="medium">
        <color theme="1" tint="0.499984740745262"/>
      </top>
      <bottom/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/>
      <diagonal/>
    </border>
    <border>
      <left style="thin">
        <color theme="0"/>
      </left>
      <right/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1" tint="0.499984740745262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/>
      </top>
      <bottom style="thin">
        <color theme="1" tint="0.499984740745262"/>
      </bottom>
      <diagonal/>
    </border>
    <border>
      <left/>
      <right/>
      <top style="medium">
        <color theme="1"/>
      </top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medium">
        <color theme="1" tint="0.499984740745262"/>
      </left>
      <right/>
      <top/>
      <bottom style="medium">
        <color theme="1"/>
      </bottom>
      <diagonal/>
    </border>
    <border>
      <left style="medium">
        <color theme="0" tint="-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/>
      <bottom style="medium">
        <color theme="1"/>
      </bottom>
      <diagonal/>
    </border>
    <border>
      <left style="medium">
        <color theme="0" tint="-0.499984740745262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 tint="-0.499984740745262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medium">
        <color theme="1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/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2" tint="-9.9978637043366805E-2"/>
      </bottom>
      <diagonal/>
    </border>
    <border>
      <left style="thin">
        <color theme="0"/>
      </left>
      <right style="thin">
        <color theme="0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thin">
        <color theme="0"/>
      </right>
      <top/>
      <bottom/>
      <diagonal/>
    </border>
    <border>
      <left/>
      <right/>
      <top style="medium">
        <color theme="2" tint="-9.9978637043366805E-2"/>
      </top>
      <bottom/>
      <diagonal/>
    </border>
    <border>
      <left style="thin">
        <color theme="0"/>
      </left>
      <right style="medium">
        <color theme="2" tint="-9.9978637043366805E-2"/>
      </right>
      <top style="medium">
        <color theme="2" tint="-9.9978637043366805E-2"/>
      </top>
      <bottom style="thin">
        <color theme="0"/>
      </bottom>
      <diagonal/>
    </border>
    <border>
      <left style="thin">
        <color theme="0"/>
      </left>
      <right/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 style="medium">
        <color theme="2" tint="-9.9978637043366805E-2"/>
      </left>
      <right style="thin">
        <color theme="0"/>
      </right>
      <top/>
      <bottom style="medium">
        <color theme="2" tint="-9.9978637043366805E-2"/>
      </bottom>
      <diagonal/>
    </border>
    <border>
      <left/>
      <right style="thin">
        <color theme="0"/>
      </right>
      <top/>
      <bottom style="medium">
        <color theme="2" tint="-9.9978637043366805E-2"/>
      </bottom>
      <diagonal/>
    </border>
    <border>
      <left style="thin">
        <color theme="0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theme="1"/>
      </left>
      <right style="medium">
        <color theme="3" tint="-0.249977111117893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0" tint="-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theme="0" tint="-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theme="1" tint="0.499984740745262"/>
      </top>
      <bottom style="medium">
        <color theme="1"/>
      </bottom>
      <diagonal/>
    </border>
    <border>
      <left style="medium">
        <color theme="0" tint="-0.499984740745262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medium">
        <color theme="0" tint="-0.499984740745262"/>
      </right>
      <top style="thin">
        <color theme="1" tint="0.49998474074526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 style="medium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3" tint="-0.249977111117893"/>
      </bottom>
      <diagonal/>
    </border>
    <border>
      <left/>
      <right style="thin">
        <color theme="0"/>
      </right>
      <top style="thin">
        <color theme="0"/>
      </top>
      <bottom style="medium">
        <color theme="3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 tint="-0.249977111117893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1" xfId="0" applyFont="1" applyBorder="1"/>
    <xf numFmtId="0" fontId="13" fillId="5" borderId="1" xfId="0" applyFont="1" applyFill="1" applyBorder="1"/>
    <xf numFmtId="0" fontId="14" fillId="5" borderId="1" xfId="0" applyFont="1" applyFill="1" applyBorder="1"/>
    <xf numFmtId="0" fontId="18" fillId="0" borderId="0" xfId="0" applyFont="1"/>
    <xf numFmtId="0" fontId="0" fillId="3" borderId="0" xfId="0" applyFill="1"/>
    <xf numFmtId="0" fontId="19" fillId="2" borderId="0" xfId="0" applyFont="1" applyFill="1"/>
    <xf numFmtId="0" fontId="19" fillId="2" borderId="19" xfId="0" applyFont="1" applyFill="1" applyBorder="1"/>
    <xf numFmtId="0" fontId="19" fillId="2" borderId="20" xfId="0" applyFont="1" applyFill="1" applyBorder="1"/>
    <xf numFmtId="0" fontId="19" fillId="2" borderId="21" xfId="0" applyFont="1" applyFill="1" applyBorder="1"/>
    <xf numFmtId="0" fontId="19" fillId="2" borderId="17" xfId="0" applyFont="1" applyFill="1" applyBorder="1"/>
    <xf numFmtId="0" fontId="19" fillId="2" borderId="22" xfId="0" applyFont="1" applyFill="1" applyBorder="1"/>
    <xf numFmtId="0" fontId="19" fillId="2" borderId="23" xfId="0" applyFont="1" applyFill="1" applyBorder="1"/>
    <xf numFmtId="0" fontId="19" fillId="2" borderId="24" xfId="0" applyFont="1" applyFill="1" applyBorder="1"/>
    <xf numFmtId="0" fontId="19" fillId="2" borderId="25" xfId="0" applyFont="1" applyFill="1" applyBorder="1"/>
    <xf numFmtId="0" fontId="19" fillId="2" borderId="26" xfId="0" applyFont="1" applyFill="1" applyBorder="1"/>
    <xf numFmtId="0" fontId="0" fillId="0" borderId="17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Alignment="1">
      <alignment horizontal="center"/>
    </xf>
    <xf numFmtId="0" fontId="8" fillId="3" borderId="0" xfId="0" applyFont="1" applyFill="1"/>
    <xf numFmtId="0" fontId="8" fillId="0" borderId="22" xfId="0" applyFont="1" applyBorder="1"/>
    <xf numFmtId="0" fontId="8" fillId="3" borderId="22" xfId="0" applyFont="1" applyFill="1" applyBorder="1"/>
    <xf numFmtId="0" fontId="20" fillId="0" borderId="33" xfId="0" applyFont="1" applyBorder="1" applyAlignment="1">
      <alignment horizontal="right" vertical="center"/>
    </xf>
    <xf numFmtId="0" fontId="20" fillId="9" borderId="33" xfId="0" applyFont="1" applyFill="1" applyBorder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36" fillId="6" borderId="12" xfId="0" applyFont="1" applyFill="1" applyBorder="1"/>
    <xf numFmtId="0" fontId="35" fillId="6" borderId="13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36" fillId="0" borderId="0" xfId="0" applyFont="1"/>
    <xf numFmtId="0" fontId="34" fillId="0" borderId="0" xfId="0" applyFont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5" fillId="0" borderId="0" xfId="0" applyFont="1"/>
    <xf numFmtId="0" fontId="36" fillId="6" borderId="2" xfId="0" applyFont="1" applyFill="1" applyBorder="1" applyAlignment="1">
      <alignment vertical="center"/>
    </xf>
    <xf numFmtId="0" fontId="36" fillId="6" borderId="2" xfId="0" applyFont="1" applyFill="1" applyBorder="1"/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left" vertical="center"/>
    </xf>
    <xf numFmtId="0" fontId="34" fillId="6" borderId="9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7" fillId="0" borderId="33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30" fillId="8" borderId="19" xfId="0" applyFont="1" applyFill="1" applyBorder="1" applyAlignment="1">
      <alignment horizontal="center" vertical="center" wrapText="1"/>
    </xf>
    <xf numFmtId="0" fontId="30" fillId="8" borderId="63" xfId="0" applyFont="1" applyFill="1" applyBorder="1" applyAlignment="1">
      <alignment horizontal="center" vertical="center"/>
    </xf>
    <xf numFmtId="0" fontId="30" fillId="8" borderId="64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vertical="center"/>
    </xf>
    <xf numFmtId="0" fontId="30" fillId="9" borderId="19" xfId="0" applyFont="1" applyFill="1" applyBorder="1" applyAlignment="1">
      <alignment horizontal="center" vertical="center" wrapText="1"/>
    </xf>
    <xf numFmtId="0" fontId="30" fillId="9" borderId="63" xfId="0" applyFont="1" applyFill="1" applyBorder="1" applyAlignment="1">
      <alignment horizontal="center" vertical="center"/>
    </xf>
    <xf numFmtId="0" fontId="30" fillId="9" borderId="64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left" vertical="center"/>
    </xf>
    <xf numFmtId="0" fontId="33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/>
    </xf>
    <xf numFmtId="0" fontId="0" fillId="0" borderId="52" xfId="0" applyBorder="1"/>
    <xf numFmtId="0" fontId="0" fillId="0" borderId="47" xfId="0" applyBorder="1"/>
    <xf numFmtId="0" fontId="0" fillId="0" borderId="48" xfId="0" applyBorder="1"/>
    <xf numFmtId="0" fontId="0" fillId="0" borderId="54" xfId="0" applyBorder="1"/>
    <xf numFmtId="0" fontId="0" fillId="0" borderId="46" xfId="0" applyBorder="1"/>
    <xf numFmtId="0" fontId="0" fillId="0" borderId="53" xfId="0" applyBorder="1"/>
    <xf numFmtId="0" fontId="33" fillId="0" borderId="47" xfId="0" applyFont="1" applyBorder="1" applyAlignment="1">
      <alignment vertical="top"/>
    </xf>
    <xf numFmtId="0" fontId="33" fillId="0" borderId="48" xfId="0" applyFont="1" applyBorder="1" applyAlignment="1">
      <alignment vertical="top"/>
    </xf>
    <xf numFmtId="0" fontId="33" fillId="0" borderId="46" xfId="0" applyFont="1" applyBorder="1" applyAlignment="1">
      <alignment vertical="top"/>
    </xf>
    <xf numFmtId="0" fontId="0" fillId="0" borderId="58" xfId="0" applyBorder="1"/>
    <xf numFmtId="0" fontId="0" fillId="0" borderId="60" xfId="0" applyBorder="1"/>
    <xf numFmtId="0" fontId="0" fillId="0" borderId="51" xfId="0" applyBorder="1"/>
    <xf numFmtId="0" fontId="0" fillId="0" borderId="65" xfId="0" applyBorder="1"/>
    <xf numFmtId="0" fontId="33" fillId="0" borderId="65" xfId="0" applyFont="1" applyBorder="1" applyAlignment="1">
      <alignment vertical="top"/>
    </xf>
    <xf numFmtId="0" fontId="24" fillId="0" borderId="47" xfId="0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33" fillId="0" borderId="50" xfId="0" applyFont="1" applyBorder="1" applyAlignment="1">
      <alignment vertical="top"/>
    </xf>
    <xf numFmtId="0" fontId="33" fillId="0" borderId="56" xfId="0" applyFont="1" applyBorder="1" applyAlignment="1">
      <alignment vertical="top"/>
    </xf>
    <xf numFmtId="0" fontId="0" fillId="0" borderId="66" xfId="0" applyBorder="1"/>
    <xf numFmtId="0" fontId="0" fillId="0" borderId="67" xfId="0" applyBorder="1"/>
    <xf numFmtId="0" fontId="0" fillId="0" borderId="49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59" xfId="0" applyBorder="1"/>
    <xf numFmtId="0" fontId="0" fillId="0" borderId="50" xfId="0" applyBorder="1"/>
    <xf numFmtId="0" fontId="0" fillId="0" borderId="55" xfId="0" applyBorder="1"/>
    <xf numFmtId="0" fontId="0" fillId="0" borderId="72" xfId="0" applyBorder="1"/>
    <xf numFmtId="0" fontId="0" fillId="0" borderId="73" xfId="0" applyBorder="1"/>
    <xf numFmtId="0" fontId="24" fillId="0" borderId="65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0" fillId="0" borderId="50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75" xfId="0" applyBorder="1"/>
    <xf numFmtId="0" fontId="0" fillId="0" borderId="53" xfId="0" applyBorder="1" applyAlignment="1">
      <alignment vertical="center" wrapText="1"/>
    </xf>
    <xf numFmtId="0" fontId="24" fillId="0" borderId="54" xfId="0" applyFont="1" applyBorder="1" applyAlignment="1">
      <alignment vertical="center"/>
    </xf>
    <xf numFmtId="0" fontId="33" fillId="0" borderId="54" xfId="0" applyFont="1" applyBorder="1" applyAlignment="1">
      <alignment vertical="top"/>
    </xf>
    <xf numFmtId="0" fontId="39" fillId="0" borderId="65" xfId="0" applyFont="1" applyBorder="1" applyAlignment="1">
      <alignment horizontal="left" vertical="center"/>
    </xf>
    <xf numFmtId="0" fontId="0" fillId="0" borderId="76" xfId="0" applyBorder="1"/>
    <xf numFmtId="0" fontId="0" fillId="0" borderId="77" xfId="0" applyBorder="1"/>
    <xf numFmtId="0" fontId="0" fillId="0" borderId="48" xfId="0" applyBorder="1" applyAlignment="1">
      <alignment vertical="center" wrapText="1"/>
    </xf>
    <xf numFmtId="0" fontId="0" fillId="0" borderId="78" xfId="0" applyBorder="1"/>
    <xf numFmtId="0" fontId="0" fillId="0" borderId="79" xfId="0" applyBorder="1"/>
    <xf numFmtId="0" fontId="41" fillId="0" borderId="81" xfId="0" applyFont="1" applyBorder="1"/>
    <xf numFmtId="0" fontId="10" fillId="0" borderId="82" xfId="0" applyFont="1" applyBorder="1"/>
    <xf numFmtId="0" fontId="10" fillId="0" borderId="83" xfId="0" applyFont="1" applyBorder="1"/>
    <xf numFmtId="0" fontId="10" fillId="0" borderId="81" xfId="0" applyFont="1" applyBorder="1"/>
    <xf numFmtId="0" fontId="10" fillId="0" borderId="84" xfId="0" applyFont="1" applyBorder="1"/>
    <xf numFmtId="0" fontId="10" fillId="0" borderId="85" xfId="0" applyFont="1" applyBorder="1"/>
    <xf numFmtId="0" fontId="0" fillId="0" borderId="54" xfId="0" applyBorder="1" applyAlignment="1">
      <alignment horizontal="center"/>
    </xf>
    <xf numFmtId="0" fontId="40" fillId="0" borderId="59" xfId="0" applyFont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0" fillId="0" borderId="89" xfId="0" applyBorder="1"/>
    <xf numFmtId="0" fontId="0" fillId="0" borderId="91" xfId="0" applyBorder="1"/>
    <xf numFmtId="0" fontId="0" fillId="0" borderId="93" xfId="0" applyBorder="1"/>
    <xf numFmtId="0" fontId="0" fillId="0" borderId="94" xfId="0" applyBorder="1"/>
    <xf numFmtId="0" fontId="44" fillId="0" borderId="1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47" fillId="0" borderId="51" xfId="0" applyFont="1" applyBorder="1" applyAlignment="1">
      <alignment horizontal="center"/>
    </xf>
    <xf numFmtId="0" fontId="48" fillId="0" borderId="51" xfId="0" applyFont="1" applyBorder="1" applyAlignment="1">
      <alignment horizontal="center" vertical="top"/>
    </xf>
    <xf numFmtId="0" fontId="0" fillId="0" borderId="105" xfId="0" applyBorder="1"/>
    <xf numFmtId="0" fontId="0" fillId="0" borderId="96" xfId="0" applyBorder="1"/>
    <xf numFmtId="0" fontId="0" fillId="0" borderId="106" xfId="0" applyBorder="1"/>
    <xf numFmtId="0" fontId="0" fillId="0" borderId="109" xfId="0" applyBorder="1"/>
    <xf numFmtId="0" fontId="0" fillId="0" borderId="110" xfId="0" applyBorder="1"/>
    <xf numFmtId="0" fontId="0" fillId="0" borderId="113" xfId="0" applyBorder="1"/>
    <xf numFmtId="0" fontId="44" fillId="0" borderId="33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 wrapText="1"/>
    </xf>
    <xf numFmtId="0" fontId="0" fillId="0" borderId="116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24" xfId="0" applyBorder="1"/>
    <xf numFmtId="0" fontId="0" fillId="0" borderId="92" xfId="0" applyBorder="1"/>
    <xf numFmtId="0" fontId="0" fillId="0" borderId="125" xfId="0" applyBorder="1"/>
    <xf numFmtId="0" fontId="0" fillId="0" borderId="132" xfId="0" applyBorder="1"/>
    <xf numFmtId="0" fontId="0" fillId="1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55" fillId="0" borderId="0" xfId="0" applyFont="1" applyAlignment="1">
      <alignment vertical="center" textRotation="90"/>
    </xf>
    <xf numFmtId="0" fontId="3" fillId="4" borderId="55" xfId="0" applyFont="1" applyFill="1" applyBorder="1" applyAlignment="1">
      <alignment vertical="center"/>
    </xf>
    <xf numFmtId="0" fontId="25" fillId="4" borderId="60" xfId="0" applyFont="1" applyFill="1" applyBorder="1" applyAlignment="1">
      <alignment vertical="top" wrapText="1"/>
    </xf>
    <xf numFmtId="17" fontId="26" fillId="4" borderId="60" xfId="0" applyNumberFormat="1" applyFont="1" applyFill="1" applyBorder="1" applyAlignment="1">
      <alignment vertical="top" wrapText="1"/>
    </xf>
    <xf numFmtId="0" fontId="0" fillId="0" borderId="137" xfId="0" applyBorder="1"/>
    <xf numFmtId="0" fontId="0" fillId="0" borderId="138" xfId="0" applyBorder="1"/>
    <xf numFmtId="0" fontId="3" fillId="0" borderId="76" xfId="0" applyFont="1" applyBorder="1" applyAlignment="1">
      <alignment vertical="center"/>
    </xf>
    <xf numFmtId="0" fontId="25" fillId="0" borderId="142" xfId="0" applyFont="1" applyBorder="1" applyAlignment="1">
      <alignment vertical="top" wrapText="1"/>
    </xf>
    <xf numFmtId="17" fontId="26" fillId="0" borderId="142" xfId="0" applyNumberFormat="1" applyFont="1" applyBorder="1" applyAlignment="1">
      <alignment vertical="top" wrapText="1"/>
    </xf>
    <xf numFmtId="0" fontId="0" fillId="0" borderId="143" xfId="0" applyBorder="1"/>
    <xf numFmtId="0" fontId="44" fillId="0" borderId="6" xfId="0" applyFont="1" applyBorder="1" applyAlignment="1">
      <alignment horizontal="center" vertical="center"/>
    </xf>
    <xf numFmtId="0" fontId="0" fillId="0" borderId="149" xfId="0" applyBorder="1"/>
    <xf numFmtId="0" fontId="44" fillId="0" borderId="1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147" xfId="0" applyFont="1" applyBorder="1" applyAlignment="1">
      <alignment horizontal="center" vertical="center"/>
    </xf>
    <xf numFmtId="0" fontId="44" fillId="0" borderId="155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157" xfId="0" applyFont="1" applyBorder="1" applyAlignment="1">
      <alignment horizontal="left" vertical="center"/>
    </xf>
    <xf numFmtId="0" fontId="44" fillId="0" borderId="158" xfId="0" applyFont="1" applyBorder="1" applyAlignment="1">
      <alignment horizontal="left" vertical="center"/>
    </xf>
    <xf numFmtId="0" fontId="44" fillId="0" borderId="159" xfId="0" applyFont="1" applyBorder="1" applyAlignment="1">
      <alignment horizontal="left" vertical="center"/>
    </xf>
    <xf numFmtId="0" fontId="44" fillId="0" borderId="97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87" xfId="0" applyBorder="1"/>
    <xf numFmtId="0" fontId="0" fillId="0" borderId="34" xfId="0" applyBorder="1" applyAlignment="1">
      <alignment horizontal="center" vertical="center"/>
    </xf>
    <xf numFmtId="0" fontId="53" fillId="13" borderId="166" xfId="0" applyFont="1" applyFill="1" applyBorder="1" applyAlignment="1">
      <alignment horizontal="center" vertical="center"/>
    </xf>
    <xf numFmtId="0" fontId="53" fillId="13" borderId="167" xfId="0" applyFont="1" applyFill="1" applyBorder="1" applyAlignment="1">
      <alignment horizontal="center" vertical="center"/>
    </xf>
    <xf numFmtId="0" fontId="44" fillId="0" borderId="150" xfId="0" applyFont="1" applyBorder="1" applyAlignment="1">
      <alignment horizontal="center" vertical="center"/>
    </xf>
    <xf numFmtId="0" fontId="44" fillId="0" borderId="151" xfId="0" applyFont="1" applyBorder="1" applyAlignment="1">
      <alignment horizontal="center" vertical="center"/>
    </xf>
    <xf numFmtId="0" fontId="44" fillId="0" borderId="148" xfId="0" applyFont="1" applyBorder="1" applyAlignment="1">
      <alignment horizontal="center" vertical="center"/>
    </xf>
    <xf numFmtId="0" fontId="44" fillId="0" borderId="34" xfId="0" applyFont="1" applyBorder="1" applyAlignment="1">
      <alignment vertical="center"/>
    </xf>
    <xf numFmtId="0" fontId="44" fillId="0" borderId="37" xfId="0" applyFont="1" applyBorder="1" applyAlignment="1">
      <alignment vertical="center"/>
    </xf>
    <xf numFmtId="0" fontId="24" fillId="0" borderId="59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8" fillId="0" borderId="75" xfId="0" applyFont="1" applyBorder="1" applyAlignment="1">
      <alignment horizontal="center" vertical="center" wrapText="1"/>
    </xf>
    <xf numFmtId="0" fontId="0" fillId="0" borderId="171" xfId="0" applyBorder="1"/>
    <xf numFmtId="0" fontId="61" fillId="0" borderId="0" xfId="0" applyFont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61" fillId="0" borderId="72" xfId="0" applyFon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63" fillId="16" borderId="1" xfId="0" applyFont="1" applyFill="1" applyBorder="1" applyAlignment="1">
      <alignment horizontal="center"/>
    </xf>
    <xf numFmtId="0" fontId="63" fillId="16" borderId="1" xfId="0" applyFont="1" applyFill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35" xfId="0" applyFont="1" applyBorder="1" applyAlignment="1">
      <alignment horizontal="center" vertical="center" wrapText="1"/>
    </xf>
    <xf numFmtId="0" fontId="36" fillId="0" borderId="46" xfId="0" applyFont="1" applyBorder="1" applyAlignment="1">
      <alignment wrapText="1"/>
    </xf>
    <xf numFmtId="0" fontId="19" fillId="0" borderId="46" xfId="0" applyFont="1" applyBorder="1"/>
    <xf numFmtId="0" fontId="16" fillId="0" borderId="46" xfId="0" applyFont="1" applyBorder="1"/>
    <xf numFmtId="0" fontId="67" fillId="0" borderId="46" xfId="0" applyFont="1" applyBorder="1"/>
    <xf numFmtId="0" fontId="67" fillId="0" borderId="46" xfId="0" applyFont="1" applyBorder="1" applyAlignment="1">
      <alignment vertical="center"/>
    </xf>
    <xf numFmtId="0" fontId="68" fillId="0" borderId="46" xfId="0" applyFont="1" applyBorder="1" applyAlignment="1">
      <alignment vertical="center" wrapText="1"/>
    </xf>
    <xf numFmtId="0" fontId="68" fillId="0" borderId="46" xfId="0" applyFont="1" applyBorder="1" applyAlignment="1">
      <alignment horizontal="right" vertical="top" wrapText="1"/>
    </xf>
    <xf numFmtId="0" fontId="66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52" xfId="0" applyBorder="1"/>
    <xf numFmtId="0" fontId="0" fillId="0" borderId="174" xfId="0" applyBorder="1"/>
    <xf numFmtId="0" fontId="0" fillId="0" borderId="51" xfId="0" applyBorder="1" applyAlignment="1">
      <alignment horizontal="center" vertical="center" wrapText="1"/>
    </xf>
    <xf numFmtId="0" fontId="0" fillId="0" borderId="135" xfId="0" applyBorder="1"/>
    <xf numFmtId="0" fontId="0" fillId="0" borderId="179" xfId="0" applyBorder="1"/>
    <xf numFmtId="0" fontId="0" fillId="0" borderId="180" xfId="0" applyBorder="1"/>
    <xf numFmtId="0" fontId="0" fillId="0" borderId="181" xfId="0" applyBorder="1"/>
    <xf numFmtId="0" fontId="71" fillId="17" borderId="44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/>
    </xf>
    <xf numFmtId="0" fontId="20" fillId="3" borderId="0" xfId="0" applyFont="1" applyFill="1"/>
    <xf numFmtId="0" fontId="8" fillId="3" borderId="8" xfId="0" applyFont="1" applyFill="1" applyBorder="1"/>
    <xf numFmtId="0" fontId="8" fillId="3" borderId="10" xfId="0" applyFont="1" applyFill="1" applyBorder="1"/>
    <xf numFmtId="0" fontId="8" fillId="3" borderId="14" xfId="0" applyFont="1" applyFill="1" applyBorder="1"/>
    <xf numFmtId="0" fontId="8" fillId="3" borderId="185" xfId="0" applyFont="1" applyFill="1" applyBorder="1"/>
    <xf numFmtId="0" fontId="8" fillId="3" borderId="184" xfId="0" applyFont="1" applyFill="1" applyBorder="1"/>
    <xf numFmtId="0" fontId="8" fillId="3" borderId="186" xfId="0" applyFont="1" applyFill="1" applyBorder="1"/>
    <xf numFmtId="0" fontId="8" fillId="3" borderId="7" xfId="0" applyFont="1" applyFill="1" applyBorder="1"/>
    <xf numFmtId="0" fontId="29" fillId="3" borderId="174" xfId="0" applyFont="1" applyFill="1" applyBorder="1" applyAlignment="1">
      <alignment horizontal="center"/>
    </xf>
    <xf numFmtId="0" fontId="8" fillId="3" borderId="174" xfId="0" applyFont="1" applyFill="1" applyBorder="1"/>
    <xf numFmtId="0" fontId="8" fillId="3" borderId="187" xfId="0" applyFont="1" applyFill="1" applyBorder="1"/>
    <xf numFmtId="0" fontId="8" fillId="3" borderId="188" xfId="0" applyFont="1" applyFill="1" applyBorder="1"/>
    <xf numFmtId="0" fontId="8" fillId="3" borderId="190" xfId="0" applyFont="1" applyFill="1" applyBorder="1"/>
    <xf numFmtId="0" fontId="8" fillId="3" borderId="192" xfId="0" applyFont="1" applyFill="1" applyBorder="1"/>
    <xf numFmtId="0" fontId="8" fillId="3" borderId="193" xfId="0" applyFont="1" applyFill="1" applyBorder="1"/>
    <xf numFmtId="0" fontId="8" fillId="3" borderId="194" xfId="0" applyFont="1" applyFill="1" applyBorder="1"/>
    <xf numFmtId="0" fontId="8" fillId="3" borderId="195" xfId="0" applyFont="1" applyFill="1" applyBorder="1"/>
    <xf numFmtId="0" fontId="8" fillId="3" borderId="49" xfId="0" applyFont="1" applyFill="1" applyBorder="1"/>
    <xf numFmtId="0" fontId="8" fillId="3" borderId="196" xfId="0" applyFont="1" applyFill="1" applyBorder="1"/>
    <xf numFmtId="0" fontId="8" fillId="3" borderId="60" xfId="0" applyFont="1" applyFill="1" applyBorder="1"/>
    <xf numFmtId="0" fontId="8" fillId="3" borderId="178" xfId="0" applyFont="1" applyFill="1" applyBorder="1"/>
    <xf numFmtId="0" fontId="8" fillId="3" borderId="197" xfId="0" applyFont="1" applyFill="1" applyBorder="1"/>
    <xf numFmtId="0" fontId="8" fillId="3" borderId="58" xfId="0" applyFont="1" applyFill="1" applyBorder="1"/>
    <xf numFmtId="0" fontId="8" fillId="3" borderId="165" xfId="0" applyFont="1" applyFill="1" applyBorder="1"/>
    <xf numFmtId="0" fontId="8" fillId="3" borderId="72" xfId="0" applyFont="1" applyFill="1" applyBorder="1"/>
    <xf numFmtId="0" fontId="35" fillId="6" borderId="13" xfId="0" applyFont="1" applyFill="1" applyBorder="1" applyAlignment="1">
      <alignment vertical="center"/>
    </xf>
    <xf numFmtId="0" fontId="76" fillId="0" borderId="49" xfId="0" applyFont="1" applyBorder="1" applyAlignment="1">
      <alignment horizontal="left"/>
    </xf>
    <xf numFmtId="0" fontId="76" fillId="0" borderId="51" xfId="0" applyFont="1" applyBorder="1" applyAlignment="1">
      <alignment horizontal="left"/>
    </xf>
    <xf numFmtId="0" fontId="76" fillId="0" borderId="51" xfId="0" applyFont="1" applyBorder="1" applyAlignment="1">
      <alignment horizontal="left" vertical="top"/>
    </xf>
    <xf numFmtId="0" fontId="0" fillId="0" borderId="46" xfId="0" applyBorder="1" applyAlignment="1">
      <alignment horizontal="left"/>
    </xf>
    <xf numFmtId="0" fontId="76" fillId="0" borderId="46" xfId="0" applyFont="1" applyBorder="1"/>
    <xf numFmtId="0" fontId="76" fillId="0" borderId="47" xfId="0" applyFont="1" applyBorder="1"/>
    <xf numFmtId="0" fontId="76" fillId="0" borderId="4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76" fillId="0" borderId="46" xfId="0" applyFont="1" applyBorder="1" applyAlignment="1">
      <alignment horizontal="left"/>
    </xf>
    <xf numFmtId="0" fontId="76" fillId="0" borderId="47" xfId="0" applyFont="1" applyBorder="1" applyAlignment="1">
      <alignment horizontal="left"/>
    </xf>
    <xf numFmtId="0" fontId="75" fillId="0" borderId="47" xfId="0" applyFont="1" applyBorder="1" applyAlignment="1">
      <alignment horizontal="left"/>
    </xf>
    <xf numFmtId="0" fontId="0" fillId="0" borderId="59" xfId="0" applyBorder="1" applyAlignment="1">
      <alignment horizontal="left"/>
    </xf>
    <xf numFmtId="0" fontId="75" fillId="0" borderId="50" xfId="0" applyFont="1" applyBorder="1" applyAlignment="1">
      <alignment horizontal="left"/>
    </xf>
    <xf numFmtId="0" fontId="76" fillId="0" borderId="48" xfId="0" applyFont="1" applyBorder="1" applyAlignment="1">
      <alignment horizontal="left"/>
    </xf>
    <xf numFmtId="0" fontId="76" fillId="0" borderId="47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76" fillId="0" borderId="46" xfId="0" applyFont="1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0" fillId="0" borderId="198" xfId="0" applyBorder="1"/>
    <xf numFmtId="0" fontId="0" fillId="0" borderId="53" xfId="0" applyBorder="1" applyAlignment="1">
      <alignment horizontal="left"/>
    </xf>
    <xf numFmtId="0" fontId="0" fillId="0" borderId="48" xfId="0" applyBorder="1" applyAlignment="1">
      <alignment horizontal="left" vertical="top"/>
    </xf>
    <xf numFmtId="0" fontId="0" fillId="0" borderId="65" xfId="0" applyBorder="1" applyAlignment="1">
      <alignment horizontal="left" vertical="top"/>
    </xf>
    <xf numFmtId="0" fontId="0" fillId="0" borderId="48" xfId="0" applyBorder="1" applyAlignment="1">
      <alignment horizontal="left"/>
    </xf>
    <xf numFmtId="0" fontId="78" fillId="0" borderId="80" xfId="0" applyFont="1" applyBorder="1"/>
    <xf numFmtId="0" fontId="10" fillId="0" borderId="86" xfId="0" applyFont="1" applyBorder="1"/>
    <xf numFmtId="0" fontId="10" fillId="0" borderId="65" xfId="0" applyFont="1" applyBorder="1"/>
    <xf numFmtId="0" fontId="10" fillId="0" borderId="59" xfId="0" applyFont="1" applyBorder="1"/>
    <xf numFmtId="0" fontId="10" fillId="0" borderId="199" xfId="0" applyFont="1" applyBorder="1"/>
    <xf numFmtId="0" fontId="68" fillId="0" borderId="200" xfId="0" applyFont="1" applyBorder="1" applyAlignment="1">
      <alignment horizontal="center" vertical="center"/>
    </xf>
    <xf numFmtId="0" fontId="68" fillId="0" borderId="200" xfId="0" applyFont="1" applyBorder="1" applyAlignment="1">
      <alignment horizontal="center" vertical="center" wrapText="1"/>
    </xf>
    <xf numFmtId="0" fontId="68" fillId="0" borderId="139" xfId="0" applyFon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78" fillId="0" borderId="139" xfId="0" applyFont="1" applyBorder="1" applyAlignment="1">
      <alignment horizontal="center" vertical="center"/>
    </xf>
    <xf numFmtId="0" fontId="40" fillId="0" borderId="52" xfId="0" applyFont="1" applyBorder="1" applyAlignment="1">
      <alignment vertical="center"/>
    </xf>
    <xf numFmtId="0" fontId="16" fillId="0" borderId="202" xfId="0" applyFont="1" applyBorder="1"/>
    <xf numFmtId="0" fontId="0" fillId="0" borderId="203" xfId="0" applyBorder="1"/>
    <xf numFmtId="0" fontId="0" fillId="0" borderId="204" xfId="0" applyBorder="1"/>
    <xf numFmtId="0" fontId="0" fillId="0" borderId="205" xfId="0" applyBorder="1"/>
    <xf numFmtId="0" fontId="0" fillId="0" borderId="91" xfId="0" applyBorder="1" applyAlignment="1">
      <alignment vertical="center"/>
    </xf>
    <xf numFmtId="0" fontId="68" fillId="0" borderId="139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right" vertical="center"/>
    </xf>
    <xf numFmtId="0" fontId="9" fillId="3" borderId="60" xfId="0" applyFont="1" applyFill="1" applyBorder="1" applyAlignment="1">
      <alignment horizontal="left" vertical="center"/>
    </xf>
    <xf numFmtId="0" fontId="12" fillId="3" borderId="60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7" fillId="6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0" fillId="2" borderId="174" xfId="0" applyFill="1" applyBorder="1"/>
    <xf numFmtId="0" fontId="0" fillId="2" borderId="0" xfId="0" applyFill="1" applyAlignment="1">
      <alignment vertical="top"/>
    </xf>
    <xf numFmtId="0" fontId="0" fillId="2" borderId="207" xfId="0" applyFill="1" applyBorder="1"/>
    <xf numFmtId="0" fontId="0" fillId="2" borderId="190" xfId="0" applyFill="1" applyBorder="1"/>
    <xf numFmtId="0" fontId="9" fillId="0" borderId="152" xfId="0" applyFont="1" applyBorder="1" applyAlignment="1">
      <alignment vertical="center"/>
    </xf>
    <xf numFmtId="0" fontId="12" fillId="0" borderId="153" xfId="0" applyFont="1" applyBorder="1" applyAlignment="1">
      <alignment horizontal="left" vertical="center"/>
    </xf>
    <xf numFmtId="0" fontId="9" fillId="0" borderId="153" xfId="0" applyFont="1" applyBorder="1" applyAlignment="1">
      <alignment horizontal="left" vertical="center"/>
    </xf>
    <xf numFmtId="0" fontId="9" fillId="3" borderId="209" xfId="0" applyFont="1" applyFill="1" applyBorder="1" applyAlignment="1">
      <alignment horizontal="left" vertical="center"/>
    </xf>
    <xf numFmtId="0" fontId="9" fillId="3" borderId="154" xfId="0" applyFont="1" applyFill="1" applyBorder="1" applyAlignment="1">
      <alignment horizontal="left" vertical="center"/>
    </xf>
    <xf numFmtId="0" fontId="9" fillId="0" borderId="174" xfId="0" applyFont="1" applyBorder="1" applyAlignment="1">
      <alignment vertical="center"/>
    </xf>
    <xf numFmtId="0" fontId="0" fillId="3" borderId="187" xfId="0" applyFill="1" applyBorder="1"/>
    <xf numFmtId="0" fontId="9" fillId="0" borderId="207" xfId="0" applyFont="1" applyBorder="1" applyAlignment="1">
      <alignment vertical="center"/>
    </xf>
    <xf numFmtId="0" fontId="12" fillId="0" borderId="190" xfId="0" applyFont="1" applyBorder="1" applyAlignment="1">
      <alignment horizontal="left" vertical="center"/>
    </xf>
    <xf numFmtId="0" fontId="9" fillId="0" borderId="190" xfId="0" applyFont="1" applyBorder="1" applyAlignment="1">
      <alignment horizontal="left" vertical="center"/>
    </xf>
    <xf numFmtId="0" fontId="0" fillId="0" borderId="190" xfId="0" applyBorder="1"/>
    <xf numFmtId="0" fontId="12" fillId="0" borderId="190" xfId="0" applyFont="1" applyBorder="1" applyAlignment="1">
      <alignment vertical="center"/>
    </xf>
    <xf numFmtId="0" fontId="12" fillId="3" borderId="210" xfId="0" applyFont="1" applyFill="1" applyBorder="1" applyAlignment="1">
      <alignment vertical="center"/>
    </xf>
    <xf numFmtId="0" fontId="0" fillId="3" borderId="192" xfId="0" applyFill="1" applyBorder="1"/>
    <xf numFmtId="0" fontId="6" fillId="6" borderId="152" xfId="0" applyFont="1" applyFill="1" applyBorder="1" applyAlignment="1">
      <alignment horizontal="center" vertical="center"/>
    </xf>
    <xf numFmtId="0" fontId="6" fillId="6" borderId="174" xfId="0" applyFont="1" applyFill="1" applyBorder="1" applyAlignment="1">
      <alignment vertical="center"/>
    </xf>
    <xf numFmtId="0" fontId="6" fillId="6" borderId="207" xfId="0" applyFont="1" applyFill="1" applyBorder="1" applyAlignment="1">
      <alignment vertical="center"/>
    </xf>
    <xf numFmtId="0" fontId="9" fillId="3" borderId="211" xfId="0" applyFont="1" applyFill="1" applyBorder="1" applyAlignment="1">
      <alignment horizontal="left" vertical="center"/>
    </xf>
    <xf numFmtId="0" fontId="9" fillId="3" borderId="58" xfId="0" applyFont="1" applyFill="1" applyBorder="1" applyAlignment="1">
      <alignment horizontal="left" vertical="center"/>
    </xf>
    <xf numFmtId="0" fontId="12" fillId="3" borderId="58" xfId="0" applyFont="1" applyFill="1" applyBorder="1" applyAlignment="1">
      <alignment vertical="center"/>
    </xf>
    <xf numFmtId="0" fontId="12" fillId="3" borderId="212" xfId="0" applyFont="1" applyFill="1" applyBorder="1" applyAlignment="1">
      <alignment vertical="center"/>
    </xf>
    <xf numFmtId="0" fontId="79" fillId="0" borderId="0" xfId="0" applyFont="1" applyAlignment="1">
      <alignment horizontal="center" vertical="center"/>
    </xf>
    <xf numFmtId="0" fontId="79" fillId="0" borderId="190" xfId="0" applyFont="1" applyBorder="1" applyAlignment="1">
      <alignment horizontal="center" vertical="center"/>
    </xf>
    <xf numFmtId="0" fontId="80" fillId="0" borderId="213" xfId="0" applyFont="1" applyBorder="1" applyAlignment="1">
      <alignment horizontal="left" vertical="center" wrapText="1"/>
    </xf>
    <xf numFmtId="16" fontId="80" fillId="0" borderId="214" xfId="0" applyNumberFormat="1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9" fontId="20" fillId="9" borderId="32" xfId="0" applyNumberFormat="1" applyFont="1" applyFill="1" applyBorder="1" applyAlignment="1">
      <alignment horizontal="center" vertical="center"/>
    </xf>
    <xf numFmtId="9" fontId="20" fillId="9" borderId="28" xfId="0" applyNumberFormat="1" applyFont="1" applyFill="1" applyBorder="1" applyAlignment="1">
      <alignment horizontal="center" vertical="center"/>
    </xf>
    <xf numFmtId="9" fontId="20" fillId="9" borderId="1" xfId="0" applyNumberFormat="1" applyFont="1" applyFill="1" applyBorder="1" applyAlignment="1">
      <alignment horizontal="center" vertical="center"/>
    </xf>
    <xf numFmtId="9" fontId="20" fillId="9" borderId="34" xfId="0" applyNumberFormat="1" applyFont="1" applyFill="1" applyBorder="1" applyAlignment="1">
      <alignment horizontal="center" vertical="center"/>
    </xf>
    <xf numFmtId="9" fontId="20" fillId="9" borderId="36" xfId="0" applyNumberFormat="1" applyFont="1" applyFill="1" applyBorder="1" applyAlignment="1">
      <alignment horizontal="center" vertical="center"/>
    </xf>
    <xf numFmtId="9" fontId="20" fillId="9" borderId="37" xfId="0" applyNumberFormat="1" applyFont="1" applyFill="1" applyBorder="1" applyAlignment="1">
      <alignment horizontal="center" vertical="center"/>
    </xf>
    <xf numFmtId="9" fontId="20" fillId="9" borderId="27" xfId="0" applyNumberFormat="1" applyFont="1" applyFill="1" applyBorder="1" applyAlignment="1">
      <alignment horizontal="center" vertical="center"/>
    </xf>
    <xf numFmtId="9" fontId="20" fillId="9" borderId="33" xfId="0" applyNumberFormat="1" applyFont="1" applyFill="1" applyBorder="1" applyAlignment="1">
      <alignment horizontal="center" vertical="center"/>
    </xf>
    <xf numFmtId="9" fontId="20" fillId="9" borderId="35" xfId="0" applyNumberFormat="1" applyFont="1" applyFill="1" applyBorder="1" applyAlignment="1">
      <alignment horizontal="center" vertical="center"/>
    </xf>
    <xf numFmtId="0" fontId="0" fillId="0" borderId="187" xfId="0" applyBorder="1"/>
    <xf numFmtId="0" fontId="0" fillId="0" borderId="220" xfId="0" applyBorder="1"/>
    <xf numFmtId="0" fontId="0" fillId="0" borderId="195" xfId="0" applyBorder="1"/>
    <xf numFmtId="0" fontId="87" fillId="0" borderId="58" xfId="0" applyFont="1" applyBorder="1"/>
    <xf numFmtId="0" fontId="0" fillId="0" borderId="219" xfId="0" applyBorder="1"/>
    <xf numFmtId="0" fontId="0" fillId="0" borderId="221" xfId="0" applyBorder="1"/>
    <xf numFmtId="0" fontId="0" fillId="0" borderId="212" xfId="0" applyBorder="1"/>
    <xf numFmtId="0" fontId="0" fillId="0" borderId="222" xfId="0" applyBorder="1"/>
    <xf numFmtId="0" fontId="0" fillId="0" borderId="223" xfId="0" applyBorder="1"/>
    <xf numFmtId="0" fontId="0" fillId="0" borderId="224" xfId="0" applyBorder="1"/>
    <xf numFmtId="0" fontId="87" fillId="0" borderId="54" xfId="0" applyFont="1" applyBorder="1"/>
    <xf numFmtId="0" fontId="87" fillId="0" borderId="124" xfId="0" applyFont="1" applyBorder="1"/>
    <xf numFmtId="0" fontId="0" fillId="0" borderId="225" xfId="0" applyBorder="1"/>
    <xf numFmtId="0" fontId="0" fillId="0" borderId="108" xfId="0" applyBorder="1"/>
    <xf numFmtId="0" fontId="0" fillId="0" borderId="226" xfId="0" applyBorder="1"/>
    <xf numFmtId="0" fontId="0" fillId="0" borderId="228" xfId="0" applyBorder="1"/>
    <xf numFmtId="0" fontId="43" fillId="13" borderId="156" xfId="0" applyFont="1" applyFill="1" applyBorder="1" applyAlignment="1">
      <alignment horizontal="center" vertical="center"/>
    </xf>
    <xf numFmtId="0" fontId="43" fillId="13" borderId="147" xfId="0" applyFont="1" applyFill="1" applyBorder="1" applyAlignment="1">
      <alignment horizontal="center" vertical="center"/>
    </xf>
    <xf numFmtId="0" fontId="43" fillId="13" borderId="147" xfId="0" applyFont="1" applyFill="1" applyBorder="1" applyAlignment="1">
      <alignment horizontal="center" vertical="center" wrapText="1"/>
    </xf>
    <xf numFmtId="0" fontId="43" fillId="13" borderId="148" xfId="0" applyFont="1" applyFill="1" applyBorder="1" applyAlignment="1">
      <alignment horizontal="center" vertical="center"/>
    </xf>
    <xf numFmtId="0" fontId="43" fillId="13" borderId="33" xfId="0" applyFont="1" applyFill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43" fillId="13" borderId="34" xfId="0" applyFont="1" applyFill="1" applyBorder="1" applyAlignment="1">
      <alignment horizontal="center" vertical="center"/>
    </xf>
    <xf numFmtId="0" fontId="89" fillId="13" borderId="168" xfId="0" applyFont="1" applyFill="1" applyBorder="1" applyAlignment="1">
      <alignment horizontal="center" vertical="center" wrapText="1"/>
    </xf>
    <xf numFmtId="0" fontId="89" fillId="13" borderId="169" xfId="0" applyFont="1" applyFill="1" applyBorder="1" applyAlignment="1">
      <alignment horizontal="center" vertical="center" wrapText="1"/>
    </xf>
    <xf numFmtId="0" fontId="89" fillId="13" borderId="170" xfId="0" applyFont="1" applyFill="1" applyBorder="1" applyAlignment="1">
      <alignment horizontal="center" vertical="center" wrapText="1"/>
    </xf>
    <xf numFmtId="0" fontId="90" fillId="13" borderId="87" xfId="0" applyFont="1" applyFill="1" applyBorder="1" applyAlignment="1">
      <alignment horizontal="center" vertical="center"/>
    </xf>
    <xf numFmtId="0" fontId="73" fillId="13" borderId="0" xfId="0" applyFont="1" applyFill="1" applyAlignment="1">
      <alignment vertical="center"/>
    </xf>
    <xf numFmtId="0" fontId="72" fillId="13" borderId="0" xfId="0" applyFont="1" applyFill="1" applyAlignment="1">
      <alignment vertical="top" wrapText="1"/>
    </xf>
    <xf numFmtId="0" fontId="25" fillId="13" borderId="0" xfId="0" applyFont="1" applyFill="1" applyAlignment="1">
      <alignment vertical="center" wrapText="1"/>
    </xf>
    <xf numFmtId="0" fontId="5" fillId="13" borderId="0" xfId="0" applyFont="1" applyFill="1" applyAlignment="1">
      <alignment horizontal="center" vertical="top"/>
    </xf>
    <xf numFmtId="0" fontId="25" fillId="13" borderId="0" xfId="0" applyFont="1" applyFill="1" applyAlignment="1">
      <alignment vertical="top" wrapText="1"/>
    </xf>
    <xf numFmtId="0" fontId="27" fillId="13" borderId="0" xfId="0" applyFont="1" applyFill="1" applyAlignment="1">
      <alignment vertical="top" wrapText="1"/>
    </xf>
    <xf numFmtId="49" fontId="60" fillId="13" borderId="0" xfId="0" applyNumberFormat="1" applyFont="1" applyFill="1" applyAlignment="1">
      <alignment vertical="top" wrapText="1"/>
    </xf>
    <xf numFmtId="0" fontId="87" fillId="0" borderId="46" xfId="0" applyFont="1" applyBorder="1" applyAlignment="1">
      <alignment horizontal="right" vertical="center"/>
    </xf>
    <xf numFmtId="0" fontId="48" fillId="0" borderId="46" xfId="0" applyFont="1" applyBorder="1" applyAlignment="1">
      <alignment horizontal="center"/>
    </xf>
    <xf numFmtId="0" fontId="85" fillId="0" borderId="46" xfId="0" applyFont="1" applyBorder="1" applyAlignment="1">
      <alignment horizontal="left" vertical="center"/>
    </xf>
    <xf numFmtId="0" fontId="0" fillId="0" borderId="65" xfId="0" applyBorder="1" applyAlignment="1">
      <alignment vertical="center"/>
    </xf>
    <xf numFmtId="0" fontId="0" fillId="0" borderId="237" xfId="0" applyBorder="1" applyAlignment="1">
      <alignment vertical="center"/>
    </xf>
    <xf numFmtId="0" fontId="0" fillId="0" borderId="238" xfId="0" applyBorder="1"/>
    <xf numFmtId="0" fontId="0" fillId="0" borderId="241" xfId="0" applyBorder="1"/>
    <xf numFmtId="0" fontId="0" fillId="0" borderId="242" xfId="0" applyBorder="1" applyAlignment="1">
      <alignment vertical="center"/>
    </xf>
    <xf numFmtId="0" fontId="0" fillId="0" borderId="243" xfId="0" applyBorder="1" applyAlignment="1">
      <alignment vertical="center"/>
    </xf>
    <xf numFmtId="0" fontId="0" fillId="0" borderId="244" xfId="0" applyBorder="1" applyAlignment="1">
      <alignment vertical="center"/>
    </xf>
    <xf numFmtId="0" fontId="85" fillId="0" borderId="245" xfId="0" applyFont="1" applyBorder="1" applyAlignment="1">
      <alignment horizontal="left" vertical="center"/>
    </xf>
    <xf numFmtId="0" fontId="0" fillId="0" borderId="246" xfId="0" applyBorder="1"/>
    <xf numFmtId="0" fontId="87" fillId="0" borderId="223" xfId="0" applyFont="1" applyBorder="1" applyAlignment="1">
      <alignment horizontal="center" vertical="center"/>
    </xf>
    <xf numFmtId="0" fontId="48" fillId="0" borderId="223" xfId="0" applyFont="1" applyBorder="1" applyAlignment="1">
      <alignment horizontal="center"/>
    </xf>
    <xf numFmtId="0" fontId="0" fillId="0" borderId="247" xfId="0" applyBorder="1"/>
    <xf numFmtId="0" fontId="0" fillId="0" borderId="248" xfId="0" applyBorder="1"/>
    <xf numFmtId="0" fontId="0" fillId="0" borderId="53" xfId="0" applyBorder="1" applyAlignment="1">
      <alignment vertical="center"/>
    </xf>
    <xf numFmtId="0" fontId="0" fillId="0" borderId="279" xfId="0" applyBorder="1"/>
    <xf numFmtId="0" fontId="0" fillId="0" borderId="280" xfId="0" applyBorder="1"/>
    <xf numFmtId="0" fontId="0" fillId="0" borderId="196" xfId="0" applyBorder="1"/>
    <xf numFmtId="0" fontId="0" fillId="0" borderId="129" xfId="0" applyBorder="1"/>
    <xf numFmtId="0" fontId="0" fillId="0" borderId="281" xfId="0" applyBorder="1"/>
    <xf numFmtId="0" fontId="0" fillId="0" borderId="136" xfId="0" applyBorder="1"/>
    <xf numFmtId="0" fontId="0" fillId="0" borderId="282" xfId="0" applyBorder="1"/>
    <xf numFmtId="0" fontId="0" fillId="3" borderId="59" xfId="0" applyFill="1" applyBorder="1"/>
    <xf numFmtId="0" fontId="0" fillId="3" borderId="46" xfId="0" applyFill="1" applyBorder="1"/>
    <xf numFmtId="0" fontId="0" fillId="0" borderId="211" xfId="0" applyBorder="1"/>
    <xf numFmtId="0" fontId="0" fillId="0" borderId="287" xfId="0" applyBorder="1"/>
    <xf numFmtId="0" fontId="11" fillId="3" borderId="46" xfId="0" applyFont="1" applyFill="1" applyBorder="1"/>
    <xf numFmtId="0" fontId="93" fillId="3" borderId="46" xfId="0" applyFont="1" applyFill="1" applyBorder="1" applyAlignment="1">
      <alignment horizontal="left" vertical="center"/>
    </xf>
    <xf numFmtId="0" fontId="0" fillId="3" borderId="48" xfId="0" applyFill="1" applyBorder="1"/>
    <xf numFmtId="0" fontId="0" fillId="3" borderId="227" xfId="0" applyFill="1" applyBorder="1"/>
    <xf numFmtId="0" fontId="0" fillId="3" borderId="291" xfId="0" applyFill="1" applyBorder="1"/>
    <xf numFmtId="0" fontId="0" fillId="3" borderId="293" xfId="0" applyFill="1" applyBorder="1"/>
    <xf numFmtId="0" fontId="0" fillId="3" borderId="292" xfId="0" applyFill="1" applyBorder="1"/>
    <xf numFmtId="0" fontId="0" fillId="3" borderId="289" xfId="0" applyFill="1" applyBorder="1"/>
    <xf numFmtId="0" fontId="93" fillId="3" borderId="47" xfId="0" applyFont="1" applyFill="1" applyBorder="1" applyAlignment="1">
      <alignment horizontal="left" vertical="center"/>
    </xf>
    <xf numFmtId="0" fontId="0" fillId="3" borderId="49" xfId="0" applyFill="1" applyBorder="1"/>
    <xf numFmtId="1" fontId="19" fillId="0" borderId="0" xfId="0" applyNumberFormat="1" applyFont="1" applyAlignment="1">
      <alignment horizontal="center" vertical="center"/>
    </xf>
    <xf numFmtId="1" fontId="92" fillId="18" borderId="48" xfId="0" applyNumberFormat="1" applyFont="1" applyFill="1" applyBorder="1" applyAlignment="1">
      <alignment horizontal="center" vertical="center"/>
    </xf>
    <xf numFmtId="1" fontId="19" fillId="18" borderId="48" xfId="0" applyNumberFormat="1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124" xfId="0" applyFont="1" applyBorder="1" applyAlignment="1">
      <alignment horizontal="center" vertical="center"/>
    </xf>
    <xf numFmtId="0" fontId="0" fillId="0" borderId="297" xfId="0" applyBorder="1"/>
    <xf numFmtId="0" fontId="0" fillId="0" borderId="127" xfId="0" applyBorder="1"/>
    <xf numFmtId="0" fontId="48" fillId="0" borderId="124" xfId="0" applyFont="1" applyBorder="1" applyAlignment="1">
      <alignment horizontal="left" vertical="center"/>
    </xf>
    <xf numFmtId="0" fontId="48" fillId="0" borderId="73" xfId="0" applyFont="1" applyBorder="1" applyAlignment="1">
      <alignment horizontal="center" vertical="center"/>
    </xf>
    <xf numFmtId="0" fontId="11" fillId="3" borderId="295" xfId="0" applyFont="1" applyFill="1" applyBorder="1"/>
    <xf numFmtId="0" fontId="11" fillId="3" borderId="72" xfId="0" applyFont="1" applyFill="1" applyBorder="1"/>
    <xf numFmtId="0" fontId="95" fillId="0" borderId="298" xfId="0" applyFont="1" applyBorder="1" applyAlignment="1">
      <alignment horizontal="left" vertical="center"/>
    </xf>
    <xf numFmtId="0" fontId="48" fillId="0" borderId="211" xfId="0" applyFont="1" applyBorder="1" applyAlignment="1">
      <alignment horizontal="center" vertical="center"/>
    </xf>
    <xf numFmtId="0" fontId="48" fillId="0" borderId="226" xfId="0" applyFont="1" applyBorder="1" applyAlignment="1">
      <alignment horizontal="center" vertical="center"/>
    </xf>
    <xf numFmtId="0" fontId="48" fillId="0" borderId="58" xfId="0" applyFont="1" applyBorder="1" applyAlignment="1">
      <alignment horizontal="center"/>
    </xf>
    <xf numFmtId="0" fontId="0" fillId="3" borderId="300" xfId="0" applyFill="1" applyBorder="1"/>
    <xf numFmtId="0" fontId="0" fillId="3" borderId="47" xfId="0" applyFill="1" applyBorder="1"/>
    <xf numFmtId="1" fontId="19" fillId="18" borderId="51" xfId="0" applyNumberFormat="1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1" fontId="92" fillId="18" borderId="51" xfId="0" applyNumberFormat="1" applyFont="1" applyFill="1" applyBorder="1" applyAlignment="1">
      <alignment horizontal="center" vertical="center"/>
    </xf>
    <xf numFmtId="0" fontId="0" fillId="3" borderId="301" xfId="0" applyFill="1" applyBorder="1"/>
    <xf numFmtId="0" fontId="0" fillId="3" borderId="51" xfId="0" applyFill="1" applyBorder="1"/>
    <xf numFmtId="0" fontId="95" fillId="0" borderId="288" xfId="0" applyFont="1" applyBorder="1" applyAlignment="1">
      <alignment vertical="center"/>
    </xf>
    <xf numFmtId="0" fontId="0" fillId="0" borderId="290" xfId="0" applyBorder="1"/>
    <xf numFmtId="0" fontId="0" fillId="3" borderId="294" xfId="0" applyFill="1" applyBorder="1"/>
    <xf numFmtId="0" fontId="0" fillId="0" borderId="302" xfId="0" applyBorder="1"/>
    <xf numFmtId="16" fontId="80" fillId="0" borderId="303" xfId="0" applyNumberFormat="1" applyFont="1" applyBorder="1" applyAlignment="1">
      <alignment horizontal="center" vertical="center"/>
    </xf>
    <xf numFmtId="0" fontId="80" fillId="0" borderId="5" xfId="0" applyFont="1" applyBorder="1" applyAlignment="1">
      <alignment horizontal="center" vertical="center"/>
    </xf>
    <xf numFmtId="0" fontId="8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0" fillId="0" borderId="5" xfId="0" applyFont="1" applyBorder="1" applyAlignment="1">
      <alignment horizontal="left" vertical="center" wrapText="1"/>
    </xf>
    <xf numFmtId="16" fontId="80" fillId="0" borderId="1" xfId="0" applyNumberFormat="1" applyFont="1" applyBorder="1" applyAlignment="1">
      <alignment horizontal="center" vertical="center"/>
    </xf>
    <xf numFmtId="14" fontId="65" fillId="0" borderId="6" xfId="0" applyNumberFormat="1" applyFont="1" applyBorder="1" applyAlignment="1">
      <alignment horizontal="center" vertical="center"/>
    </xf>
    <xf numFmtId="14" fontId="65" fillId="0" borderId="1" xfId="0" applyNumberFormat="1" applyFont="1" applyBorder="1" applyAlignment="1">
      <alignment horizontal="center" vertical="center"/>
    </xf>
    <xf numFmtId="14" fontId="65" fillId="0" borderId="36" xfId="0" applyNumberFormat="1" applyFont="1" applyBorder="1" applyAlignment="1">
      <alignment horizontal="center" vertical="center"/>
    </xf>
    <xf numFmtId="14" fontId="65" fillId="0" borderId="45" xfId="0" applyNumberFormat="1" applyFont="1" applyBorder="1" applyAlignment="1">
      <alignment horizontal="center" vertical="center"/>
    </xf>
    <xf numFmtId="14" fontId="65" fillId="0" borderId="34" xfId="0" applyNumberFormat="1" applyFont="1" applyBorder="1" applyAlignment="1">
      <alignment horizontal="center" vertical="center"/>
    </xf>
    <xf numFmtId="14" fontId="65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64" fillId="0" borderId="0" xfId="0" applyFont="1" applyAlignment="1">
      <alignment horizontal="right"/>
    </xf>
    <xf numFmtId="0" fontId="69" fillId="0" borderId="0" xfId="0" applyFont="1" applyAlignment="1">
      <alignment horizontal="center" vertical="center"/>
    </xf>
    <xf numFmtId="16" fontId="62" fillId="0" borderId="0" xfId="0" applyNumberFormat="1" applyFont="1" applyAlignment="1">
      <alignment horizontal="right" vertical="center"/>
    </xf>
    <xf numFmtId="0" fontId="6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/>
    </xf>
    <xf numFmtId="0" fontId="61" fillId="0" borderId="60" xfId="0" applyFont="1" applyBorder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16" fillId="0" borderId="307" xfId="0" applyFont="1" applyBorder="1"/>
    <xf numFmtId="0" fontId="77" fillId="0" borderId="306" xfId="0" applyFont="1" applyBorder="1" applyAlignment="1">
      <alignment horizontal="left" vertical="center"/>
    </xf>
    <xf numFmtId="0" fontId="66" fillId="0" borderId="0" xfId="0" applyFont="1" applyAlignment="1">
      <alignment horizontal="left" vertical="top" wrapText="1"/>
    </xf>
    <xf numFmtId="0" fontId="66" fillId="0" borderId="306" xfId="0" applyFont="1" applyBorder="1" applyAlignment="1">
      <alignment horizontal="left" vertical="top" wrapText="1"/>
    </xf>
    <xf numFmtId="0" fontId="66" fillId="0" borderId="0" xfId="0" applyFont="1" applyAlignment="1">
      <alignment horizontal="left" vertical="center" wrapText="1"/>
    </xf>
    <xf numFmtId="0" fontId="66" fillId="0" borderId="306" xfId="0" applyFont="1" applyBorder="1" applyAlignment="1">
      <alignment horizontal="left" vertical="center" wrapText="1"/>
    </xf>
    <xf numFmtId="0" fontId="0" fillId="0" borderId="48" xfId="0" applyBorder="1" applyAlignment="1">
      <alignment vertical="center"/>
    </xf>
    <xf numFmtId="0" fontId="68" fillId="0" borderId="46" xfId="0" applyFont="1" applyBorder="1" applyAlignment="1">
      <alignment horizontal="center" vertical="center"/>
    </xf>
    <xf numFmtId="0" fontId="68" fillId="0" borderId="46" xfId="0" applyFont="1" applyBorder="1" applyAlignment="1">
      <alignment horizontal="center" vertical="center" wrapText="1"/>
    </xf>
    <xf numFmtId="0" fontId="78" fillId="0" borderId="46" xfId="0" applyFont="1" applyBorder="1" applyAlignment="1">
      <alignment horizontal="center" vertical="center"/>
    </xf>
    <xf numFmtId="0" fontId="68" fillId="0" borderId="124" xfId="0" applyFont="1" applyBorder="1" applyAlignment="1">
      <alignment horizontal="center" vertical="center" wrapText="1"/>
    </xf>
    <xf numFmtId="0" fontId="66" fillId="0" borderId="223" xfId="0" applyFont="1" applyBorder="1" applyAlignment="1">
      <alignment horizontal="left" vertical="center" wrapText="1"/>
    </xf>
    <xf numFmtId="0" fontId="66" fillId="0" borderId="223" xfId="0" applyFont="1" applyBorder="1" applyAlignment="1">
      <alignment horizontal="left" vertical="top" wrapText="1"/>
    </xf>
    <xf numFmtId="0" fontId="77" fillId="0" borderId="308" xfId="0" applyFont="1" applyBorder="1" applyAlignment="1">
      <alignment horizontal="left" vertical="center"/>
    </xf>
    <xf numFmtId="0" fontId="68" fillId="0" borderId="50" xfId="0" applyFont="1" applyBorder="1" applyAlignment="1">
      <alignment horizontal="center" vertical="center" wrapText="1"/>
    </xf>
    <xf numFmtId="0" fontId="0" fillId="0" borderId="175" xfId="0" applyBorder="1" applyAlignment="1">
      <alignment horizontal="center"/>
    </xf>
    <xf numFmtId="0" fontId="0" fillId="0" borderId="92" xfId="0" applyBorder="1" applyAlignment="1">
      <alignment horizontal="center"/>
    </xf>
    <xf numFmtId="0" fontId="16" fillId="0" borderId="92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 wrapText="1"/>
    </xf>
    <xf numFmtId="0" fontId="15" fillId="0" borderId="312" xfId="0" applyFont="1" applyBorder="1" applyAlignment="1">
      <alignment horizontal="center" vertical="center" wrapText="1"/>
    </xf>
    <xf numFmtId="0" fontId="0" fillId="0" borderId="313" xfId="0" applyBorder="1"/>
    <xf numFmtId="0" fontId="0" fillId="0" borderId="314" xfId="0" applyBorder="1"/>
    <xf numFmtId="0" fontId="11" fillId="0" borderId="46" xfId="0" applyFont="1" applyBorder="1"/>
    <xf numFmtId="0" fontId="103" fillId="0" borderId="46" xfId="0" applyFont="1" applyBorder="1" applyAlignment="1">
      <alignment horizontal="right" vertical="center"/>
    </xf>
    <xf numFmtId="1" fontId="0" fillId="0" borderId="46" xfId="0" applyNumberFormat="1" applyBorder="1"/>
    <xf numFmtId="1" fontId="19" fillId="0" borderId="46" xfId="0" applyNumberFormat="1" applyFont="1" applyBorder="1" applyAlignment="1">
      <alignment horizontal="center" vertical="center"/>
    </xf>
    <xf numFmtId="0" fontId="103" fillId="0" borderId="46" xfId="0" applyFont="1" applyBorder="1" applyAlignment="1">
      <alignment horizontal="left" vertical="center"/>
    </xf>
    <xf numFmtId="0" fontId="11" fillId="0" borderId="46" xfId="0" applyFont="1" applyBorder="1" applyAlignment="1">
      <alignment horizontal="center" vertical="center"/>
    </xf>
    <xf numFmtId="0" fontId="0" fillId="0" borderId="227" xfId="0" applyBorder="1"/>
    <xf numFmtId="0" fontId="106" fillId="0" borderId="17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06" fillId="0" borderId="317" xfId="0" applyFont="1" applyBorder="1" applyAlignment="1">
      <alignment horizontal="center" vertical="center"/>
    </xf>
    <xf numFmtId="0" fontId="24" fillId="0" borderId="151" xfId="0" applyFont="1" applyBorder="1" applyAlignment="1">
      <alignment horizontal="center"/>
    </xf>
    <xf numFmtId="0" fontId="106" fillId="0" borderId="319" xfId="0" applyFont="1" applyBorder="1" applyAlignment="1">
      <alignment horizontal="center" vertical="center"/>
    </xf>
    <xf numFmtId="0" fontId="24" fillId="0" borderId="147" xfId="0" applyFont="1" applyBorder="1" applyAlignment="1">
      <alignment horizontal="center"/>
    </xf>
    <xf numFmtId="0" fontId="24" fillId="0" borderId="320" xfId="0" applyFont="1" applyBorder="1" applyAlignment="1">
      <alignment horizontal="center"/>
    </xf>
    <xf numFmtId="0" fontId="24" fillId="0" borderId="148" xfId="0" applyFont="1" applyBorder="1" applyAlignment="1">
      <alignment horizontal="center"/>
    </xf>
    <xf numFmtId="0" fontId="7" fillId="13" borderId="162" xfId="0" applyFont="1" applyFill="1" applyBorder="1" applyAlignment="1">
      <alignment horizontal="center" vertical="center" wrapText="1"/>
    </xf>
    <xf numFmtId="0" fontId="24" fillId="0" borderId="172" xfId="0" applyFont="1" applyBorder="1" applyAlignment="1">
      <alignment horizontal="center" vertical="center"/>
    </xf>
    <xf numFmtId="0" fontId="16" fillId="0" borderId="172" xfId="0" applyFont="1" applyBorder="1" applyAlignment="1">
      <alignment horizontal="center" vertical="center"/>
    </xf>
    <xf numFmtId="0" fontId="85" fillId="0" borderId="65" xfId="0" applyFont="1" applyBorder="1" applyAlignment="1">
      <alignment horizontal="center" vertical="center" wrapText="1"/>
    </xf>
    <xf numFmtId="0" fontId="91" fillId="0" borderId="65" xfId="0" applyFont="1" applyBorder="1" applyAlignment="1">
      <alignment horizontal="center" vertical="center"/>
    </xf>
    <xf numFmtId="0" fontId="91" fillId="0" borderId="53" xfId="0" applyFont="1" applyBorder="1" applyAlignment="1">
      <alignment horizontal="center" vertical="center"/>
    </xf>
    <xf numFmtId="0" fontId="87" fillId="0" borderId="65" xfId="0" applyFont="1" applyBorder="1"/>
    <xf numFmtId="0" fontId="48" fillId="0" borderId="4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9" fontId="0" fillId="0" borderId="48" xfId="0" applyNumberFormat="1" applyBorder="1" applyAlignment="1">
      <alignment vertical="center"/>
    </xf>
    <xf numFmtId="9" fontId="0" fillId="0" borderId="48" xfId="0" applyNumberFormat="1" applyBorder="1" applyAlignment="1">
      <alignment horizontal="center" vertical="center"/>
    </xf>
    <xf numFmtId="0" fontId="48" fillId="0" borderId="179" xfId="0" applyFont="1" applyBorder="1" applyAlignment="1">
      <alignment horizontal="center" vertical="center"/>
    </xf>
    <xf numFmtId="0" fontId="91" fillId="0" borderId="124" xfId="0" applyFont="1" applyBorder="1" applyAlignment="1">
      <alignment horizontal="left" vertical="center"/>
    </xf>
    <xf numFmtId="0" fontId="85" fillId="0" borderId="65" xfId="0" applyFont="1" applyBorder="1" applyAlignment="1">
      <alignment horizontal="left" vertical="center"/>
    </xf>
    <xf numFmtId="0" fontId="95" fillId="0" borderId="50" xfId="0" applyFont="1" applyBorder="1" applyAlignment="1">
      <alignment horizontal="left" vertical="center"/>
    </xf>
    <xf numFmtId="0" fontId="108" fillId="0" borderId="90" xfId="0" applyFont="1" applyBorder="1" applyAlignment="1">
      <alignment horizontal="center" vertical="center" wrapText="1"/>
    </xf>
    <xf numFmtId="0" fontId="50" fillId="0" borderId="94" xfId="0" applyFont="1" applyBorder="1" applyAlignment="1">
      <alignment horizontal="center" vertical="center"/>
    </xf>
    <xf numFmtId="0" fontId="108" fillId="0" borderId="90" xfId="0" applyFont="1" applyBorder="1" applyAlignment="1">
      <alignment horizontal="left" vertical="center" wrapText="1"/>
    </xf>
    <xf numFmtId="0" fontId="109" fillId="0" borderId="90" xfId="0" applyFont="1" applyBorder="1" applyAlignment="1">
      <alignment horizontal="left" vertical="center" wrapText="1"/>
    </xf>
    <xf numFmtId="0" fontId="48" fillId="0" borderId="89" xfId="0" applyFont="1" applyBorder="1" applyAlignment="1">
      <alignment vertical="center"/>
    </xf>
    <xf numFmtId="0" fontId="48" fillId="0" borderId="93" xfId="0" applyFont="1" applyBorder="1" applyAlignment="1">
      <alignment vertical="center"/>
    </xf>
    <xf numFmtId="0" fontId="109" fillId="0" borderId="90" xfId="0" applyFont="1" applyBorder="1" applyAlignment="1">
      <alignment horizontal="center" vertical="center" wrapText="1"/>
    </xf>
    <xf numFmtId="0" fontId="7" fillId="13" borderId="306" xfId="0" applyFont="1" applyFill="1" applyBorder="1" applyAlignment="1">
      <alignment horizontal="center" vertical="top" wrapText="1"/>
    </xf>
    <xf numFmtId="0" fontId="66" fillId="0" borderId="53" xfId="0" applyFont="1" applyBorder="1" applyAlignment="1">
      <alignment vertical="center"/>
    </xf>
    <xf numFmtId="0" fontId="66" fillId="0" borderId="65" xfId="0" applyFont="1" applyBorder="1" applyAlignment="1">
      <alignment vertical="center"/>
    </xf>
    <xf numFmtId="0" fontId="113" fillId="0" borderId="306" xfId="0" applyFont="1" applyBorder="1" applyAlignment="1">
      <alignment horizontal="center" vertical="center"/>
    </xf>
    <xf numFmtId="0" fontId="105" fillId="13" borderId="144" xfId="0" applyFont="1" applyFill="1" applyBorder="1" applyAlignment="1">
      <alignment vertical="center" wrapText="1"/>
    </xf>
    <xf numFmtId="0" fontId="105" fillId="13" borderId="317" xfId="0" applyFont="1" applyFill="1" applyBorder="1" applyAlignment="1">
      <alignment vertical="center" wrapText="1"/>
    </xf>
    <xf numFmtId="0" fontId="105" fillId="13" borderId="156" xfId="0" applyFont="1" applyFill="1" applyBorder="1" applyAlignment="1">
      <alignment vertical="center" wrapText="1"/>
    </xf>
    <xf numFmtId="1" fontId="11" fillId="0" borderId="46" xfId="0" applyNumberFormat="1" applyFont="1" applyBorder="1"/>
    <xf numFmtId="1" fontId="104" fillId="0" borderId="46" xfId="0" applyNumberFormat="1" applyFont="1" applyBorder="1" applyAlignment="1">
      <alignment horizontal="center" vertical="center"/>
    </xf>
    <xf numFmtId="1" fontId="11" fillId="0" borderId="46" xfId="0" applyNumberFormat="1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9" fontId="0" fillId="21" borderId="326" xfId="0" applyNumberFormat="1" applyFill="1" applyBorder="1" applyAlignment="1">
      <alignment vertical="center"/>
    </xf>
    <xf numFmtId="9" fontId="0" fillId="21" borderId="328" xfId="0" applyNumberFormat="1" applyFill="1" applyBorder="1" applyAlignment="1">
      <alignment vertical="center"/>
    </xf>
    <xf numFmtId="9" fontId="0" fillId="21" borderId="328" xfId="0" applyNumberFormat="1" applyFill="1" applyBorder="1" applyAlignment="1">
      <alignment horizontal="center" vertical="center"/>
    </xf>
    <xf numFmtId="9" fontId="0" fillId="0" borderId="328" xfId="0" applyNumberFormat="1" applyBorder="1" applyAlignment="1">
      <alignment horizontal="center" vertical="center"/>
    </xf>
    <xf numFmtId="9" fontId="0" fillId="3" borderId="328" xfId="0" applyNumberFormat="1" applyFill="1" applyBorder="1" applyAlignment="1">
      <alignment horizontal="center" vertical="center"/>
    </xf>
    <xf numFmtId="0" fontId="113" fillId="0" borderId="306" xfId="0" applyFont="1" applyBorder="1" applyAlignment="1">
      <alignment horizontal="center" vertical="center" wrapText="1"/>
    </xf>
    <xf numFmtId="0" fontId="113" fillId="0" borderId="306" xfId="0" applyFont="1" applyBorder="1" applyAlignment="1">
      <alignment horizontal="center" wrapText="1"/>
    </xf>
    <xf numFmtId="0" fontId="0" fillId="21" borderId="329" xfId="0" applyFill="1" applyBorder="1" applyAlignment="1">
      <alignment vertical="center"/>
    </xf>
    <xf numFmtId="9" fontId="0" fillId="21" borderId="325" xfId="0" applyNumberFormat="1" applyFill="1" applyBorder="1" applyAlignment="1">
      <alignment vertical="center"/>
    </xf>
    <xf numFmtId="0" fontId="0" fillId="21" borderId="330" xfId="0" applyFill="1" applyBorder="1" applyAlignment="1">
      <alignment vertical="center"/>
    </xf>
    <xf numFmtId="9" fontId="0" fillId="21" borderId="327" xfId="0" applyNumberFormat="1" applyFill="1" applyBorder="1" applyAlignment="1">
      <alignment vertical="center"/>
    </xf>
    <xf numFmtId="9" fontId="0" fillId="21" borderId="327" xfId="0" applyNumberFormat="1" applyFill="1" applyBorder="1" applyAlignment="1">
      <alignment horizontal="center" vertical="center"/>
    </xf>
    <xf numFmtId="0" fontId="0" fillId="0" borderId="330" xfId="0" applyBorder="1" applyAlignment="1">
      <alignment vertical="center"/>
    </xf>
    <xf numFmtId="9" fontId="0" fillId="0" borderId="327" xfId="0" applyNumberFormat="1" applyBorder="1" applyAlignment="1">
      <alignment horizontal="center" vertical="center"/>
    </xf>
    <xf numFmtId="0" fontId="0" fillId="0" borderId="330" xfId="0" applyBorder="1" applyAlignment="1">
      <alignment horizontal="right" vertical="center"/>
    </xf>
    <xf numFmtId="0" fontId="0" fillId="21" borderId="330" xfId="0" applyFill="1" applyBorder="1" applyAlignment="1">
      <alignment horizontal="left" vertical="center"/>
    </xf>
    <xf numFmtId="0" fontId="0" fillId="3" borderId="330" xfId="0" applyFill="1" applyBorder="1" applyAlignment="1">
      <alignment horizontal="left" vertical="center"/>
    </xf>
    <xf numFmtId="9" fontId="0" fillId="3" borderId="327" xfId="0" applyNumberFormat="1" applyFill="1" applyBorder="1" applyAlignment="1">
      <alignment horizontal="center" vertical="center"/>
    </xf>
    <xf numFmtId="0" fontId="0" fillId="0" borderId="330" xfId="0" applyBorder="1" applyAlignment="1">
      <alignment horizontal="right"/>
    </xf>
    <xf numFmtId="0" fontId="0" fillId="21" borderId="331" xfId="0" applyFill="1" applyBorder="1" applyAlignment="1">
      <alignment horizontal="right"/>
    </xf>
    <xf numFmtId="9" fontId="0" fillId="21" borderId="332" xfId="0" applyNumberFormat="1" applyFill="1" applyBorder="1" applyAlignment="1">
      <alignment horizontal="center" vertical="center"/>
    </xf>
    <xf numFmtId="0" fontId="113" fillId="0" borderId="139" xfId="0" applyFont="1" applyBorder="1" applyAlignment="1">
      <alignment horizontal="center" vertical="center"/>
    </xf>
    <xf numFmtId="0" fontId="113" fillId="0" borderId="141" xfId="0" applyFont="1" applyBorder="1" applyAlignment="1">
      <alignment horizontal="center" vertical="center"/>
    </xf>
    <xf numFmtId="9" fontId="0" fillId="21" borderId="333" xfId="0" applyNumberFormat="1" applyFill="1" applyBorder="1" applyAlignment="1">
      <alignment horizontal="center" vertical="center"/>
    </xf>
    <xf numFmtId="9" fontId="86" fillId="21" borderId="322" xfId="0" applyNumberFormat="1" applyFont="1" applyFill="1" applyBorder="1" applyAlignment="1">
      <alignment vertical="center"/>
    </xf>
    <xf numFmtId="9" fontId="86" fillId="21" borderId="323" xfId="0" applyNumberFormat="1" applyFont="1" applyFill="1" applyBorder="1" applyAlignment="1">
      <alignment vertical="center"/>
    </xf>
    <xf numFmtId="9" fontId="86" fillId="21" borderId="323" xfId="0" applyNumberFormat="1" applyFont="1" applyFill="1" applyBorder="1" applyAlignment="1">
      <alignment horizontal="center" vertical="center"/>
    </xf>
    <xf numFmtId="9" fontId="86" fillId="0" borderId="323" xfId="0" applyNumberFormat="1" applyFont="1" applyBorder="1" applyAlignment="1">
      <alignment horizontal="center" vertical="center"/>
    </xf>
    <xf numFmtId="9" fontId="86" fillId="3" borderId="323" xfId="0" applyNumberFormat="1" applyFont="1" applyFill="1" applyBorder="1" applyAlignment="1">
      <alignment horizontal="center" vertical="center"/>
    </xf>
    <xf numFmtId="9" fontId="86" fillId="21" borderId="33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3" fillId="19" borderId="335" xfId="0" applyFont="1" applyFill="1" applyBorder="1" applyAlignment="1">
      <alignment horizontal="center" vertical="center" wrapText="1"/>
    </xf>
    <xf numFmtId="0" fontId="0" fillId="0" borderId="90" xfId="0" applyBorder="1" applyAlignment="1">
      <alignment vertical="center"/>
    </xf>
    <xf numFmtId="0" fontId="16" fillId="0" borderId="90" xfId="0" applyFont="1" applyBorder="1" applyAlignment="1">
      <alignment horizontal="center" vertical="center" wrapText="1"/>
    </xf>
    <xf numFmtId="0" fontId="100" fillId="0" borderId="207" xfId="0" applyFont="1" applyBorder="1"/>
    <xf numFmtId="0" fontId="24" fillId="0" borderId="222" xfId="0" applyFont="1" applyBorder="1"/>
    <xf numFmtId="0" fontId="24" fillId="0" borderId="212" xfId="0" applyFont="1" applyBorder="1"/>
    <xf numFmtId="0" fontId="24" fillId="0" borderId="338" xfId="0" applyFont="1" applyBorder="1"/>
    <xf numFmtId="0" fontId="0" fillId="0" borderId="339" xfId="0" applyBorder="1"/>
    <xf numFmtId="0" fontId="0" fillId="0" borderId="340" xfId="0" applyBorder="1"/>
    <xf numFmtId="0" fontId="0" fillId="0" borderId="341" xfId="0" applyBorder="1"/>
    <xf numFmtId="0" fontId="0" fillId="0" borderId="56" xfId="0" applyBorder="1"/>
    <xf numFmtId="0" fontId="0" fillId="0" borderId="342" xfId="0" applyBorder="1"/>
    <xf numFmtId="0" fontId="0" fillId="0" borderId="343" xfId="0" applyBorder="1"/>
    <xf numFmtId="0" fontId="0" fillId="0" borderId="304" xfId="0" applyBorder="1"/>
    <xf numFmtId="0" fontId="0" fillId="0" borderId="344" xfId="0" applyBorder="1"/>
    <xf numFmtId="0" fontId="0" fillId="0" borderId="345" xfId="0" applyBorder="1"/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/>
    </xf>
    <xf numFmtId="1" fontId="68" fillId="0" borderId="46" xfId="0" applyNumberFormat="1" applyFont="1" applyBorder="1" applyAlignment="1">
      <alignment horizontal="left" vertical="top"/>
    </xf>
    <xf numFmtId="0" fontId="66" fillId="0" borderId="47" xfId="0" applyFont="1" applyBorder="1" applyAlignment="1">
      <alignment horizontal="center"/>
    </xf>
    <xf numFmtId="0" fontId="66" fillId="0" borderId="48" xfId="0" applyFont="1" applyBorder="1" applyAlignment="1">
      <alignment horizontal="center"/>
    </xf>
    <xf numFmtId="0" fontId="33" fillId="6" borderId="1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7" fillId="13" borderId="0" xfId="0" applyFont="1" applyFill="1" applyAlignment="1">
      <alignment horizontal="right" vertical="top" wrapText="1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6" borderId="139" xfId="0" applyFont="1" applyFill="1" applyBorder="1" applyAlignment="1">
      <alignment horizontal="center" vertical="center"/>
    </xf>
    <xf numFmtId="0" fontId="34" fillId="6" borderId="140" xfId="0" applyFont="1" applyFill="1" applyBorder="1" applyAlignment="1">
      <alignment horizontal="center" vertical="center"/>
    </xf>
    <xf numFmtId="0" fontId="34" fillId="6" borderId="14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72" fillId="13" borderId="0" xfId="0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49" fontId="74" fillId="13" borderId="0" xfId="0" applyNumberFormat="1" applyFont="1" applyFill="1" applyAlignment="1">
      <alignment horizontal="left" vertical="center" wrapText="1"/>
    </xf>
    <xf numFmtId="0" fontId="22" fillId="13" borderId="22" xfId="0" applyFont="1" applyFill="1" applyBorder="1" applyAlignment="1">
      <alignment horizontal="right" vertical="center"/>
    </xf>
    <xf numFmtId="0" fontId="22" fillId="13" borderId="0" xfId="0" applyFont="1" applyFill="1" applyAlignment="1">
      <alignment horizontal="right" vertical="center"/>
    </xf>
    <xf numFmtId="49" fontId="23" fillId="13" borderId="0" xfId="0" applyNumberFormat="1" applyFont="1" applyFill="1" applyAlignment="1">
      <alignment horizontal="left" vertical="center"/>
    </xf>
    <xf numFmtId="49" fontId="23" fillId="13" borderId="23" xfId="0" applyNumberFormat="1" applyFont="1" applyFill="1" applyBorder="1" applyAlignment="1">
      <alignment horizontal="left" vertical="center"/>
    </xf>
    <xf numFmtId="0" fontId="5" fillId="13" borderId="152" xfId="0" applyFont="1" applyFill="1" applyBorder="1" applyAlignment="1">
      <alignment horizontal="center" vertical="center"/>
    </xf>
    <xf numFmtId="0" fontId="5" fillId="13" borderId="153" xfId="0" applyFont="1" applyFill="1" applyBorder="1" applyAlignment="1">
      <alignment horizontal="center" vertical="center"/>
    </xf>
    <xf numFmtId="49" fontId="59" fillId="13" borderId="208" xfId="0" applyNumberFormat="1" applyFont="1" applyFill="1" applyBorder="1" applyAlignment="1">
      <alignment horizontal="center" vertical="center"/>
    </xf>
    <xf numFmtId="49" fontId="59" fillId="13" borderId="25" xfId="0" applyNumberFormat="1" applyFont="1" applyFill="1" applyBorder="1" applyAlignment="1">
      <alignment horizontal="center" vertical="center"/>
    </xf>
    <xf numFmtId="0" fontId="17" fillId="6" borderId="153" xfId="0" applyFont="1" applyFill="1" applyBorder="1" applyAlignment="1">
      <alignment horizontal="center" vertical="center" wrapText="1"/>
    </xf>
    <xf numFmtId="0" fontId="17" fillId="6" borderId="154" xfId="0" applyFont="1" applyFill="1" applyBorder="1" applyAlignment="1">
      <alignment horizontal="center" vertical="center" wrapText="1"/>
    </xf>
    <xf numFmtId="0" fontId="27" fillId="13" borderId="174" xfId="0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7" fillId="13" borderId="187" xfId="0" applyFont="1" applyFill="1" applyBorder="1" applyAlignment="1">
      <alignment horizontal="center" vertical="center"/>
    </xf>
    <xf numFmtId="0" fontId="20" fillId="3" borderId="189" xfId="0" applyFont="1" applyFill="1" applyBorder="1" applyAlignment="1">
      <alignment horizontal="center" vertical="center"/>
    </xf>
    <xf numFmtId="0" fontId="20" fillId="3" borderId="176" xfId="0" applyFont="1" applyFill="1" applyBorder="1" applyAlignment="1">
      <alignment horizontal="center" vertical="center"/>
    </xf>
    <xf numFmtId="0" fontId="20" fillId="3" borderId="190" xfId="0" applyFont="1" applyFill="1" applyBorder="1" applyAlignment="1">
      <alignment horizontal="left" vertical="center" wrapText="1"/>
    </xf>
    <xf numFmtId="0" fontId="20" fillId="3" borderId="191" xfId="0" applyFont="1" applyFill="1" applyBorder="1" applyAlignment="1">
      <alignment horizontal="left" vertical="center" wrapText="1"/>
    </xf>
    <xf numFmtId="0" fontId="28" fillId="3" borderId="174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30" fillId="8" borderId="38" xfId="0" applyFont="1" applyFill="1" applyBorder="1" applyAlignment="1">
      <alignment horizontal="center" vertical="center" wrapText="1"/>
    </xf>
    <xf numFmtId="0" fontId="30" fillId="8" borderId="63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30" fillId="9" borderId="38" xfId="0" applyFont="1" applyFill="1" applyBorder="1" applyAlignment="1">
      <alignment horizontal="center" vertical="center" wrapText="1"/>
    </xf>
    <xf numFmtId="0" fontId="30" fillId="9" borderId="63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left" vertical="center" wrapText="1"/>
    </xf>
    <xf numFmtId="0" fontId="20" fillId="3" borderId="43" xfId="0" applyFont="1" applyFill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 wrapText="1"/>
    </xf>
    <xf numFmtId="0" fontId="20" fillId="3" borderId="30" xfId="0" applyFont="1" applyFill="1" applyBorder="1" applyAlignment="1">
      <alignment horizontal="left" vertical="center" wrapText="1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/>
    </xf>
    <xf numFmtId="0" fontId="66" fillId="0" borderId="201" xfId="0" applyFont="1" applyBorder="1" applyAlignment="1">
      <alignment horizontal="left" vertical="top" wrapText="1"/>
    </xf>
    <xf numFmtId="0" fontId="66" fillId="0" borderId="140" xfId="0" applyFont="1" applyBorder="1" applyAlignment="1">
      <alignment horizontal="left" vertical="top" wrapText="1"/>
    </xf>
    <xf numFmtId="0" fontId="66" fillId="0" borderId="141" xfId="0" applyFont="1" applyBorder="1" applyAlignment="1">
      <alignment horizontal="left" vertical="top" wrapText="1"/>
    </xf>
    <xf numFmtId="0" fontId="24" fillId="0" borderId="7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4" fontId="65" fillId="0" borderId="114" xfId="0" applyNumberFormat="1" applyFont="1" applyBorder="1" applyAlignment="1">
      <alignment horizontal="center" vertical="center" wrapText="1"/>
    </xf>
    <xf numFmtId="0" fontId="65" fillId="0" borderId="115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89" fillId="13" borderId="19" xfId="0" applyFont="1" applyFill="1" applyBorder="1" applyAlignment="1">
      <alignment horizontal="center" vertical="center" wrapText="1"/>
    </xf>
    <xf numFmtId="0" fontId="89" fillId="13" borderId="206" xfId="0" applyFont="1" applyFill="1" applyBorder="1" applyAlignment="1">
      <alignment horizontal="center" vertical="center" wrapText="1"/>
    </xf>
    <xf numFmtId="14" fontId="65" fillId="0" borderId="12" xfId="0" applyNumberFormat="1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14" fontId="65" fillId="0" borderId="3" xfId="0" applyNumberFormat="1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6" fillId="0" borderId="46" xfId="0" applyFont="1" applyBorder="1" applyAlignment="1">
      <alignment horizontal="left" vertical="top" wrapText="1"/>
    </xf>
    <xf numFmtId="0" fontId="76" fillId="0" borderId="47" xfId="0" applyFont="1" applyBorder="1" applyAlignment="1">
      <alignment horizontal="left" vertical="center"/>
    </xf>
    <xf numFmtId="0" fontId="76" fillId="0" borderId="51" xfId="0" applyFont="1" applyBorder="1" applyAlignment="1">
      <alignment horizontal="left" vertical="center"/>
    </xf>
    <xf numFmtId="0" fontId="76" fillId="0" borderId="48" xfId="0" applyFont="1" applyBorder="1" applyAlignment="1">
      <alignment horizontal="left" vertical="center"/>
    </xf>
    <xf numFmtId="0" fontId="57" fillId="0" borderId="126" xfId="0" applyFont="1" applyBorder="1" applyAlignment="1">
      <alignment horizontal="center" vertical="center" wrapText="1"/>
    </xf>
    <xf numFmtId="0" fontId="57" fillId="0" borderId="127" xfId="0" applyFont="1" applyBorder="1" applyAlignment="1">
      <alignment horizontal="center" vertical="center" wrapText="1"/>
    </xf>
    <xf numFmtId="0" fontId="57" fillId="0" borderId="128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/>
    </xf>
    <xf numFmtId="0" fontId="50" fillId="0" borderId="135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45" fillId="0" borderId="131" xfId="0" applyFont="1" applyBorder="1" applyAlignment="1">
      <alignment horizontal="center" vertical="center"/>
    </xf>
    <xf numFmtId="0" fontId="45" fillId="0" borderId="88" xfId="0" applyFont="1" applyBorder="1" applyAlignment="1">
      <alignment horizontal="center" vertical="center"/>
    </xf>
    <xf numFmtId="0" fontId="50" fillId="0" borderId="47" xfId="0" applyFont="1" applyBorder="1" applyAlignment="1">
      <alignment horizontal="center" vertical="center"/>
    </xf>
    <xf numFmtId="0" fontId="50" fillId="0" borderId="51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6" fillId="0" borderId="120" xfId="0" applyFont="1" applyBorder="1" applyAlignment="1">
      <alignment horizontal="left" vertical="center"/>
    </xf>
    <xf numFmtId="0" fontId="76" fillId="0" borderId="111" xfId="0" applyFont="1" applyBorder="1" applyAlignment="1">
      <alignment horizontal="left" vertical="center"/>
    </xf>
    <xf numFmtId="0" fontId="0" fillId="0" borderId="97" xfId="0" applyBorder="1" applyAlignment="1">
      <alignment horizontal="center" vertical="center"/>
    </xf>
    <xf numFmtId="0" fontId="53" fillId="13" borderId="166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8" fillId="0" borderId="46" xfId="0" applyFont="1" applyBorder="1" applyAlignment="1">
      <alignment horizontal="center" vertical="top"/>
    </xf>
    <xf numFmtId="0" fontId="57" fillId="0" borderId="124" xfId="0" applyFont="1" applyBorder="1" applyAlignment="1">
      <alignment horizontal="center" vertical="top"/>
    </xf>
    <xf numFmtId="0" fontId="57" fillId="0" borderId="90" xfId="0" applyFont="1" applyBorder="1" applyAlignment="1">
      <alignment horizontal="center" vertical="top"/>
    </xf>
    <xf numFmtId="0" fontId="46" fillId="0" borderId="126" xfId="0" applyFont="1" applyBorder="1" applyAlignment="1">
      <alignment horizontal="center" vertical="center" wrapText="1"/>
    </xf>
    <xf numFmtId="0" fontId="46" fillId="0" borderId="127" xfId="0" applyFont="1" applyBorder="1" applyAlignment="1">
      <alignment horizontal="center" vertical="center" wrapText="1"/>
    </xf>
    <xf numFmtId="0" fontId="46" fillId="0" borderId="12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9" fillId="13" borderId="1" xfId="0" applyFont="1" applyFill="1" applyBorder="1" applyAlignment="1">
      <alignment horizontal="center" vertical="center" wrapText="1" readingOrder="1"/>
    </xf>
    <xf numFmtId="0" fontId="57" fillId="0" borderId="126" xfId="0" applyFont="1" applyBorder="1" applyAlignment="1">
      <alignment horizontal="center"/>
    </xf>
    <xf numFmtId="0" fontId="57" fillId="0" borderId="127" xfId="0" applyFont="1" applyBorder="1" applyAlignment="1">
      <alignment horizontal="center"/>
    </xf>
    <xf numFmtId="0" fontId="57" fillId="0" borderId="128" xfId="0" applyFont="1" applyBorder="1" applyAlignment="1">
      <alignment horizontal="center"/>
    </xf>
    <xf numFmtId="0" fontId="52" fillId="13" borderId="19" xfId="0" applyFont="1" applyFill="1" applyBorder="1" applyAlignment="1">
      <alignment horizontal="center" vertical="center" wrapText="1" readingOrder="1"/>
    </xf>
    <xf numFmtId="0" fontId="52" fillId="13" borderId="20" xfId="0" applyFont="1" applyFill="1" applyBorder="1" applyAlignment="1">
      <alignment horizontal="center" vertical="center" wrapText="1" readingOrder="1"/>
    </xf>
    <xf numFmtId="0" fontId="52" fillId="13" borderId="17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0" fillId="0" borderId="13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118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11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123" xfId="0" applyBorder="1" applyAlignment="1">
      <alignment horizontal="center"/>
    </xf>
    <xf numFmtId="0" fontId="0" fillId="0" borderId="95" xfId="0" applyBorder="1" applyAlignment="1">
      <alignment horizontal="center"/>
    </xf>
    <xf numFmtId="0" fontId="53" fillId="13" borderId="35" xfId="0" applyFont="1" applyFill="1" applyBorder="1" applyAlignment="1">
      <alignment horizontal="center" vertical="center"/>
    </xf>
    <xf numFmtId="0" fontId="53" fillId="13" borderId="36" xfId="0" applyFont="1" applyFill="1" applyBorder="1" applyAlignment="1">
      <alignment horizontal="center" vertical="center"/>
    </xf>
    <xf numFmtId="0" fontId="53" fillId="13" borderId="114" xfId="0" applyFont="1" applyFill="1" applyBorder="1" applyAlignment="1">
      <alignment horizontal="center" vertical="center"/>
    </xf>
    <xf numFmtId="0" fontId="0" fillId="0" borderId="164" xfId="0" applyBorder="1" applyAlignment="1">
      <alignment horizontal="center"/>
    </xf>
    <xf numFmtId="0" fontId="0" fillId="0" borderId="165" xfId="0" applyBorder="1" applyAlignment="1">
      <alignment horizontal="center"/>
    </xf>
    <xf numFmtId="0" fontId="0" fillId="0" borderId="121" xfId="0" applyBorder="1" applyAlignment="1">
      <alignment horizontal="center"/>
    </xf>
    <xf numFmtId="0" fontId="49" fillId="13" borderId="33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9" fillId="13" borderId="34" xfId="0" applyFont="1" applyFill="1" applyBorder="1" applyAlignment="1">
      <alignment horizontal="center" vertical="center" wrapText="1" readingOrder="1"/>
    </xf>
    <xf numFmtId="0" fontId="54" fillId="13" borderId="36" xfId="0" applyFont="1" applyFill="1" applyBorder="1" applyAlignment="1">
      <alignment horizontal="center" vertical="center"/>
    </xf>
    <xf numFmtId="0" fontId="54" fillId="13" borderId="37" xfId="0" applyFont="1" applyFill="1" applyBorder="1" applyAlignment="1">
      <alignment horizontal="center" vertical="center"/>
    </xf>
    <xf numFmtId="0" fontId="56" fillId="0" borderId="108" xfId="0" applyFont="1" applyBorder="1" applyAlignment="1">
      <alignment horizontal="center"/>
    </xf>
    <xf numFmtId="0" fontId="56" fillId="0" borderId="117" xfId="0" applyFont="1" applyBorder="1" applyAlignment="1">
      <alignment horizontal="center"/>
    </xf>
    <xf numFmtId="0" fontId="56" fillId="0" borderId="107" xfId="0" applyFont="1" applyBorder="1" applyAlignment="1">
      <alignment horizontal="center"/>
    </xf>
    <xf numFmtId="0" fontId="54" fillId="13" borderId="114" xfId="0" applyFont="1" applyFill="1" applyBorder="1" applyAlignment="1">
      <alignment horizontal="center" vertical="center"/>
    </xf>
    <xf numFmtId="0" fontId="54" fillId="13" borderId="61" xfId="0" applyFont="1" applyFill="1" applyBorder="1" applyAlignment="1">
      <alignment horizontal="center" vertical="center"/>
    </xf>
    <xf numFmtId="0" fontId="54" fillId="13" borderId="115" xfId="0" applyFont="1" applyFill="1" applyBorder="1" applyAlignment="1">
      <alignment horizontal="center" vertical="center"/>
    </xf>
    <xf numFmtId="0" fontId="54" fillId="13" borderId="35" xfId="0" applyFont="1" applyFill="1" applyBorder="1" applyAlignment="1">
      <alignment horizontal="center" vertical="center"/>
    </xf>
    <xf numFmtId="0" fontId="58" fillId="0" borderId="108" xfId="0" applyFont="1" applyBorder="1" applyAlignment="1">
      <alignment horizontal="center"/>
    </xf>
    <xf numFmtId="0" fontId="58" fillId="0" borderId="107" xfId="0" applyFont="1" applyBorder="1" applyAlignment="1">
      <alignment horizontal="center"/>
    </xf>
    <xf numFmtId="0" fontId="48" fillId="0" borderId="47" xfId="0" applyFont="1" applyBorder="1" applyAlignment="1">
      <alignment horizontal="center" vertical="top"/>
    </xf>
    <xf numFmtId="0" fontId="48" fillId="0" borderId="71" xfId="0" applyFont="1" applyBorder="1" applyAlignment="1">
      <alignment horizontal="center" vertical="top"/>
    </xf>
    <xf numFmtId="0" fontId="48" fillId="0" borderId="51" xfId="0" applyFont="1" applyBorder="1" applyAlignment="1">
      <alignment horizontal="center" vertical="top"/>
    </xf>
    <xf numFmtId="0" fontId="56" fillId="0" borderId="108" xfId="0" applyFont="1" applyBorder="1" applyAlignment="1">
      <alignment horizontal="right"/>
    </xf>
    <xf numFmtId="0" fontId="56" fillId="0" borderId="117" xfId="0" applyFont="1" applyBorder="1" applyAlignment="1">
      <alignment horizontal="right"/>
    </xf>
    <xf numFmtId="0" fontId="56" fillId="0" borderId="107" xfId="0" applyFont="1" applyBorder="1" applyAlignment="1">
      <alignment horizontal="right"/>
    </xf>
    <xf numFmtId="0" fontId="48" fillId="0" borderId="47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/>
    </xf>
    <xf numFmtId="0" fontId="48" fillId="0" borderId="7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13" borderId="139" xfId="0" applyFont="1" applyFill="1" applyBorder="1" applyAlignment="1">
      <alignment horizontal="center" vertical="center"/>
    </xf>
    <xf numFmtId="0" fontId="3" fillId="13" borderId="140" xfId="0" applyFont="1" applyFill="1" applyBorder="1" applyAlignment="1">
      <alignment horizontal="center" vertical="center"/>
    </xf>
    <xf numFmtId="0" fontId="3" fillId="13" borderId="141" xfId="0" applyFont="1" applyFill="1" applyBorder="1" applyAlignment="1">
      <alignment horizontal="center" vertical="center"/>
    </xf>
    <xf numFmtId="0" fontId="25" fillId="13" borderId="152" xfId="0" applyFont="1" applyFill="1" applyBorder="1" applyAlignment="1">
      <alignment horizontal="center" vertical="top" wrapText="1"/>
    </xf>
    <xf numFmtId="0" fontId="25" fillId="13" borderId="153" xfId="0" applyFont="1" applyFill="1" applyBorder="1" applyAlignment="1">
      <alignment horizontal="center" vertical="top" wrapText="1"/>
    </xf>
    <xf numFmtId="0" fontId="25" fillId="13" borderId="154" xfId="0" applyFont="1" applyFill="1" applyBorder="1" applyAlignment="1">
      <alignment horizontal="center" vertical="top" wrapText="1"/>
    </xf>
    <xf numFmtId="49" fontId="26" fillId="13" borderId="160" xfId="0" applyNumberFormat="1" applyFont="1" applyFill="1" applyBorder="1" applyAlignment="1">
      <alignment horizontal="center" vertical="top" wrapText="1"/>
    </xf>
    <xf numFmtId="49" fontId="26" fillId="13" borderId="161" xfId="0" applyNumberFormat="1" applyFont="1" applyFill="1" applyBorder="1" applyAlignment="1">
      <alignment horizontal="center" vertical="top" wrapText="1"/>
    </xf>
    <xf numFmtId="49" fontId="26" fillId="13" borderId="162" xfId="0" applyNumberFormat="1" applyFont="1" applyFill="1" applyBorder="1" applyAlignment="1">
      <alignment horizontal="center" vertical="top" wrapText="1"/>
    </xf>
    <xf numFmtId="0" fontId="42" fillId="13" borderId="27" xfId="0" applyFont="1" applyFill="1" applyBorder="1" applyAlignment="1">
      <alignment horizontal="center" vertical="center"/>
    </xf>
    <xf numFmtId="0" fontId="42" fillId="13" borderId="32" xfId="0" applyFont="1" applyFill="1" applyBorder="1" applyAlignment="1">
      <alignment horizontal="center" vertical="center"/>
    </xf>
    <xf numFmtId="0" fontId="42" fillId="13" borderId="28" xfId="0" applyFont="1" applyFill="1" applyBorder="1" applyAlignment="1">
      <alignment horizontal="center" vertical="center"/>
    </xf>
    <xf numFmtId="0" fontId="42" fillId="13" borderId="144" xfId="0" applyFont="1" applyFill="1" applyBorder="1" applyAlignment="1">
      <alignment horizontal="center" vertical="center"/>
    </xf>
    <xf numFmtId="0" fontId="42" fillId="13" borderId="145" xfId="0" applyFont="1" applyFill="1" applyBorder="1" applyAlignment="1">
      <alignment horizontal="center" vertical="center"/>
    </xf>
    <xf numFmtId="0" fontId="42" fillId="13" borderId="146" xfId="0" applyFont="1" applyFill="1" applyBorder="1" applyAlignment="1">
      <alignment horizontal="center" vertical="center"/>
    </xf>
    <xf numFmtId="0" fontId="49" fillId="13" borderId="5" xfId="0" applyFont="1" applyFill="1" applyBorder="1" applyAlignment="1">
      <alignment horizontal="center" vertical="center" wrapText="1" readingOrder="1"/>
    </xf>
    <xf numFmtId="0" fontId="49" fillId="13" borderId="163" xfId="0" applyFont="1" applyFill="1" applyBorder="1" applyAlignment="1">
      <alignment horizontal="center" vertical="center" wrapText="1" readingOrder="1"/>
    </xf>
    <xf numFmtId="0" fontId="52" fillId="13" borderId="1" xfId="0" applyFont="1" applyFill="1" applyBorder="1" applyAlignment="1">
      <alignment horizontal="center" vertical="center" wrapText="1" readingOrder="1"/>
    </xf>
    <xf numFmtId="0" fontId="52" fillId="13" borderId="34" xfId="0" applyFont="1" applyFill="1" applyBorder="1" applyAlignment="1">
      <alignment horizontal="center" vertical="center" wrapText="1" readingOrder="1"/>
    </xf>
    <xf numFmtId="0" fontId="51" fillId="13" borderId="27" xfId="0" applyFont="1" applyFill="1" applyBorder="1" applyAlignment="1">
      <alignment horizontal="center" vertical="center" wrapText="1" readingOrder="1"/>
    </xf>
    <xf numFmtId="0" fontId="51" fillId="13" borderId="32" xfId="0" applyFont="1" applyFill="1" applyBorder="1" applyAlignment="1">
      <alignment horizontal="center" vertical="center" wrapText="1" readingOrder="1"/>
    </xf>
    <xf numFmtId="0" fontId="51" fillId="13" borderId="28" xfId="0" applyFont="1" applyFill="1" applyBorder="1" applyAlignment="1">
      <alignment horizontal="center" vertical="center" wrapText="1" readingOrder="1"/>
    </xf>
    <xf numFmtId="0" fontId="52" fillId="13" borderId="33" xfId="0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center" vertical="center" textRotation="90"/>
    </xf>
    <xf numFmtId="0" fontId="33" fillId="0" borderId="0" xfId="0" applyFont="1" applyAlignment="1">
      <alignment horizontal="center" vertical="center" textRotation="90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179" xfId="0" applyFont="1" applyBorder="1" applyAlignment="1">
      <alignment horizontal="center" vertical="center" wrapText="1"/>
    </xf>
    <xf numFmtId="0" fontId="102" fillId="0" borderId="304" xfId="0" applyFont="1" applyBorder="1" applyAlignment="1">
      <alignment horizontal="left" vertical="center" wrapText="1"/>
    </xf>
    <xf numFmtId="0" fontId="102" fillId="0" borderId="8" xfId="0" applyFont="1" applyBorder="1" applyAlignment="1">
      <alignment horizontal="left" vertical="center" wrapText="1"/>
    </xf>
    <xf numFmtId="0" fontId="102" fillId="0" borderId="305" xfId="0" applyFont="1" applyBorder="1" applyAlignment="1">
      <alignment horizontal="left" vertical="center" wrapText="1"/>
    </xf>
    <xf numFmtId="0" fontId="101" fillId="0" borderId="179" xfId="0" applyFont="1" applyBorder="1" applyAlignment="1">
      <alignment horizontal="left" vertical="center" wrapText="1"/>
    </xf>
    <xf numFmtId="0" fontId="100" fillId="0" borderId="51" xfId="0" applyFont="1" applyBorder="1" applyAlignment="1">
      <alignment horizontal="left" vertical="center" wrapText="1"/>
    </xf>
    <xf numFmtId="0" fontId="100" fillId="0" borderId="129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00" fillId="0" borderId="336" xfId="0" applyFont="1" applyBorder="1" applyAlignment="1">
      <alignment horizontal="left" vertical="center"/>
    </xf>
    <xf numFmtId="0" fontId="100" fillId="0" borderId="127" xfId="0" applyFont="1" applyBorder="1" applyAlignment="1">
      <alignment horizontal="left" vertical="center"/>
    </xf>
    <xf numFmtId="0" fontId="100" fillId="0" borderId="337" xfId="0" applyFont="1" applyBorder="1" applyAlignment="1">
      <alignment horizontal="left" vertical="center"/>
    </xf>
    <xf numFmtId="0" fontId="96" fillId="0" borderId="1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70" fillId="0" borderId="0" xfId="0" applyFont="1" applyAlignment="1">
      <alignment horizontal="right" vertical="center"/>
    </xf>
    <xf numFmtId="0" fontId="16" fillId="0" borderId="183" xfId="0" applyFont="1" applyBorder="1" applyAlignment="1">
      <alignment horizontal="center" vertical="center" wrapText="1"/>
    </xf>
    <xf numFmtId="0" fontId="16" fillId="0" borderId="173" xfId="0" applyFont="1" applyBorder="1" applyAlignment="1">
      <alignment horizontal="center" vertical="center" wrapText="1"/>
    </xf>
    <xf numFmtId="0" fontId="16" fillId="0" borderId="182" xfId="0" applyFont="1" applyBorder="1" applyAlignment="1">
      <alignment horizontal="center" vertical="center" wrapText="1"/>
    </xf>
    <xf numFmtId="0" fontId="54" fillId="13" borderId="58" xfId="0" applyFont="1" applyFill="1" applyBorder="1" applyAlignment="1">
      <alignment horizontal="right" vertical="center"/>
    </xf>
    <xf numFmtId="0" fontId="54" fillId="13" borderId="0" xfId="0" applyFont="1" applyFill="1" applyAlignment="1">
      <alignment horizontal="right" vertical="center"/>
    </xf>
    <xf numFmtId="49" fontId="81" fillId="13" borderId="0" xfId="0" applyNumberFormat="1" applyFont="1" applyFill="1" applyAlignment="1">
      <alignment horizontal="left" vertical="center"/>
    </xf>
    <xf numFmtId="49" fontId="81" fillId="13" borderId="60" xfId="0" applyNumberFormat="1" applyFont="1" applyFill="1" applyBorder="1" applyAlignment="1">
      <alignment horizontal="left" vertical="center"/>
    </xf>
    <xf numFmtId="0" fontId="91" fillId="0" borderId="54" xfId="0" applyFont="1" applyBorder="1" applyAlignment="1">
      <alignment horizontal="left" vertical="center"/>
    </xf>
    <xf numFmtId="0" fontId="91" fillId="0" borderId="49" xfId="0" applyFont="1" applyBorder="1" applyAlignment="1">
      <alignment horizontal="left" vertical="center"/>
    </xf>
    <xf numFmtId="0" fontId="91" fillId="0" borderId="55" xfId="0" applyFont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101" fillId="0" borderId="178" xfId="0" applyFont="1" applyBorder="1" applyAlignment="1">
      <alignment horizontal="left" vertical="center" wrapText="1"/>
    </xf>
    <xf numFmtId="0" fontId="101" fillId="0" borderId="195" xfId="0" applyFont="1" applyBorder="1" applyAlignment="1">
      <alignment horizontal="left" vertical="center" wrapText="1"/>
    </xf>
    <xf numFmtId="0" fontId="101" fillId="0" borderId="177" xfId="0" applyFont="1" applyBorder="1" applyAlignment="1">
      <alignment horizontal="left" vertical="center" wrapText="1"/>
    </xf>
    <xf numFmtId="0" fontId="54" fillId="13" borderId="58" xfId="0" applyFont="1" applyFill="1" applyBorder="1" applyAlignment="1">
      <alignment horizontal="center" vertical="center"/>
    </xf>
    <xf numFmtId="0" fontId="54" fillId="13" borderId="0" xfId="0" applyFont="1" applyFill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6" fillId="0" borderId="337" xfId="0" applyFont="1" applyBorder="1" applyAlignment="1">
      <alignment horizontal="center" vertical="center" wrapText="1"/>
    </xf>
    <xf numFmtId="0" fontId="63" fillId="19" borderId="5" xfId="0" applyFont="1" applyFill="1" applyBorder="1" applyAlignment="1">
      <alignment horizontal="center" vertical="center" wrapText="1"/>
    </xf>
    <xf numFmtId="0" fontId="63" fillId="19" borderId="156" xfId="0" applyFont="1" applyFill="1" applyBorder="1" applyAlignment="1">
      <alignment horizontal="center" vertical="center" wrapText="1"/>
    </xf>
    <xf numFmtId="0" fontId="38" fillId="0" borderId="59" xfId="0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0" fontId="7" fillId="13" borderId="309" xfId="0" applyFont="1" applyFill="1" applyBorder="1" applyAlignment="1">
      <alignment horizontal="center" vertical="center"/>
    </xf>
    <xf numFmtId="0" fontId="7" fillId="13" borderId="310" xfId="0" applyFont="1" applyFill="1" applyBorder="1" applyAlignment="1">
      <alignment horizontal="center" vertical="center"/>
    </xf>
    <xf numFmtId="0" fontId="7" fillId="13" borderId="311" xfId="0" applyFont="1" applyFill="1" applyBorder="1" applyAlignment="1">
      <alignment horizontal="center" vertical="center"/>
    </xf>
    <xf numFmtId="0" fontId="16" fillId="0" borderId="336" xfId="0" applyFont="1" applyBorder="1" applyAlignment="1">
      <alignment horizontal="center" vertical="center" wrapText="1"/>
    </xf>
    <xf numFmtId="0" fontId="95" fillId="0" borderId="50" xfId="0" applyFont="1" applyBorder="1" applyAlignment="1">
      <alignment horizontal="right" vertical="center"/>
    </xf>
    <xf numFmtId="0" fontId="95" fillId="0" borderId="46" xfId="0" applyFont="1" applyBorder="1" applyAlignment="1">
      <alignment horizontal="right" vertical="center"/>
    </xf>
    <xf numFmtId="0" fontId="111" fillId="13" borderId="140" xfId="0" applyFont="1" applyFill="1" applyBorder="1" applyAlignment="1">
      <alignment horizontal="center" vertical="center"/>
    </xf>
    <xf numFmtId="0" fontId="111" fillId="13" borderId="141" xfId="0" applyFont="1" applyFill="1" applyBorder="1" applyAlignment="1">
      <alignment horizontal="center" vertical="center"/>
    </xf>
    <xf numFmtId="0" fontId="82" fillId="0" borderId="140" xfId="0" applyFont="1" applyBorder="1" applyAlignment="1">
      <alignment horizontal="center"/>
    </xf>
    <xf numFmtId="0" fontId="82" fillId="0" borderId="141" xfId="0" applyFont="1" applyBorder="1" applyAlignment="1">
      <alignment horizontal="center"/>
    </xf>
    <xf numFmtId="0" fontId="110" fillId="13" borderId="153" xfId="0" applyFont="1" applyFill="1" applyBorder="1" applyAlignment="1">
      <alignment horizontal="center" vertical="center"/>
    </xf>
    <xf numFmtId="0" fontId="110" fillId="13" borderId="154" xfId="0" applyFont="1" applyFill="1" applyBorder="1" applyAlignment="1">
      <alignment horizontal="center" vertical="center"/>
    </xf>
    <xf numFmtId="0" fontId="112" fillId="13" borderId="190" xfId="0" applyFont="1" applyFill="1" applyBorder="1" applyAlignment="1">
      <alignment horizontal="center" vertical="center"/>
    </xf>
    <xf numFmtId="0" fontId="112" fillId="13" borderId="192" xfId="0" applyFont="1" applyFill="1" applyBorder="1" applyAlignment="1">
      <alignment horizontal="center" vertical="center"/>
    </xf>
    <xf numFmtId="0" fontId="91" fillId="0" borderId="65" xfId="0" applyFont="1" applyBorder="1" applyAlignment="1">
      <alignment horizontal="left" vertical="center"/>
    </xf>
    <xf numFmtId="0" fontId="105" fillId="13" borderId="315" xfId="0" applyFont="1" applyFill="1" applyBorder="1" applyAlignment="1">
      <alignment horizontal="center" vertical="center"/>
    </xf>
    <xf numFmtId="0" fontId="105" fillId="13" borderId="153" xfId="0" applyFont="1" applyFill="1" applyBorder="1" applyAlignment="1">
      <alignment horizontal="center" vertical="center"/>
    </xf>
    <xf numFmtId="0" fontId="105" fillId="13" borderId="24" xfId="0" applyFont="1" applyFill="1" applyBorder="1" applyAlignment="1">
      <alignment horizontal="center" vertical="center"/>
    </xf>
    <xf numFmtId="0" fontId="105" fillId="13" borderId="25" xfId="0" applyFont="1" applyFill="1" applyBorder="1" applyAlignment="1">
      <alignment horizontal="center" vertical="center"/>
    </xf>
    <xf numFmtId="0" fontId="105" fillId="13" borderId="316" xfId="0" applyFont="1" applyFill="1" applyBorder="1" applyAlignment="1">
      <alignment horizontal="center" vertical="center"/>
    </xf>
    <xf numFmtId="0" fontId="105" fillId="13" borderId="318" xfId="0" applyFont="1" applyFill="1" applyBorder="1" applyAlignment="1">
      <alignment horizontal="center" vertical="center"/>
    </xf>
    <xf numFmtId="0" fontId="105" fillId="13" borderId="62" xfId="0" applyFont="1" applyFill="1" applyBorder="1" applyAlignment="1">
      <alignment horizontal="center" vertical="center"/>
    </xf>
    <xf numFmtId="0" fontId="105" fillId="13" borderId="218" xfId="0" applyFont="1" applyFill="1" applyBorder="1" applyAlignment="1">
      <alignment horizontal="center" vertical="center"/>
    </xf>
    <xf numFmtId="0" fontId="105" fillId="13" borderId="6" xfId="0" applyFont="1" applyFill="1" applyBorder="1" applyAlignment="1">
      <alignment horizontal="center" vertical="center" wrapText="1"/>
    </xf>
    <xf numFmtId="0" fontId="105" fillId="13" borderId="5" xfId="0" applyFont="1" applyFill="1" applyBorder="1" applyAlignment="1">
      <alignment horizontal="center" vertical="center" wrapText="1"/>
    </xf>
    <xf numFmtId="0" fontId="105" fillId="13" borderId="22" xfId="0" applyFont="1" applyFill="1" applyBorder="1" applyAlignment="1">
      <alignment horizontal="center" vertical="center" wrapText="1"/>
    </xf>
    <xf numFmtId="0" fontId="24" fillId="0" borderId="172" xfId="0" applyFont="1" applyBorder="1" applyAlignment="1">
      <alignment horizontal="center" vertical="center"/>
    </xf>
    <xf numFmtId="0" fontId="103" fillId="0" borderId="46" xfId="0" applyFont="1" applyBorder="1" applyAlignment="1">
      <alignment horizontal="right" vertical="center"/>
    </xf>
    <xf numFmtId="0" fontId="107" fillId="0" borderId="229" xfId="0" applyFont="1" applyBorder="1" applyAlignment="1">
      <alignment horizontal="left" vertical="center"/>
    </xf>
    <xf numFmtId="0" fontId="107" fillId="0" borderId="230" xfId="0" applyFont="1" applyBorder="1" applyAlignment="1">
      <alignment horizontal="left" vertical="center"/>
    </xf>
    <xf numFmtId="0" fontId="107" fillId="0" borderId="231" xfId="0" applyFont="1" applyBorder="1" applyAlignment="1">
      <alignment horizontal="left" vertical="center"/>
    </xf>
    <xf numFmtId="0" fontId="54" fillId="13" borderId="321" xfId="0" applyFont="1" applyFill="1" applyBorder="1" applyAlignment="1">
      <alignment horizontal="center" vertical="center"/>
    </xf>
    <xf numFmtId="0" fontId="54" fillId="13" borderId="324" xfId="0" applyFont="1" applyFill="1" applyBorder="1" applyAlignment="1">
      <alignment horizontal="center" vertical="center"/>
    </xf>
    <xf numFmtId="0" fontId="54" fillId="13" borderId="283" xfId="0" applyFont="1" applyFill="1" applyBorder="1" applyAlignment="1">
      <alignment horizontal="center" vertical="center"/>
    </xf>
    <xf numFmtId="0" fontId="54" fillId="13" borderId="159" xfId="0" applyFont="1" applyFill="1" applyBorder="1" applyAlignment="1">
      <alignment horizontal="center" vertical="center"/>
    </xf>
    <xf numFmtId="0" fontId="54" fillId="13" borderId="152" xfId="0" applyFont="1" applyFill="1" applyBorder="1" applyAlignment="1">
      <alignment horizontal="center" vertical="center"/>
    </xf>
    <xf numFmtId="0" fontId="54" fillId="13" borderId="153" xfId="0" applyFont="1" applyFill="1" applyBorder="1" applyAlignment="1">
      <alignment horizontal="center" vertical="center"/>
    </xf>
    <xf numFmtId="0" fontId="54" fillId="13" borderId="154" xfId="0" applyFont="1" applyFill="1" applyBorder="1" applyAlignment="1">
      <alignment horizontal="center" vertical="center"/>
    </xf>
    <xf numFmtId="0" fontId="54" fillId="13" borderId="160" xfId="0" applyFont="1" applyFill="1" applyBorder="1" applyAlignment="1">
      <alignment horizontal="center" vertical="center"/>
    </xf>
    <xf numFmtId="0" fontId="54" fillId="13" borderId="162" xfId="0" applyFont="1" applyFill="1" applyBorder="1" applyAlignment="1">
      <alignment horizontal="center" vertical="center"/>
    </xf>
    <xf numFmtId="0" fontId="95" fillId="0" borderId="299" xfId="0" applyFont="1" applyBorder="1" applyAlignment="1">
      <alignment horizontal="right" vertical="center"/>
    </xf>
    <xf numFmtId="0" fontId="95" fillId="0" borderId="296" xfId="0" applyFont="1" applyBorder="1" applyAlignment="1">
      <alignment horizontal="right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83" fillId="13" borderId="19" xfId="0" applyFont="1" applyFill="1" applyBorder="1" applyAlignment="1">
      <alignment horizontal="center" vertical="center"/>
    </xf>
    <xf numFmtId="0" fontId="83" fillId="13" borderId="20" xfId="0" applyFont="1" applyFill="1" applyBorder="1" applyAlignment="1">
      <alignment horizontal="center" vertical="center"/>
    </xf>
    <xf numFmtId="0" fontId="83" fillId="13" borderId="24" xfId="0" applyFont="1" applyFill="1" applyBorder="1" applyAlignment="1">
      <alignment horizontal="center" vertical="center"/>
    </xf>
    <xf numFmtId="0" fontId="83" fillId="13" borderId="25" xfId="0" applyFont="1" applyFill="1" applyBorder="1" applyAlignment="1">
      <alignment horizontal="center" vertical="center"/>
    </xf>
    <xf numFmtId="0" fontId="83" fillId="13" borderId="17" xfId="0" applyFont="1" applyFill="1" applyBorder="1" applyAlignment="1">
      <alignment horizontal="center" vertical="center"/>
    </xf>
    <xf numFmtId="0" fontId="83" fillId="13" borderId="22" xfId="0" applyFont="1" applyFill="1" applyBorder="1" applyAlignment="1">
      <alignment horizontal="center" vertical="center"/>
    </xf>
    <xf numFmtId="0" fontId="83" fillId="13" borderId="23" xfId="0" applyFont="1" applyFill="1" applyBorder="1" applyAlignment="1">
      <alignment horizontal="center" vertical="center"/>
    </xf>
    <xf numFmtId="0" fontId="67" fillId="0" borderId="33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83" fillId="13" borderId="27" xfId="0" applyFont="1" applyFill="1" applyBorder="1" applyAlignment="1">
      <alignment horizontal="center" vertical="center" wrapText="1"/>
    </xf>
    <xf numFmtId="0" fontId="83" fillId="13" borderId="32" xfId="0" applyFont="1" applyFill="1" applyBorder="1" applyAlignment="1">
      <alignment horizontal="center" vertical="center" wrapText="1"/>
    </xf>
    <xf numFmtId="0" fontId="83" fillId="13" borderId="217" xfId="0" applyFont="1" applyFill="1" applyBorder="1" applyAlignment="1">
      <alignment horizontal="center" vertical="center" wrapText="1"/>
    </xf>
    <xf numFmtId="0" fontId="83" fillId="13" borderId="33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 wrapText="1"/>
    </xf>
    <xf numFmtId="0" fontId="83" fillId="13" borderId="3" xfId="0" applyFont="1" applyFill="1" applyBorder="1" applyAlignment="1">
      <alignment horizontal="center" vertical="center" wrapText="1"/>
    </xf>
    <xf numFmtId="0" fontId="83" fillId="13" borderId="218" xfId="0" applyFont="1" applyFill="1" applyBorder="1" applyAlignment="1">
      <alignment horizontal="center" vertical="center" wrapText="1"/>
    </xf>
    <xf numFmtId="0" fontId="83" fillId="13" borderId="5" xfId="0" applyFont="1" applyFill="1" applyBorder="1" applyAlignment="1">
      <alignment horizontal="center" vertical="center" wrapText="1"/>
    </xf>
    <xf numFmtId="0" fontId="83" fillId="13" borderId="7" xfId="0" applyFont="1" applyFill="1" applyBorder="1" applyAlignment="1">
      <alignment horizontal="center" vertical="center" wrapText="1"/>
    </xf>
    <xf numFmtId="0" fontId="94" fillId="13" borderId="62" xfId="0" applyFont="1" applyFill="1" applyBorder="1" applyAlignment="1">
      <alignment horizontal="center" vertical="center"/>
    </xf>
    <xf numFmtId="0" fontId="94" fillId="13" borderId="6" xfId="0" applyFont="1" applyFill="1" applyBorder="1" applyAlignment="1">
      <alignment horizontal="center" vertical="center"/>
    </xf>
    <xf numFmtId="0" fontId="94" fillId="13" borderId="218" xfId="0" applyFont="1" applyFill="1" applyBorder="1" applyAlignment="1">
      <alignment horizontal="center" vertical="center"/>
    </xf>
    <xf numFmtId="0" fontId="94" fillId="13" borderId="5" xfId="0" applyFont="1" applyFill="1" applyBorder="1" applyAlignment="1">
      <alignment horizontal="center" vertical="center"/>
    </xf>
    <xf numFmtId="0" fontId="94" fillId="13" borderId="6" xfId="0" applyFont="1" applyFill="1" applyBorder="1" applyAlignment="1">
      <alignment horizontal="center" vertical="center" wrapText="1"/>
    </xf>
    <xf numFmtId="0" fontId="94" fillId="13" borderId="45" xfId="0" applyFont="1" applyFill="1" applyBorder="1" applyAlignment="1">
      <alignment horizontal="center" vertical="center" wrapText="1"/>
    </xf>
    <xf numFmtId="0" fontId="94" fillId="13" borderId="5" xfId="0" applyFont="1" applyFill="1" applyBorder="1" applyAlignment="1">
      <alignment horizontal="center" vertical="center" wrapText="1"/>
    </xf>
    <xf numFmtId="0" fontId="94" fillId="13" borderId="163" xfId="0" applyFont="1" applyFill="1" applyBorder="1" applyAlignment="1">
      <alignment horizontal="center" vertical="center" wrapText="1"/>
    </xf>
    <xf numFmtId="0" fontId="94" fillId="13" borderId="22" xfId="0" applyFont="1" applyFill="1" applyBorder="1" applyAlignment="1">
      <alignment horizontal="center" vertical="center" wrapText="1"/>
    </xf>
    <xf numFmtId="0" fontId="94" fillId="13" borderId="0" xfId="0" applyFont="1" applyFill="1" applyAlignment="1">
      <alignment horizontal="center" vertical="center" wrapText="1"/>
    </xf>
    <xf numFmtId="0" fontId="82" fillId="13" borderId="139" xfId="0" applyFont="1" applyFill="1" applyBorder="1" applyAlignment="1">
      <alignment horizontal="center"/>
    </xf>
    <xf numFmtId="0" fontId="82" fillId="13" borderId="140" xfId="0" applyFont="1" applyFill="1" applyBorder="1" applyAlignment="1">
      <alignment horizontal="center"/>
    </xf>
    <xf numFmtId="0" fontId="82" fillId="13" borderId="141" xfId="0" applyFont="1" applyFill="1" applyBorder="1" applyAlignment="1">
      <alignment horizontal="center"/>
    </xf>
    <xf numFmtId="0" fontId="88" fillId="0" borderId="229" xfId="0" applyFont="1" applyBorder="1" applyAlignment="1">
      <alignment horizontal="left" vertical="center"/>
    </xf>
    <xf numFmtId="0" fontId="88" fillId="0" borderId="230" xfId="0" applyFont="1" applyBorder="1" applyAlignment="1">
      <alignment horizontal="left" vertical="center"/>
    </xf>
    <xf numFmtId="0" fontId="88" fillId="0" borderId="231" xfId="0" applyFont="1" applyBorder="1" applyAlignment="1">
      <alignment horizontal="left" vertical="center"/>
    </xf>
    <xf numFmtId="0" fontId="15" fillId="0" borderId="139" xfId="0" applyFont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0" fontId="15" fillId="0" borderId="152" xfId="0" applyFont="1" applyBorder="1" applyAlignment="1">
      <alignment horizontal="center" vertical="center" wrapText="1"/>
    </xf>
    <xf numFmtId="0" fontId="15" fillId="0" borderId="153" xfId="0" applyFont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0" borderId="207" xfId="0" applyFont="1" applyBorder="1" applyAlignment="1">
      <alignment horizontal="center" vertical="center" wrapText="1"/>
    </xf>
    <xf numFmtId="0" fontId="15" fillId="0" borderId="190" xfId="0" applyFont="1" applyBorder="1" applyAlignment="1">
      <alignment horizontal="center" vertical="center" wrapText="1"/>
    </xf>
    <xf numFmtId="0" fontId="15" fillId="0" borderId="192" xfId="0" applyFont="1" applyBorder="1" applyAlignment="1">
      <alignment horizontal="center" vertical="center" wrapText="1"/>
    </xf>
    <xf numFmtId="0" fontId="85" fillId="0" borderId="211" xfId="0" applyFont="1" applyBorder="1" applyAlignment="1">
      <alignment horizontal="left" vertical="center"/>
    </xf>
    <xf numFmtId="0" fontId="85" fillId="0" borderId="153" xfId="0" applyFont="1" applyBorder="1" applyAlignment="1">
      <alignment horizontal="left" vertical="center"/>
    </xf>
    <xf numFmtId="0" fontId="85" fillId="0" borderId="154" xfId="0" applyFont="1" applyBorder="1" applyAlignment="1">
      <alignment horizontal="left" vertical="center"/>
    </xf>
    <xf numFmtId="0" fontId="85" fillId="0" borderId="54" xfId="0" applyFont="1" applyBorder="1" applyAlignment="1">
      <alignment horizontal="left" vertical="center"/>
    </xf>
    <xf numFmtId="0" fontId="85" fillId="0" borderId="49" xfId="0" applyFont="1" applyBorder="1" applyAlignment="1">
      <alignment horizontal="left" vertical="center"/>
    </xf>
    <xf numFmtId="0" fontId="85" fillId="0" borderId="136" xfId="0" applyFont="1" applyBorder="1" applyAlignment="1">
      <alignment horizontal="left" vertical="center"/>
    </xf>
    <xf numFmtId="0" fontId="82" fillId="0" borderId="139" xfId="0" applyFont="1" applyBorder="1" applyAlignment="1">
      <alignment horizontal="center"/>
    </xf>
    <xf numFmtId="0" fontId="91" fillId="0" borderId="211" xfId="0" applyFont="1" applyBorder="1" applyAlignment="1">
      <alignment horizontal="center" vertical="center"/>
    </xf>
    <xf numFmtId="0" fontId="91" fillId="0" borderId="153" xfId="0" applyFont="1" applyBorder="1" applyAlignment="1">
      <alignment horizontal="center" vertical="center"/>
    </xf>
    <xf numFmtId="0" fontId="91" fillId="0" borderId="154" xfId="0" applyFont="1" applyBorder="1" applyAlignment="1">
      <alignment horizontal="center" vertical="center"/>
    </xf>
    <xf numFmtId="0" fontId="91" fillId="0" borderId="54" xfId="0" applyFont="1" applyBorder="1" applyAlignment="1">
      <alignment horizontal="center" vertical="center"/>
    </xf>
    <xf numFmtId="0" fontId="91" fillId="0" borderId="49" xfId="0" applyFont="1" applyBorder="1" applyAlignment="1">
      <alignment horizontal="center" vertical="center"/>
    </xf>
    <xf numFmtId="0" fontId="91" fillId="0" borderId="136" xfId="0" applyFont="1" applyBorder="1" applyAlignment="1">
      <alignment horizontal="center" vertical="center"/>
    </xf>
    <xf numFmtId="0" fontId="48" fillId="0" borderId="59" xfId="0" applyFont="1" applyBorder="1" applyAlignment="1">
      <alignment horizontal="center" vertical="center"/>
    </xf>
    <xf numFmtId="0" fontId="48" fillId="0" borderId="52" xfId="0" applyFont="1" applyBorder="1" applyAlignment="1">
      <alignment horizontal="center" vertical="center"/>
    </xf>
    <xf numFmtId="0" fontId="48" fillId="0" borderId="135" xfId="0" applyFont="1" applyBorder="1" applyAlignment="1">
      <alignment horizontal="center" vertical="center"/>
    </xf>
    <xf numFmtId="0" fontId="48" fillId="0" borderId="212" xfId="0" applyFont="1" applyBorder="1" applyAlignment="1">
      <alignment horizontal="center" vertical="center"/>
    </xf>
    <xf numFmtId="0" fontId="48" fillId="0" borderId="190" xfId="0" applyFont="1" applyBorder="1" applyAlignment="1">
      <alignment horizontal="center" vertical="center"/>
    </xf>
    <xf numFmtId="0" fontId="48" fillId="0" borderId="192" xfId="0" applyFont="1" applyBorder="1" applyAlignment="1">
      <alignment horizontal="center" vertical="center"/>
    </xf>
    <xf numFmtId="0" fontId="84" fillId="13" borderId="207" xfId="0" applyFont="1" applyFill="1" applyBorder="1" applyAlignment="1">
      <alignment horizontal="center" vertical="center"/>
    </xf>
    <xf numFmtId="0" fontId="84" fillId="13" borderId="190" xfId="0" applyFont="1" applyFill="1" applyBorder="1" applyAlignment="1">
      <alignment horizontal="center" vertical="center"/>
    </xf>
    <xf numFmtId="0" fontId="84" fillId="13" borderId="192" xfId="0" applyFont="1" applyFill="1" applyBorder="1" applyAlignment="1">
      <alignment horizontal="center" vertical="center"/>
    </xf>
    <xf numFmtId="0" fontId="83" fillId="13" borderId="152" xfId="0" applyFont="1" applyFill="1" applyBorder="1" applyAlignment="1">
      <alignment horizontal="center"/>
    </xf>
    <xf numFmtId="0" fontId="83" fillId="13" borderId="153" xfId="0" applyFont="1" applyFill="1" applyBorder="1" applyAlignment="1">
      <alignment horizontal="center"/>
    </xf>
    <xf numFmtId="0" fontId="83" fillId="13" borderId="154" xfId="0" applyFont="1" applyFill="1" applyBorder="1" applyAlignment="1">
      <alignment horizontal="center"/>
    </xf>
    <xf numFmtId="0" fontId="91" fillId="0" borderId="58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187" xfId="0" applyFont="1" applyBorder="1" applyAlignment="1">
      <alignment horizontal="center" vertical="center"/>
    </xf>
    <xf numFmtId="0" fontId="91" fillId="0" borderId="211" xfId="0" applyFont="1" applyBorder="1" applyAlignment="1">
      <alignment horizontal="left" vertical="center"/>
    </xf>
    <xf numFmtId="0" fontId="91" fillId="0" borderId="154" xfId="0" applyFont="1" applyBorder="1" applyAlignment="1">
      <alignment horizontal="left" vertical="center"/>
    </xf>
    <xf numFmtId="0" fontId="91" fillId="0" borderId="136" xfId="0" applyFont="1" applyBorder="1" applyAlignment="1">
      <alignment horizontal="left" vertical="center"/>
    </xf>
    <xf numFmtId="0" fontId="0" fillId="0" borderId="114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15" xfId="0" applyBorder="1" applyAlignment="1">
      <alignment horizontal="center"/>
    </xf>
    <xf numFmtId="0" fontId="87" fillId="0" borderId="79" xfId="0" applyFont="1" applyBorder="1" applyAlignment="1">
      <alignment horizontal="center" vertical="center" wrapText="1"/>
    </xf>
    <xf numFmtId="0" fontId="87" fillId="0" borderId="20" xfId="0" applyFont="1" applyBorder="1" applyAlignment="1">
      <alignment horizontal="center" vertical="center" wrapText="1"/>
    </xf>
    <xf numFmtId="0" fontId="87" fillId="0" borderId="17" xfId="0" applyFont="1" applyBorder="1" applyAlignment="1">
      <alignment horizontal="center" vertical="center" wrapText="1"/>
    </xf>
    <xf numFmtId="0" fontId="87" fillId="0" borderId="54" xfId="0" applyFont="1" applyBorder="1" applyAlignment="1">
      <alignment horizontal="center" vertical="center" wrapText="1"/>
    </xf>
    <xf numFmtId="0" fontId="87" fillId="0" borderId="49" xfId="0" applyFont="1" applyBorder="1" applyAlignment="1">
      <alignment horizontal="center" vertical="center" wrapText="1"/>
    </xf>
    <xf numFmtId="0" fontId="87" fillId="0" borderId="70" xfId="0" applyFont="1" applyBorder="1" applyAlignment="1">
      <alignment horizontal="center" vertical="center" wrapText="1"/>
    </xf>
    <xf numFmtId="0" fontId="48" fillId="0" borderId="68" xfId="0" applyFont="1" applyBorder="1" applyAlignment="1">
      <alignment horizontal="center" vertical="center"/>
    </xf>
    <xf numFmtId="0" fontId="48" fillId="0" borderId="219" xfId="0" applyFont="1" applyBorder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48" fillId="0" borderId="59" xfId="0" applyFont="1" applyBorder="1" applyAlignment="1">
      <alignment horizontal="left" vertical="center"/>
    </xf>
    <xf numFmtId="0" fontId="48" fillId="0" borderId="135" xfId="0" applyFont="1" applyBorder="1" applyAlignment="1">
      <alignment horizontal="left" vertical="center"/>
    </xf>
    <xf numFmtId="0" fontId="48" fillId="0" borderId="212" xfId="0" applyFont="1" applyBorder="1" applyAlignment="1">
      <alignment horizontal="left" vertical="center"/>
    </xf>
    <xf numFmtId="0" fontId="48" fillId="0" borderId="192" xfId="0" applyFont="1" applyBorder="1" applyAlignment="1">
      <alignment horizontal="left" vertical="center"/>
    </xf>
    <xf numFmtId="0" fontId="67" fillId="0" borderId="35" xfId="0" applyFont="1" applyBorder="1" applyAlignment="1">
      <alignment horizontal="center" vertical="center"/>
    </xf>
    <xf numFmtId="0" fontId="67" fillId="0" borderId="36" xfId="0" applyFont="1" applyBorder="1" applyAlignment="1">
      <alignment horizontal="center" vertical="center"/>
    </xf>
    <xf numFmtId="9" fontId="0" fillId="0" borderId="239" xfId="0" applyNumberFormat="1" applyBorder="1" applyAlignment="1">
      <alignment horizontal="center" vertical="center"/>
    </xf>
    <xf numFmtId="9" fontId="0" fillId="0" borderId="232" xfId="0" applyNumberFormat="1" applyBorder="1" applyAlignment="1">
      <alignment horizontal="center" vertical="center"/>
    </xf>
    <xf numFmtId="9" fontId="0" fillId="0" borderId="266" xfId="0" applyNumberFormat="1" applyBorder="1" applyAlignment="1">
      <alignment horizontal="center" vertical="center"/>
    </xf>
    <xf numFmtId="0" fontId="0" fillId="0" borderId="265" xfId="0" applyBorder="1" applyAlignment="1">
      <alignment horizontal="right"/>
    </xf>
    <xf numFmtId="0" fontId="0" fillId="0" borderId="232" xfId="0" applyBorder="1" applyAlignment="1">
      <alignment horizontal="right"/>
    </xf>
    <xf numFmtId="0" fontId="0" fillId="0" borderId="234" xfId="0" applyBorder="1" applyAlignment="1">
      <alignment horizontal="right"/>
    </xf>
    <xf numFmtId="0" fontId="0" fillId="0" borderId="265" xfId="0" applyBorder="1" applyAlignment="1">
      <alignment horizontal="right" vertical="center"/>
    </xf>
    <xf numFmtId="0" fontId="0" fillId="0" borderId="232" xfId="0" applyBorder="1" applyAlignment="1">
      <alignment horizontal="right" vertical="center"/>
    </xf>
    <xf numFmtId="0" fontId="0" fillId="0" borderId="234" xfId="0" applyBorder="1" applyAlignment="1">
      <alignment horizontal="right" vertical="center"/>
    </xf>
    <xf numFmtId="0" fontId="0" fillId="18" borderId="265" xfId="0" applyFill="1" applyBorder="1" applyAlignment="1">
      <alignment horizontal="left" vertical="center"/>
    </xf>
    <xf numFmtId="0" fontId="0" fillId="18" borderId="232" xfId="0" applyFill="1" applyBorder="1" applyAlignment="1">
      <alignment horizontal="left" vertical="center"/>
    </xf>
    <xf numFmtId="0" fontId="0" fillId="18" borderId="234" xfId="0" applyFill="1" applyBorder="1" applyAlignment="1">
      <alignment horizontal="left" vertical="center"/>
    </xf>
    <xf numFmtId="9" fontId="86" fillId="0" borderId="233" xfId="0" applyNumberFormat="1" applyFont="1" applyBorder="1" applyAlignment="1">
      <alignment horizontal="center" vertical="center"/>
    </xf>
    <xf numFmtId="9" fontId="86" fillId="0" borderId="232" xfId="0" applyNumberFormat="1" applyFont="1" applyBorder="1" applyAlignment="1">
      <alignment horizontal="center" vertical="center"/>
    </xf>
    <xf numFmtId="9" fontId="86" fillId="0" borderId="234" xfId="0" applyNumberFormat="1" applyFont="1" applyBorder="1" applyAlignment="1">
      <alignment horizontal="center" vertical="center"/>
    </xf>
    <xf numFmtId="9" fontId="0" fillId="0" borderId="235" xfId="0" applyNumberFormat="1" applyBorder="1" applyAlignment="1">
      <alignment horizontal="center" vertical="center"/>
    </xf>
    <xf numFmtId="9" fontId="0" fillId="0" borderId="236" xfId="0" applyNumberFormat="1" applyBorder="1" applyAlignment="1">
      <alignment horizontal="center" vertical="center"/>
    </xf>
    <xf numFmtId="9" fontId="0" fillId="18" borderId="235" xfId="0" applyNumberFormat="1" applyFill="1" applyBorder="1" applyAlignment="1">
      <alignment horizontal="center" vertical="center"/>
    </xf>
    <xf numFmtId="9" fontId="0" fillId="18" borderId="236" xfId="0" applyNumberFormat="1" applyFill="1" applyBorder="1" applyAlignment="1">
      <alignment horizontal="center" vertical="center"/>
    </xf>
    <xf numFmtId="9" fontId="86" fillId="18" borderId="233" xfId="0" applyNumberFormat="1" applyFont="1" applyFill="1" applyBorder="1" applyAlignment="1">
      <alignment horizontal="center" vertical="center"/>
    </xf>
    <xf numFmtId="9" fontId="86" fillId="18" borderId="232" xfId="0" applyNumberFormat="1" applyFont="1" applyFill="1" applyBorder="1" applyAlignment="1">
      <alignment horizontal="center" vertical="center"/>
    </xf>
    <xf numFmtId="9" fontId="86" fillId="18" borderId="234" xfId="0" applyNumberFormat="1" applyFont="1" applyFill="1" applyBorder="1" applyAlignment="1">
      <alignment horizontal="center" vertical="center"/>
    </xf>
    <xf numFmtId="0" fontId="15" fillId="0" borderId="277" xfId="0" applyFont="1" applyBorder="1" applyAlignment="1">
      <alignment horizontal="center" vertical="center"/>
    </xf>
    <xf numFmtId="0" fontId="15" fillId="0" borderId="141" xfId="0" applyFont="1" applyBorder="1" applyAlignment="1">
      <alignment horizontal="center" vertical="center"/>
    </xf>
    <xf numFmtId="9" fontId="0" fillId="18" borderId="262" xfId="0" applyNumberFormat="1" applyFill="1" applyBorder="1" applyAlignment="1">
      <alignment horizontal="center" vertical="center"/>
    </xf>
    <xf numFmtId="9" fontId="0" fillId="18" borderId="257" xfId="0" applyNumberFormat="1" applyFill="1" applyBorder="1" applyAlignment="1">
      <alignment horizontal="center" vertical="center"/>
    </xf>
    <xf numFmtId="9" fontId="0" fillId="18" borderId="264" xfId="0" applyNumberFormat="1" applyFill="1" applyBorder="1" applyAlignment="1">
      <alignment horizontal="center" vertical="center"/>
    </xf>
    <xf numFmtId="9" fontId="0" fillId="18" borderId="239" xfId="0" applyNumberFormat="1" applyFill="1" applyBorder="1" applyAlignment="1">
      <alignment horizontal="center" vertical="center"/>
    </xf>
    <xf numFmtId="9" fontId="0" fillId="18" borderId="232" xfId="0" applyNumberFormat="1" applyFill="1" applyBorder="1" applyAlignment="1">
      <alignment horizontal="center" vertical="center"/>
    </xf>
    <xf numFmtId="9" fontId="0" fillId="18" borderId="266" xfId="0" applyNumberFormat="1" applyFill="1" applyBorder="1" applyAlignment="1">
      <alignment horizontal="center" vertical="center"/>
    </xf>
    <xf numFmtId="9" fontId="0" fillId="0" borderId="240" xfId="0" applyNumberFormat="1" applyBorder="1" applyAlignment="1">
      <alignment horizontal="center" vertical="center"/>
    </xf>
    <xf numFmtId="0" fontId="15" fillId="0" borderId="278" xfId="0" applyFont="1" applyBorder="1" applyAlignment="1">
      <alignment horizontal="center" vertical="center"/>
    </xf>
    <xf numFmtId="9" fontId="0" fillId="18" borderId="263" xfId="0" applyNumberFormat="1" applyFill="1" applyBorder="1" applyAlignment="1">
      <alignment horizontal="center" vertical="center"/>
    </xf>
    <xf numFmtId="9" fontId="0" fillId="18" borderId="240" xfId="0" applyNumberFormat="1" applyFill="1" applyBorder="1" applyAlignment="1">
      <alignment horizontal="center" vertical="center"/>
    </xf>
    <xf numFmtId="9" fontId="0" fillId="18" borderId="274" xfId="0" applyNumberFormat="1" applyFill="1" applyBorder="1" applyAlignment="1">
      <alignment horizontal="center" vertical="center"/>
    </xf>
    <xf numFmtId="9" fontId="0" fillId="18" borderId="270" xfId="0" applyNumberFormat="1" applyFill="1" applyBorder="1" applyAlignment="1">
      <alignment horizontal="center" vertical="center"/>
    </xf>
    <xf numFmtId="9" fontId="0" fillId="18" borderId="275" xfId="0" applyNumberFormat="1" applyFill="1" applyBorder="1" applyAlignment="1">
      <alignment horizontal="center" vertical="center"/>
    </xf>
    <xf numFmtId="9" fontId="0" fillId="18" borderId="276" xfId="0" applyNumberFormat="1" applyFill="1" applyBorder="1" applyAlignment="1">
      <alignment horizontal="center" vertical="center"/>
    </xf>
    <xf numFmtId="0" fontId="7" fillId="13" borderId="283" xfId="0" applyFont="1" applyFill="1" applyBorder="1" applyAlignment="1">
      <alignment horizontal="center" vertical="center"/>
    </xf>
    <xf numFmtId="0" fontId="7" fillId="13" borderId="284" xfId="0" applyFont="1" applyFill="1" applyBorder="1" applyAlignment="1">
      <alignment horizontal="center" vertical="center"/>
    </xf>
    <xf numFmtId="0" fontId="7" fillId="13" borderId="285" xfId="0" applyFont="1" applyFill="1" applyBorder="1" applyAlignment="1">
      <alignment horizontal="center" vertical="center"/>
    </xf>
    <xf numFmtId="0" fontId="7" fillId="13" borderId="159" xfId="0" applyFont="1" applyFill="1" applyBorder="1" applyAlignment="1">
      <alignment horizontal="center" vertical="center"/>
    </xf>
    <xf numFmtId="0" fontId="7" fillId="13" borderId="286" xfId="0" applyFont="1" applyFill="1" applyBorder="1" applyAlignment="1">
      <alignment horizontal="center" vertical="center"/>
    </xf>
    <xf numFmtId="0" fontId="7" fillId="13" borderId="216" xfId="0" applyFont="1" applyFill="1" applyBorder="1" applyAlignment="1">
      <alignment horizontal="center" vertical="center"/>
    </xf>
    <xf numFmtId="0" fontId="61" fillId="13" borderId="160" xfId="0" applyFont="1" applyFill="1" applyBorder="1" applyAlignment="1">
      <alignment horizontal="center" vertical="center"/>
    </xf>
    <xf numFmtId="0" fontId="61" fillId="13" borderId="161" xfId="0" applyFont="1" applyFill="1" applyBorder="1" applyAlignment="1">
      <alignment horizontal="center" vertical="center"/>
    </xf>
    <xf numFmtId="0" fontId="61" fillId="13" borderId="162" xfId="0" applyFont="1" applyFill="1" applyBorder="1" applyAlignment="1">
      <alignment horizontal="center" vertical="center"/>
    </xf>
    <xf numFmtId="0" fontId="61" fillId="13" borderId="160" xfId="0" applyFont="1" applyFill="1" applyBorder="1" applyAlignment="1">
      <alignment horizontal="center" vertical="center" wrapText="1"/>
    </xf>
    <xf numFmtId="0" fontId="61" fillId="13" borderId="162" xfId="0" applyFont="1" applyFill="1" applyBorder="1" applyAlignment="1">
      <alignment horizontal="center" vertical="center" wrapText="1"/>
    </xf>
    <xf numFmtId="9" fontId="0" fillId="18" borderId="254" xfId="0" applyNumberFormat="1" applyFill="1" applyBorder="1" applyAlignment="1">
      <alignment horizontal="center" vertical="center"/>
    </xf>
    <xf numFmtId="9" fontId="0" fillId="18" borderId="250" xfId="0" applyNumberFormat="1" applyFill="1" applyBorder="1" applyAlignment="1">
      <alignment horizontal="center" vertical="center"/>
    </xf>
    <xf numFmtId="9" fontId="0" fillId="18" borderId="268" xfId="0" applyNumberFormat="1" applyFill="1" applyBorder="1" applyAlignment="1">
      <alignment horizontal="center" vertical="center"/>
    </xf>
    <xf numFmtId="9" fontId="0" fillId="0" borderId="97" xfId="0" applyNumberFormat="1" applyBorder="1" applyAlignment="1">
      <alignment horizontal="center" vertical="center"/>
    </xf>
    <xf numFmtId="9" fontId="0" fillId="0" borderId="215" xfId="0" applyNumberFormat="1" applyBorder="1" applyAlignment="1">
      <alignment horizontal="center" vertical="center"/>
    </xf>
    <xf numFmtId="9" fontId="0" fillId="18" borderId="255" xfId="0" applyNumberFormat="1" applyFill="1" applyBorder="1" applyAlignment="1">
      <alignment horizontal="center" vertical="center"/>
    </xf>
    <xf numFmtId="9" fontId="0" fillId="18" borderId="252" xfId="0" applyNumberFormat="1" applyFill="1" applyBorder="1" applyAlignment="1">
      <alignment horizontal="center" vertical="center"/>
    </xf>
    <xf numFmtId="9" fontId="0" fillId="18" borderId="253" xfId="0" applyNumberFormat="1" applyFill="1" applyBorder="1" applyAlignment="1">
      <alignment horizontal="center" vertical="center"/>
    </xf>
    <xf numFmtId="0" fontId="67" fillId="0" borderId="172" xfId="0" applyFont="1" applyBorder="1" applyAlignment="1">
      <alignment horizontal="center" vertical="center"/>
    </xf>
    <xf numFmtId="9" fontId="0" fillId="18" borderId="260" xfId="0" applyNumberFormat="1" applyFill="1" applyBorder="1" applyAlignment="1">
      <alignment horizontal="center" vertical="center"/>
    </xf>
    <xf numFmtId="9" fontId="0" fillId="18" borderId="261" xfId="0" applyNumberFormat="1" applyFill="1" applyBorder="1" applyAlignment="1">
      <alignment horizontal="center" vertical="center"/>
    </xf>
    <xf numFmtId="9" fontId="86" fillId="18" borderId="272" xfId="0" applyNumberFormat="1" applyFont="1" applyFill="1" applyBorder="1" applyAlignment="1">
      <alignment horizontal="center" vertical="center"/>
    </xf>
    <xf numFmtId="9" fontId="86" fillId="18" borderId="270" xfId="0" applyNumberFormat="1" applyFont="1" applyFill="1" applyBorder="1" applyAlignment="1">
      <alignment horizontal="center" vertical="center"/>
    </xf>
    <xf numFmtId="9" fontId="86" fillId="18" borderId="271" xfId="0" applyNumberFormat="1" applyFont="1" applyFill="1" applyBorder="1" applyAlignment="1">
      <alignment horizontal="center" vertical="center"/>
    </xf>
    <xf numFmtId="9" fontId="0" fillId="18" borderId="273" xfId="0" applyNumberFormat="1" applyFill="1" applyBorder="1" applyAlignment="1">
      <alignment horizontal="center" vertical="center"/>
    </xf>
    <xf numFmtId="9" fontId="0" fillId="18" borderId="190" xfId="0" applyNumberFormat="1" applyFill="1" applyBorder="1" applyAlignment="1">
      <alignment horizontal="center" vertical="center"/>
    </xf>
    <xf numFmtId="9" fontId="86" fillId="0" borderId="97" xfId="0" applyNumberFormat="1" applyFont="1" applyBorder="1" applyAlignment="1">
      <alignment horizontal="center" vertical="center"/>
    </xf>
    <xf numFmtId="9" fontId="86" fillId="18" borderId="249" xfId="0" applyNumberFormat="1" applyFont="1" applyFill="1" applyBorder="1" applyAlignment="1">
      <alignment horizontal="center" vertical="center"/>
    </xf>
    <xf numFmtId="9" fontId="86" fillId="18" borderId="250" xfId="0" applyNumberFormat="1" applyFont="1" applyFill="1" applyBorder="1" applyAlignment="1">
      <alignment horizontal="center" vertical="center"/>
    </xf>
    <xf numFmtId="9" fontId="86" fillId="18" borderId="251" xfId="0" applyNumberFormat="1" applyFont="1" applyFill="1" applyBorder="1" applyAlignment="1">
      <alignment horizontal="center" vertical="center"/>
    </xf>
    <xf numFmtId="0" fontId="0" fillId="18" borderId="256" xfId="0" applyFill="1" applyBorder="1" applyAlignment="1">
      <alignment horizontal="left" vertical="center"/>
    </xf>
    <xf numFmtId="0" fontId="0" fillId="18" borderId="257" xfId="0" applyFill="1" applyBorder="1" applyAlignment="1">
      <alignment horizontal="left" vertical="center"/>
    </xf>
    <xf numFmtId="0" fontId="0" fillId="18" borderId="258" xfId="0" applyFill="1" applyBorder="1" applyAlignment="1">
      <alignment horizontal="left" vertical="center"/>
    </xf>
    <xf numFmtId="9" fontId="86" fillId="18" borderId="259" xfId="0" applyNumberFormat="1" applyFont="1" applyFill="1" applyBorder="1" applyAlignment="1">
      <alignment horizontal="center" vertical="center"/>
    </xf>
    <xf numFmtId="9" fontId="86" fillId="18" borderId="257" xfId="0" applyNumberFormat="1" applyFont="1" applyFill="1" applyBorder="1" applyAlignment="1">
      <alignment horizontal="center" vertical="center"/>
    </xf>
    <xf numFmtId="9" fontId="86" fillId="18" borderId="258" xfId="0" applyNumberFormat="1" applyFont="1" applyFill="1" applyBorder="1" applyAlignment="1">
      <alignment horizontal="center" vertical="center"/>
    </xf>
    <xf numFmtId="0" fontId="0" fillId="18" borderId="269" xfId="0" applyFill="1" applyBorder="1" applyAlignment="1">
      <alignment horizontal="center"/>
    </xf>
    <xf numFmtId="0" fontId="0" fillId="18" borderId="270" xfId="0" applyFill="1" applyBorder="1" applyAlignment="1">
      <alignment horizontal="center"/>
    </xf>
    <xf numFmtId="0" fontId="0" fillId="18" borderId="271" xfId="0" applyFill="1" applyBorder="1" applyAlignment="1">
      <alignment horizontal="center"/>
    </xf>
    <xf numFmtId="0" fontId="0" fillId="18" borderId="267" xfId="0" applyFill="1" applyBorder="1" applyAlignment="1">
      <alignment horizontal="left"/>
    </xf>
    <xf numFmtId="0" fontId="0" fillId="18" borderId="250" xfId="0" applyFill="1" applyBorder="1" applyAlignment="1">
      <alignment horizontal="left"/>
    </xf>
    <xf numFmtId="0" fontId="0" fillId="18" borderId="251" xfId="0" applyFill="1" applyBorder="1" applyAlignment="1">
      <alignment horizontal="left"/>
    </xf>
    <xf numFmtId="0" fontId="0" fillId="0" borderId="157" xfId="0" applyBorder="1" applyAlignment="1">
      <alignment horizontal="center"/>
    </xf>
    <xf numFmtId="0" fontId="0" fillId="0" borderId="97" xfId="0" applyBorder="1" applyAlignment="1">
      <alignment horizontal="center"/>
    </xf>
    <xf numFmtId="0" fontId="61" fillId="13" borderId="160" xfId="0" applyFont="1" applyFill="1" applyBorder="1" applyAlignment="1">
      <alignment horizontal="center" vertical="top" wrapText="1"/>
    </xf>
    <xf numFmtId="0" fontId="61" fillId="13" borderId="162" xfId="0" applyFont="1" applyFill="1" applyBorder="1" applyAlignment="1">
      <alignment horizontal="center" vertical="top" wrapText="1"/>
    </xf>
    <xf numFmtId="0" fontId="7" fillId="13" borderId="160" xfId="0" applyFont="1" applyFill="1" applyBorder="1" applyAlignment="1">
      <alignment horizontal="center"/>
    </xf>
    <xf numFmtId="0" fontId="7" fillId="13" borderId="161" xfId="0" applyFont="1" applyFill="1" applyBorder="1" applyAlignment="1">
      <alignment horizontal="center"/>
    </xf>
    <xf numFmtId="0" fontId="7" fillId="13" borderId="162" xfId="0" applyFont="1" applyFill="1" applyBorder="1" applyAlignment="1">
      <alignment horizontal="center"/>
    </xf>
  </cellXfs>
  <cellStyles count="6">
    <cellStyle name="Millares 2" xfId="3" xr:uid="{00000000-0005-0000-0000-000000000000}"/>
    <cellStyle name="Millares 2 2" xfId="4" xr:uid="{133812D9-32DC-4D74-B6BD-54280B0ACCAE}"/>
    <cellStyle name="Millares 3" xfId="5" xr:uid="{AA4F3159-66B5-400B-8B70-8C698A22F77A}"/>
    <cellStyle name="Normal" xfId="0" builtinId="0"/>
    <cellStyle name="Normal 2" xfId="1" xr:uid="{00000000-0005-0000-0000-000002000000}"/>
    <cellStyle name="Porcentual 2" xfId="2" xr:uid="{00000000-0005-0000-0000-000004000000}"/>
  </cellStyles>
  <dxfs count="35"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00B050"/>
      </font>
      <fill>
        <patternFill>
          <bgColor rgb="FF00B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00B05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rgb="FFC00000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u val="none"/>
        <color theme="0"/>
      </font>
      <fill>
        <patternFill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4EE00"/>
      <color rgb="FF0080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data_panel!$C$4:$C$6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1-4A8E-ADAB-905BB57D8B88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1-4A8E-ADAB-905BB57D8B88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1-4A8E-ADAB-905BB57D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532910540130755E-2"/>
          <c:y val="4.35432955180617E-2"/>
          <c:w val="0.9592582725636658"/>
          <c:h val="0.825411572456171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data_panel!$C$12:$C$19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54E-A01B-D41AB729B9DB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data_panel!$D$12:$D$19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A-454E-A01B-D41AB729B9DB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data_panel!$B$12:$B$19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data_panel!$E$12:$E$19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A-454E-A01B-D41AB729B9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414806752"/>
        <c:axId val="1414797184"/>
      </c:barChart>
      <c:catAx>
        <c:axId val="14148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1414797184"/>
        <c:crosses val="autoZero"/>
        <c:auto val="1"/>
        <c:lblAlgn val="ctr"/>
        <c:lblOffset val="100"/>
        <c:noMultiLvlLbl val="0"/>
      </c:catAx>
      <c:valAx>
        <c:axId val="1414797184"/>
        <c:scaling>
          <c:orientation val="minMax"/>
          <c:max val="7"/>
        </c:scaling>
        <c:delete val="1"/>
        <c:axPos val="l"/>
        <c:numFmt formatCode="General" sourceLinked="1"/>
        <c:majorTickMark val="none"/>
        <c:minorTickMark val="none"/>
        <c:tickLblPos val="nextTo"/>
        <c:crossAx val="1414806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data_panel!$C$8:$C$10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9-4C7F-95A1-DD7208BAE223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data_panel!$D$8:$D$10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9-4C7F-95A1-DD7208BAE223}"/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data_panel!$B$8:$B$10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data_panel!$E$8:$E$10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9-4C7F-95A1-DD7208BAE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29246015669142E-2"/>
          <c:y val="5.4060796811934472E-2"/>
          <c:w val="0.92232948183348162"/>
          <c:h val="0.5169925451008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data_panel!$C$24:$C$39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5-4DFE-BD28-1E6387609A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data_panel!$D$24:$D$39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5-4DFE-BD28-1E6387609AB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data_panel!$B$24:$B$39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data_panel!$E$24:$E$39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5-4DFE-BD28-1E6387609A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09300519049465E-2"/>
          <c:y val="6.8870691163604544E-2"/>
          <c:w val="0.88619783513607897"/>
          <c:h val="0.87575870516185494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B-41E2-BECA-3D85BCAB0A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B-41E2-BECA-3D85BCAB0A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B-41E2-BECA-3D85BCAB0A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FB-41E2-BECA-3D85BCAB0A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FB-41E2-BECA-3D85BCAB0A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FB-41E2-BECA-3D85BCAB0A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FB-41E2-BECA-3D85BCAB0A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4FB-41E2-BECA-3D85BCAB0AC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4FB-41E2-BECA-3D85BCAB0A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4FB-41E2-BECA-3D85BCAB0AC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4FB-41E2-BECA-3D85BCAB0AC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4FB-41E2-BECA-3D85BCAB0A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4FB-41E2-BECA-3D85BCAB0AC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4FB-41E2-BECA-3D85BCAB0AC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4FB-41E2-BECA-3D85BCAB0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4FB-41E2-BECA-3D85BCAB0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4FB-41E2-BECA-3D85BCAB0AC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4FB-41E2-BECA-3D85BCAB0AC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4FB-41E2-BECA-3D85BCAB0AC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4FB-41E2-BECA-3D85BCAB0AC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4FB-41E2-BECA-3D85BCAB0AC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4FB-41E2-BECA-3D85BCAB0AC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4FB-41E2-BECA-3D85BCAB0AC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4FB-41E2-BECA-3D85BCAB0AC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4FB-41E2-BECA-3D85BCAB0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2-44FB-41E2-BECA-3D85BCAB0A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72865583635636"/>
          <c:y val="0.12220397089119202"/>
          <c:w val="0.86826055833929849"/>
          <c:h val="0.8002032289676110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F-4D7E-B3A4-478999DBFA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F-4D7E-B3A4-478999DBFA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F-4D7E-B3A4-478999DBFA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F-4D7E-B3A4-478999DBFA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F-4D7E-B3A4-478999DBFA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F-4D7E-B3A4-478999DBFA0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F-4D7E-B3A4-478999DBFA0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F-4D7E-B3A4-478999DBFA0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DF-4D7E-B3A4-478999DBFA0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DF-4D7E-B3A4-478999DBFA0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DF-4D7E-B3A4-478999DBFA0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DF-4D7E-B3A4-478999DBFA0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5DF-4D7E-B3A4-478999DBFA0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5DF-4D7E-B3A4-478999DBFA0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5DF-4D7E-B3A4-478999DBFA0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5DF-4D7E-B3A4-478999DBFA0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5DF-4D7E-B3A4-478999DBFA0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5DF-4D7E-B3A4-478999DBFA0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5DF-4D7E-B3A4-478999DBFA0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5DF-4D7E-B3A4-478999DBFA0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5DF-4D7E-B3A4-478999DBFA0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5DF-4D7E-B3A4-478999DBFA0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5DF-4D7E-B3A4-478999DBFA0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5DF-4D7E-B3A4-478999DBFA0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5DF-4D7E-B3A4-478999DBF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8-3E20-4FA0-B6FB-21FE697C8C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93321955538824E-2"/>
          <c:y val="0"/>
          <c:w val="0.9865853932585964"/>
          <c:h val="0.99589499676216309"/>
        </c:manualLayout>
      </c:layout>
      <c:bubbleChart>
        <c:varyColors val="1"/>
        <c:ser>
          <c:idx val="0"/>
          <c:order val="0"/>
          <c:spPr>
            <a:solidFill>
              <a:schemeClr val="bg1">
                <a:lumMod val="85000"/>
                <a:alpha val="48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0-46CC-AE6B-AE6864BA229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0-46CC-AE6B-AE6864BA229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0-46CC-AE6B-AE6864BA229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0-46CC-AE6B-AE6864BA229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0-46CC-AE6B-AE6864BA229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A0-46CC-AE6B-AE6864BA229C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A0-46CC-AE6B-AE6864BA229C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A0-46CC-AE6B-AE6864BA229C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A0-46CC-AE6B-AE6864BA229C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A0-46CC-AE6B-AE6864BA229C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A0-46CC-AE6B-AE6864BA229C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A0-46CC-AE6B-AE6864BA229C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A0-46CC-AE6B-AE6864BA229C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A0-46CC-AE6B-AE6864BA229C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A0-46CC-AE6B-AE6864BA229C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A0-46CC-AE6B-AE6864BA229C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A0-46CC-AE6B-AE6864BA229C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A0-46CC-AE6B-AE6864BA229C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A0-46CC-AE6B-AE6864BA229C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A0-46CC-AE6B-AE6864BA229C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A0-46CC-AE6B-AE6864BA229C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A0-46CC-AE6B-AE6864BA229C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A0-46CC-AE6B-AE6864BA229C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A0-46CC-AE6B-AE6864BA229C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A0-46CC-AE6B-AE6864BA2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DLaM Display" panose="020F0502020204030204" pitchFamily="2" charset="0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</c:numLit>
          </c:xVal>
          <c:yVal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1</c:v>
              </c:pt>
              <c:pt idx="11">
                <c:v>2</c:v>
              </c:pt>
              <c:pt idx="12">
                <c:v>3</c:v>
              </c:pt>
              <c:pt idx="13">
                <c:v>4</c:v>
              </c:pt>
              <c:pt idx="14">
                <c:v>5</c:v>
              </c:pt>
              <c:pt idx="15">
                <c:v>1</c:v>
              </c:pt>
              <c:pt idx="16">
                <c:v>2</c:v>
              </c:pt>
              <c:pt idx="17">
                <c:v>3</c:v>
              </c:pt>
              <c:pt idx="18">
                <c:v>4</c:v>
              </c:pt>
              <c:pt idx="19">
                <c:v>5</c:v>
              </c:pt>
              <c:pt idx="20">
                <c:v>1</c:v>
              </c:pt>
              <c:pt idx="21">
                <c:v>2</c:v>
              </c:pt>
              <c:pt idx="22">
                <c:v>3</c:v>
              </c:pt>
              <c:pt idx="23">
                <c:v>4</c:v>
              </c:pt>
              <c:pt idx="24">
                <c:v>5</c:v>
              </c:pt>
            </c:numLit>
          </c:yVal>
          <c:bubbleSize>
            <c:numLit>
              <c:formatCode>General</c:formatCode>
              <c:ptCount val="25"/>
              <c:pt idx="0">
                <c:v>35</c:v>
              </c:pt>
              <c:pt idx="1">
                <c:v>12</c:v>
              </c:pt>
              <c:pt idx="2">
                <c:v>3</c:v>
              </c:pt>
              <c:pt idx="3">
                <c:v>2</c:v>
              </c:pt>
              <c:pt idx="5">
                <c:v>19</c:v>
              </c:pt>
              <c:pt idx="6">
                <c:v>58</c:v>
              </c:pt>
              <c:pt idx="7">
                <c:v>32</c:v>
              </c:pt>
              <c:pt idx="10">
                <c:v>25</c:v>
              </c:pt>
              <c:pt idx="11">
                <c:v>70</c:v>
              </c:pt>
              <c:pt idx="12">
                <c:v>86</c:v>
              </c:pt>
              <c:pt idx="13">
                <c:v>22</c:v>
              </c:pt>
              <c:pt idx="14">
                <c:v>2</c:v>
              </c:pt>
              <c:pt idx="15">
                <c:v>21</c:v>
              </c:pt>
              <c:pt idx="16">
                <c:v>31</c:v>
              </c:pt>
              <c:pt idx="17">
                <c:v>48</c:v>
              </c:pt>
              <c:pt idx="18">
                <c:v>19</c:v>
              </c:pt>
              <c:pt idx="20">
                <c:v>16</c:v>
              </c:pt>
              <c:pt idx="21">
                <c:v>11</c:v>
              </c:pt>
              <c:pt idx="22">
                <c:v>2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32-86A0-46CC-AE6B-AE6864BA2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7750783"/>
        <c:crosses val="autoZero"/>
        <c:crossBetween val="midCat"/>
      </c:valAx>
      <c:valAx>
        <c:axId val="1627750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277498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5199429457585954E-2"/>
          <c:w val="0.99106419149983993"/>
          <c:h val="0.96960114108482809"/>
        </c:manualLayout>
      </c:layout>
      <c:lineChart>
        <c:grouping val="standard"/>
        <c:varyColors val="0"/>
        <c:ser>
          <c:idx val="0"/>
          <c:order val="0"/>
          <c:tx>
            <c:strRef>
              <c:f>datos_graficos!$C$2</c:f>
              <c:strCache>
                <c:ptCount val="1"/>
                <c:pt idx="0">
                  <c:v>POSICIÓN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701-4AFD-AD30-FB29783E8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72-4B61-A4C9-C0557F774F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72-4B61-A4C9-C0557F774F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72-4B61-A4C9-C0557F774F48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72-4B61-A4C9-C0557F774F48}"/>
                </c:ext>
              </c:extLst>
            </c:dLbl>
            <c:dLbl>
              <c:idx val="5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72-4B61-A4C9-C0557F774F48}"/>
                </c:ext>
              </c:extLst>
            </c:dLbl>
            <c:dLbl>
              <c:idx val="6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972-4B61-A4C9-C0557F774F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972-4B61-A4C9-C0557F774F48}"/>
                </c:ext>
              </c:extLst>
            </c:dLbl>
            <c:dLbl>
              <c:idx val="8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72-4B61-A4C9-C0557F774F48}"/>
                </c:ext>
              </c:extLst>
            </c:dLbl>
            <c:dLbl>
              <c:idx val="9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72-4B61-A4C9-C0557F774F48}"/>
                </c:ext>
              </c:extLst>
            </c:dLbl>
            <c:dLbl>
              <c:idx val="10"/>
              <c:layout>
                <c:manualLayout>
                  <c:x val="-4.4168837573263169E-2"/>
                  <c:y val="-3.8888904199481093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CB552A-7B67-41BB-B6B8-A77EB93CA1F0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972-4B61-A4C9-C0557F774F48}"/>
                </c:ext>
              </c:extLst>
            </c:dLbl>
            <c:dLbl>
              <c:idx val="11"/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01-4AFD-AD30-FB29783E89E6}"/>
                </c:ext>
              </c:extLst>
            </c:dLbl>
            <c:dLbl>
              <c:idx val="12"/>
              <c:layout>
                <c:manualLayout>
                  <c:x val="-1.4736449047351169E-2"/>
                  <c:y val="-8.9444479658806531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94C595-AEAA-42CD-BE43-D584ACCD424C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701-4AFD-AD30-FB29783E89E6}"/>
                </c:ext>
              </c:extLst>
            </c:dLbl>
            <c:spPr>
              <a:solidFill>
                <a:schemeClr val="accent5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none" lIns="144000" tIns="180000" rIns="144000" bIns="0" anchor="ctr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5397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  <a:round/>
              </a:ln>
              <a:effectLst/>
            </c:spPr>
          </c:errBars>
          <c:cat>
            <c:multiLvlStrRef>
              <c:f>datos_graficos!$A$3:$B$15</c:f>
            </c:multiLvlStrRef>
          </c:cat>
          <c:val>
            <c:numRef>
              <c:f>datos_graficos!$C$3:$C$15</c:f>
              <c:numCache>
                <c:formatCode>General</c:formatCode>
                <c:ptCount val="13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datos_graficos!$B$3:$B$15</c15:f>
                <c15:dlblRangeCache>
                  <c:ptCount val="13"/>
                </c15:dlblRangeCache>
              </c15:datalabelsRange>
            </c:ext>
            <c:ext xmlns:c16="http://schemas.microsoft.com/office/drawing/2014/chart" uri="{C3380CC4-5D6E-409C-BE32-E72D297353CC}">
              <c16:uniqueId val="{0000000C-800B-48A3-B694-03BD4409CB64}"/>
            </c:ext>
          </c:extLst>
        </c:ser>
        <c:ser>
          <c:idx val="1"/>
          <c:order val="1"/>
          <c:tx>
            <c:strRef>
              <c:f>datos_graficos!$D$2</c:f>
              <c:strCache>
                <c:ptCount val="1"/>
                <c:pt idx="0">
                  <c:v>EJE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F1E2E35-B48D-4DD8-9876-02A092307586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701-4AFD-AD30-FB29783E89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701-4AFD-AD30-FB29783E89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701-4AFD-AD30-FB29783E89E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01-4AFD-AD30-FB29783E89E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701-4AFD-AD30-FB29783E89E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701-4AFD-AD30-FB29783E89E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701-4AFD-AD30-FB29783E89E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701-4AFD-AD30-FB29783E89E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701-4AFD-AD30-FB29783E89E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701-4AFD-AD30-FB29783E89E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701-4AFD-AD30-FB29783E89E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701-4AFD-AD30-FB29783E89E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701-4AFD-AD30-FB29783E89E6}"/>
                </c:ext>
              </c:extLst>
            </c:dLbl>
            <c:spPr>
              <a:solidFill>
                <a:schemeClr val="accent4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datos_graficos!$A$3:$B$15</c:f>
            </c:multiLvlStrRef>
          </c:cat>
          <c:val>
            <c:numRef>
              <c:f>datos_graficos!$D$3:$D$15</c:f>
              <c:numCache>
                <c:formatCode>General</c:formatCode>
                <c:ptCount val="13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datos_graficos!$A$3:$A$15</c15:f>
                <c15:dlblRangeCache>
                  <c:ptCount val="13"/>
                </c15:dlblRangeCache>
              </c15:datalabelsRange>
            </c:ext>
            <c:ext xmlns:c16="http://schemas.microsoft.com/office/drawing/2014/chart" uri="{C3380CC4-5D6E-409C-BE32-E72D297353CC}">
              <c16:uniqueId val="{0000000C-3701-4AFD-AD30-FB29783E8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05136"/>
        <c:axId val="813812816"/>
      </c:lineChart>
      <c:valAx>
        <c:axId val="8138128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13805136"/>
        <c:crosses val="max"/>
        <c:crossBetween val="between"/>
      </c:valAx>
      <c:catAx>
        <c:axId val="81380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8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4803149606299213" l="0.70866141732283472" r="0.70866141732283472" t="0.74803149606299213" header="0.31496062992125984" footer="0.31496062992125984"/>
    <c:pageSetup paperSize="5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rgbClr val="002060"/>
                </a:solidFill>
                <a:latin typeface="Calibri"/>
              </a:rPr>
              <a:t>DISTRIBUCIÓN DE PROGRAMAS SOCIALES POR SUBSECRETARÍA/SERVICIO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4185653235466295"/>
          <c:y val="0.18555720087095778"/>
          <c:w val="0.52806313680803951"/>
          <c:h val="0.77801687821185128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C4-498B-893F-3A6896D0E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C4-498B-893F-3A6896D0E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C4-498B-893F-3A6896D0E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C4-498B-893F-3A6896D0E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C4-498B-893F-3A6896D0E3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C4-498B-893F-3A6896D0E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'programas sociales'!$B$16:$B$21</c:f>
              <c:numCache>
                <c:formatCode>General</c:formatCode>
                <c:ptCount val="6"/>
              </c:numCache>
            </c:numRef>
          </c:cat>
          <c:val>
            <c:numRef>
              <c:f>'programas sociales'!$C$16:$C$21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5DB-4671-833D-964FE1986C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9131551691905528E-3"/>
          <c:y val="0.18609515298523341"/>
          <c:w val="0.33766026319435988"/>
          <c:h val="0.6341723761294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800" b="1"/>
              <a:t>Planes</a:t>
            </a:r>
            <a:r>
              <a:rPr lang="es-CL" sz="1800" b="1" baseline="0"/>
              <a:t> de Tratamiento de Riesgos Comprometidos el 2024 </a:t>
            </a:r>
            <a:endParaRPr lang="es-CL" sz="1800" b="1"/>
          </a:p>
        </c:rich>
      </c:tx>
      <c:layout>
        <c:manualLayout>
          <c:xMode val="edge"/>
          <c:yMode val="edge"/>
          <c:x val="0.27614672766446641"/>
          <c:y val="1.1931571030897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5147282276688601"/>
          <c:y val="8.0609819150578618E-2"/>
          <c:w val="0.80941059388411396"/>
          <c:h val="0.838626059441248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'Planes de tratamientos'!$B$11:$B$12</c:f>
              <c:strCache>
                <c:ptCount val="2"/>
                <c:pt idx="0">
                  <c:v>Cumplidos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tratamientos'!$B$13:$B$15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A-470F-B963-DFF8DA516055}"/>
            </c:ext>
          </c:extLst>
        </c:ser>
        <c:ser>
          <c:idx val="1"/>
          <c:order val="1"/>
          <c:tx>
            <c:strRef>
              <c:f>'Planes de tratamientos'!$C$11:$C$12</c:f>
              <c:strCache>
                <c:ptCount val="2"/>
                <c:pt idx="0">
                  <c:v>Cumplidos Parcialmente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tratamientos'!$C$13:$C$15</c:f>
              <c:numCache>
                <c:formatCode>General</c:formatCode>
                <c:ptCount val="3"/>
                <c:pt idx="0">
                  <c:v>14</c:v>
                </c:pt>
                <c:pt idx="1">
                  <c:v>10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7A-470F-B963-DFF8DA516055}"/>
            </c:ext>
          </c:extLst>
        </c:ser>
        <c:ser>
          <c:idx val="2"/>
          <c:order val="2"/>
          <c:tx>
            <c:strRef>
              <c:f>'Planes de tratamientos'!$D$11:$D$12</c:f>
              <c:strCache>
                <c:ptCount val="2"/>
                <c:pt idx="0">
                  <c:v>No Cumplidos/ Con retraso.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tratamientos'!$A$13:$A$15</c:f>
              <c:strCache>
                <c:ptCount val="3"/>
                <c:pt idx="0">
                  <c:v>Financieros</c:v>
                </c:pt>
                <c:pt idx="1">
                  <c:v>Estratégicos</c:v>
                </c:pt>
                <c:pt idx="2">
                  <c:v>Institucionales</c:v>
                </c:pt>
              </c:strCache>
            </c:strRef>
          </c:cat>
          <c:val>
            <c:numRef>
              <c:f>'Planes de tratamientos'!$D$13:$D$15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7A-470F-B963-DFF8DA516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4146495"/>
        <c:axId val="794148895"/>
      </c:barChart>
      <c:catAx>
        <c:axId val="794146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4148895"/>
        <c:crosses val="autoZero"/>
        <c:auto val="1"/>
        <c:lblAlgn val="ctr"/>
        <c:lblOffset val="100"/>
        <c:noMultiLvlLbl val="0"/>
      </c:catAx>
      <c:valAx>
        <c:axId val="79414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41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581379741319855"/>
          <c:y val="0.87024995858398235"/>
          <c:w val="0.62517140792328985"/>
          <c:h val="0.11945114853979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/>
              <a:t>Nivel</a:t>
            </a:r>
            <a:r>
              <a:rPr lang="es-CL" sz="1600" b="1" baseline="0"/>
              <a:t> de Cumplimiento - Estrategias para Señales de Alerta 2024</a:t>
            </a:r>
            <a:endParaRPr lang="es-CL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3.9325898433353275E-2"/>
          <c:y val="0.18751876155501379"/>
          <c:w val="0.88193693075470325"/>
          <c:h val="0.6689644603545547"/>
        </c:manualLayout>
      </c:layout>
      <c:barChart>
        <c:barDir val="col"/>
        <c:grouping val="clustered"/>
        <c:varyColors val="0"/>
        <c:ser>
          <c:idx val="0"/>
          <c:order val="0"/>
          <c:tx>
            <c:v>Cumplidos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tratamientos'!$B$25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C-4D5E-83AA-7D5E4AE3B99B}"/>
            </c:ext>
          </c:extLst>
        </c:ser>
        <c:ser>
          <c:idx val="2"/>
          <c:order val="1"/>
          <c:tx>
            <c:v>En proceso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tratamientos'!$D$25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6C-4D5E-83AA-7D5E4AE3B99B}"/>
            </c:ext>
          </c:extLst>
        </c:ser>
        <c:ser>
          <c:idx val="3"/>
          <c:order val="2"/>
          <c:tx>
            <c:v>No cumplidos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tratamientos'!$A$25</c:f>
              <c:strCache>
                <c:ptCount val="1"/>
                <c:pt idx="0">
                  <c:v>Señales de Alerta</c:v>
                </c:pt>
              </c:strCache>
            </c:strRef>
          </c:cat>
          <c:val>
            <c:numRef>
              <c:f>'Planes de tratamientos'!$E$25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6C-4D5E-83AA-7D5E4AE3B9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1646191"/>
        <c:axId val="1661657711"/>
      </c:barChart>
      <c:catAx>
        <c:axId val="166164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1657711"/>
        <c:crosses val="autoZero"/>
        <c:auto val="1"/>
        <c:lblAlgn val="ctr"/>
        <c:lblOffset val="100"/>
        <c:noMultiLvlLbl val="0"/>
      </c:catAx>
      <c:valAx>
        <c:axId val="16616577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164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874008010325916"/>
          <c:y val="0.89975239836663623"/>
          <c:w val="0.65376187188042256"/>
          <c:h val="8.7473743873570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600" b="1"/>
              <a:t>Nivel</a:t>
            </a:r>
            <a:r>
              <a:rPr lang="es-CL" sz="1600" b="1" baseline="0"/>
              <a:t> de Cumplimiento - Planes de Tratamiento de Riesgos 2024</a:t>
            </a:r>
            <a:endParaRPr lang="es-CL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0125577630341101E-2"/>
          <c:y val="0.14953606984241369"/>
          <c:w val="0.91300096501850747"/>
          <c:h val="0.648042630665961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1-4F67-8676-8E2CC89373B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11-4F67-8676-8E2CC8937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'Planes de tratamientos'!$A$20:$C$20</c:f>
              <c:strCache>
                <c:ptCount val="3"/>
                <c:pt idx="0">
                  <c:v>Cumplidos</c:v>
                </c:pt>
                <c:pt idx="1">
                  <c:v>En proceso</c:v>
                </c:pt>
                <c:pt idx="2">
                  <c:v>No cumplidos</c:v>
                </c:pt>
              </c:strCache>
            </c:strRef>
          </c:cat>
          <c:val>
            <c:numRef>
              <c:f>'Planes de tratamientos'!$A$21:$C$21</c:f>
              <c:numCache>
                <c:formatCode>General</c:formatCode>
                <c:ptCount val="3"/>
                <c:pt idx="0">
                  <c:v>2</c:v>
                </c:pt>
                <c:pt idx="1">
                  <c:v>62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1-4F67-8676-8E2CC89373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7931839"/>
        <c:axId val="1647933759"/>
      </c:barChart>
      <c:catAx>
        <c:axId val="16479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933759"/>
        <c:crosses val="autoZero"/>
        <c:auto val="1"/>
        <c:lblAlgn val="ctr"/>
        <c:lblOffset val="100"/>
        <c:noMultiLvlLbl val="0"/>
      </c:catAx>
      <c:valAx>
        <c:axId val="164793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793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896480"/>
        <c:axId val="602897440"/>
      </c:barChart>
      <c:catAx>
        <c:axId val="6028964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97440"/>
        <c:crosses val="autoZero"/>
        <c:auto val="1"/>
        <c:lblAlgn val="ctr"/>
        <c:lblOffset val="100"/>
        <c:noMultiLvlLbl val="0"/>
      </c:catAx>
      <c:valAx>
        <c:axId val="60289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9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856160"/>
        <c:axId val="602841280"/>
      </c:barChart>
      <c:catAx>
        <c:axId val="6028561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41280"/>
        <c:crosses val="autoZero"/>
        <c:auto val="1"/>
        <c:lblAlgn val="ctr"/>
        <c:lblOffset val="100"/>
        <c:noMultiLvlLbl val="0"/>
      </c:catAx>
      <c:valAx>
        <c:axId val="60284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8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8560185185185185"/>
          <c:w val="0.9028635170603674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tratamientos'!$F$14:$L$14</c15:sqref>
                  </c15:fullRef>
                </c:ext>
              </c:extLst>
              <c:f>('Planes tratamientos'!$F$14,'Planes tratamientos'!$H$14,'Planes tratamientos'!$J$14)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8-43DE-B88C-03C9DD2149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tratamientos'!$F$15:$L$15</c15:sqref>
                  </c15:fullRef>
                </c:ext>
              </c:extLst>
              <c:f>('Planes tratamientos'!$F$15,'Planes tratamientos'!$H$15,'Planes tratamientos'!$J$15)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5E8-43DE-B88C-03C9DD2149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tratamientos'!$F$16:$L$16</c15:sqref>
                  </c15:fullRef>
                </c:ext>
              </c:extLst>
              <c:f>('Planes tratamientos'!$F$16,'Planes tratamientos'!$H$16,'Planes tratamientos'!$J$16)</c:f>
              <c:numCache>
                <c:formatCode>General</c:formatCode>
                <c:ptCount val="3"/>
                <c:pt idx="0">
                  <c:v>2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8-43DE-B88C-03C9DD2149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'Planes tratamientos'!$F$17:$L$17</c15:sqref>
                  </c15:fullRef>
                </c:ext>
              </c:extLst>
              <c:f>('Planes tratamientos'!$F$17,'Planes tratamientos'!$H$17,'Planes tratamientos'!$J$17)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8-43DE-B88C-03C9DD21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912320"/>
        <c:axId val="60291280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'Planes tratamientos'!$F$18:$L$18</c15:sqref>
                        </c15:fullRef>
                        <c15:formulaRef>
                          <c15:sqref>('Planes tratamientos'!$F$18,'Planes tratamientos'!$H$18,'Planes tratamientos'!$J$18)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</c:v>
                      </c:pt>
                      <c:pt idx="1">
                        <c:v>38</c:v>
                      </c:pt>
                      <c:pt idx="2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5E8-43DE-B88C-03C9DD214920}"/>
                  </c:ext>
                </c:extLst>
              </c15:ser>
            </c15:filteredBarSeries>
          </c:ext>
        </c:extLst>
      </c:barChart>
      <c:catAx>
        <c:axId val="602912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912800"/>
        <c:crosses val="autoZero"/>
        <c:auto val="1"/>
        <c:lblAlgn val="ctr"/>
        <c:lblOffset val="100"/>
        <c:noMultiLvlLbl val="0"/>
      </c:catAx>
      <c:valAx>
        <c:axId val="6029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91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3980720556813819"/>
          <c:y val="0.86949969889676904"/>
          <c:w val="0.70492665323375769"/>
          <c:h val="0.10067182190471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microsoft.com/office/2007/relationships/hdphoto" Target="../media/hdphoto1.wdp"/><Relationship Id="rId1" Type="http://schemas.openxmlformats.org/officeDocument/2006/relationships/image" Target="../media/image20.png"/><Relationship Id="rId6" Type="http://schemas.openxmlformats.org/officeDocument/2006/relationships/image" Target="../media/image24.png"/><Relationship Id="rId11" Type="http://schemas.openxmlformats.org/officeDocument/2006/relationships/chart" Target="../charts/chart5.xml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3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25.png"/><Relationship Id="rId7" Type="http://schemas.openxmlformats.org/officeDocument/2006/relationships/chart" Target="../charts/chart11.xml"/><Relationship Id="rId2" Type="http://schemas.openxmlformats.org/officeDocument/2006/relationships/image" Target="../media/image26.png"/><Relationship Id="rId1" Type="http://schemas.openxmlformats.org/officeDocument/2006/relationships/image" Target="../media/image24.png"/><Relationship Id="rId6" Type="http://schemas.openxmlformats.org/officeDocument/2006/relationships/chart" Target="../charts/chart10.xml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image" Target="../media/image26.png"/><Relationship Id="rId7" Type="http://schemas.openxmlformats.org/officeDocument/2006/relationships/chart" Target="../charts/chart14.xml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chart" Target="../charts/chart13.xml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180976</xdr:rowOff>
    </xdr:from>
    <xdr:to>
      <xdr:col>4</xdr:col>
      <xdr:colOff>160557</xdr:colOff>
      <xdr:row>10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EC3979-55FE-5D37-732A-F393C229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7" y="371476"/>
          <a:ext cx="1684555" cy="1628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353788</xdr:colOff>
      <xdr:row>14</xdr:row>
      <xdr:rowOff>363930</xdr:rowOff>
    </xdr:from>
    <xdr:to>
      <xdr:col>12</xdr:col>
      <xdr:colOff>367394</xdr:colOff>
      <xdr:row>15</xdr:row>
      <xdr:rowOff>316120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CF66B5-288D-4064-A08C-6072A2EB5C82}"/>
            </a:ext>
          </a:extLst>
        </xdr:cNvPr>
        <xdr:cNvSpPr/>
      </xdr:nvSpPr>
      <xdr:spPr>
        <a:xfrm>
          <a:off x="6657606" y="5628657"/>
          <a:ext cx="6248152" cy="4370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PMG</a:t>
          </a:r>
        </a:p>
      </xdr:txBody>
    </xdr:sp>
    <xdr:clientData/>
  </xdr:twoCellAnchor>
  <xdr:twoCellAnchor>
    <xdr:from>
      <xdr:col>12</xdr:col>
      <xdr:colOff>587581</xdr:colOff>
      <xdr:row>14</xdr:row>
      <xdr:rowOff>353244</xdr:rowOff>
    </xdr:from>
    <xdr:to>
      <xdr:col>18</xdr:col>
      <xdr:colOff>1</xdr:colOff>
      <xdr:row>15</xdr:row>
      <xdr:rowOff>288222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A705FC0-9012-42C8-8E0A-2B2C2949F07A}"/>
            </a:ext>
          </a:extLst>
        </xdr:cNvPr>
        <xdr:cNvSpPr/>
      </xdr:nvSpPr>
      <xdr:spPr>
        <a:xfrm>
          <a:off x="13125945" y="5617971"/>
          <a:ext cx="9664783" cy="419887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H (no</a:t>
          </a:r>
          <a:r>
            <a:rPr lang="es-ES" sz="20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afecto a incentivo)</a:t>
          </a:r>
          <a:endParaRPr lang="es-ES" sz="2000" b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5</xdr:col>
      <xdr:colOff>332757</xdr:colOff>
      <xdr:row>32</xdr:row>
      <xdr:rowOff>126176</xdr:rowOff>
    </xdr:from>
    <xdr:to>
      <xdr:col>12</xdr:col>
      <xdr:colOff>421821</xdr:colOff>
      <xdr:row>34</xdr:row>
      <xdr:rowOff>126175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399C13-A18C-4D11-8C9F-02F2DED2AE0C}"/>
            </a:ext>
          </a:extLst>
        </xdr:cNvPr>
        <xdr:cNvSpPr/>
      </xdr:nvSpPr>
      <xdr:spPr>
        <a:xfrm>
          <a:off x="6636575" y="10569040"/>
          <a:ext cx="6323610" cy="3809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NIVEL CENTRAL</a:t>
          </a:r>
        </a:p>
      </xdr:txBody>
    </xdr:sp>
    <xdr:clientData/>
  </xdr:twoCellAnchor>
  <xdr:twoCellAnchor>
    <xdr:from>
      <xdr:col>12</xdr:col>
      <xdr:colOff>588818</xdr:colOff>
      <xdr:row>32</xdr:row>
      <xdr:rowOff>121228</xdr:rowOff>
    </xdr:from>
    <xdr:to>
      <xdr:col>18</xdr:col>
      <xdr:colOff>40822</xdr:colOff>
      <xdr:row>34</xdr:row>
      <xdr:rowOff>103910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887BFB1-D75F-42E8-9046-786570D35249}"/>
            </a:ext>
          </a:extLst>
        </xdr:cNvPr>
        <xdr:cNvSpPr/>
      </xdr:nvSpPr>
      <xdr:spPr>
        <a:xfrm>
          <a:off x="13127182" y="10564092"/>
          <a:ext cx="9704367" cy="363682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REGIONES</a:t>
          </a:r>
        </a:p>
      </xdr:txBody>
    </xdr:sp>
    <xdr:clientData/>
  </xdr:twoCellAnchor>
  <xdr:twoCellAnchor>
    <xdr:from>
      <xdr:col>5</xdr:col>
      <xdr:colOff>345129</xdr:colOff>
      <xdr:row>16</xdr:row>
      <xdr:rowOff>105517</xdr:rowOff>
    </xdr:from>
    <xdr:to>
      <xdr:col>12</xdr:col>
      <xdr:colOff>354899</xdr:colOff>
      <xdr:row>30</xdr:row>
      <xdr:rowOff>144977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E2487C-2124-4920-9A30-8D2BFFB00399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311727</xdr:colOff>
      <xdr:row>34</xdr:row>
      <xdr:rowOff>173181</xdr:rowOff>
    </xdr:from>
    <xdr:to>
      <xdr:col>12</xdr:col>
      <xdr:colOff>415637</xdr:colOff>
      <xdr:row>47</xdr:row>
      <xdr:rowOff>294408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403265</xdr:colOff>
      <xdr:row>8</xdr:row>
      <xdr:rowOff>19795</xdr:rowOff>
    </xdr:from>
    <xdr:to>
      <xdr:col>10</xdr:col>
      <xdr:colOff>628529</xdr:colOff>
      <xdr:row>8</xdr:row>
      <xdr:rowOff>242071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153FC9D-528F-41A8-ADE5-0B5B29889960}"/>
            </a:ext>
          </a:extLst>
        </xdr:cNvPr>
        <xdr:cNvSpPr/>
      </xdr:nvSpPr>
      <xdr:spPr>
        <a:xfrm flipH="1">
          <a:off x="11084872" y="2319402"/>
          <a:ext cx="225264" cy="222276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/>
        </a:p>
      </xdr:txBody>
    </xdr:sp>
    <xdr:clientData/>
  </xdr:twoCellAnchor>
  <xdr:twoCellAnchor>
    <xdr:from>
      <xdr:col>12</xdr:col>
      <xdr:colOff>489858</xdr:colOff>
      <xdr:row>7</xdr:row>
      <xdr:rowOff>580221</xdr:rowOff>
    </xdr:from>
    <xdr:to>
      <xdr:col>12</xdr:col>
      <xdr:colOff>706535</xdr:colOff>
      <xdr:row>8</xdr:row>
      <xdr:rowOff>217713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B533013-990C-45C0-87FA-B6C90E2B4D7D}"/>
            </a:ext>
          </a:extLst>
        </xdr:cNvPr>
        <xdr:cNvSpPr/>
      </xdr:nvSpPr>
      <xdr:spPr>
        <a:xfrm flipH="1">
          <a:off x="13035644" y="2294721"/>
          <a:ext cx="216677" cy="222599"/>
        </a:xfrm>
        <a:prstGeom prst="ellipse">
          <a:avLst/>
        </a:prstGeom>
        <a:solidFill>
          <a:srgbClr val="F4EE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>
            <a:solidFill>
              <a:srgbClr val="F4EE00"/>
            </a:solidFill>
          </a:endParaRPr>
        </a:p>
      </xdr:txBody>
    </xdr:sp>
    <xdr:clientData/>
  </xdr:twoCellAnchor>
  <xdr:twoCellAnchor>
    <xdr:from>
      <xdr:col>14</xdr:col>
      <xdr:colOff>471534</xdr:colOff>
      <xdr:row>8</xdr:row>
      <xdr:rowOff>7517</xdr:rowOff>
    </xdr:from>
    <xdr:to>
      <xdr:col>14</xdr:col>
      <xdr:colOff>696798</xdr:colOff>
      <xdr:row>8</xdr:row>
      <xdr:rowOff>220268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C6433131-931A-4530-A51C-7B5BD0AFB996}"/>
            </a:ext>
          </a:extLst>
        </xdr:cNvPr>
        <xdr:cNvSpPr/>
      </xdr:nvSpPr>
      <xdr:spPr>
        <a:xfrm flipH="1">
          <a:off x="14949534" y="2307124"/>
          <a:ext cx="225264" cy="212751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CL" sz="1100"/>
        </a:p>
      </xdr:txBody>
    </xdr:sp>
    <xdr:clientData/>
  </xdr:twoCellAnchor>
  <xdr:twoCellAnchor editAs="oneCell">
    <xdr:from>
      <xdr:col>1</xdr:col>
      <xdr:colOff>261937</xdr:colOff>
      <xdr:row>34</xdr:row>
      <xdr:rowOff>166687</xdr:rowOff>
    </xdr:from>
    <xdr:to>
      <xdr:col>5</xdr:col>
      <xdr:colOff>95250</xdr:colOff>
      <xdr:row>47</xdr:row>
      <xdr:rowOff>319055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E098D8-5869-1D82-0E79-DB3C26EB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953875"/>
          <a:ext cx="6048375" cy="3819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623453</xdr:colOff>
      <xdr:row>16</xdr:row>
      <xdr:rowOff>121227</xdr:rowOff>
    </xdr:from>
    <xdr:to>
      <xdr:col>17</xdr:col>
      <xdr:colOff>5645726</xdr:colOff>
      <xdr:row>30</xdr:row>
      <xdr:rowOff>160687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8F1FE2-5121-4ED1-90D3-699007BBD1AD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658091</xdr:colOff>
      <xdr:row>35</xdr:row>
      <xdr:rowOff>69273</xdr:rowOff>
    </xdr:from>
    <xdr:to>
      <xdr:col>17</xdr:col>
      <xdr:colOff>5663044</xdr:colOff>
      <xdr:row>47</xdr:row>
      <xdr:rowOff>207818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95D93F1-81D7-4CF4-A38C-987B620AC1E3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379184</xdr:colOff>
      <xdr:row>34</xdr:row>
      <xdr:rowOff>64443</xdr:rowOff>
    </xdr:from>
    <xdr:to>
      <xdr:col>12</xdr:col>
      <xdr:colOff>333120</xdr:colOff>
      <xdr:row>42</xdr:row>
      <xdr:rowOff>190501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9191399-33C8-4196-95C0-4123684348DD}"/>
            </a:ext>
          </a:extLst>
        </xdr:cNvPr>
        <xdr:cNvSpPr/>
      </xdr:nvSpPr>
      <xdr:spPr>
        <a:xfrm>
          <a:off x="5304970" y="6963264"/>
          <a:ext cx="4539543" cy="17589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CPEIP</a:t>
          </a:r>
        </a:p>
      </xdr:txBody>
    </xdr:sp>
    <xdr:clientData/>
  </xdr:twoCellAnchor>
  <xdr:twoCellAnchor>
    <xdr:from>
      <xdr:col>2</xdr:col>
      <xdr:colOff>1054346</xdr:colOff>
      <xdr:row>49</xdr:row>
      <xdr:rowOff>198053</xdr:rowOff>
    </xdr:from>
    <xdr:to>
      <xdr:col>9</xdr:col>
      <xdr:colOff>346362</xdr:colOff>
      <xdr:row>60</xdr:row>
      <xdr:rowOff>1020536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21C26D0-BE00-4C67-9177-F60C41CBF155}"/>
            </a:ext>
          </a:extLst>
        </xdr:cNvPr>
        <xdr:cNvSpPr/>
      </xdr:nvSpPr>
      <xdr:spPr>
        <a:xfrm>
          <a:off x="1993239" y="10158482"/>
          <a:ext cx="5564909" cy="30676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DIPLAP</a:t>
          </a:r>
        </a:p>
      </xdr:txBody>
    </xdr:sp>
    <xdr:clientData/>
  </xdr:twoCellAnchor>
  <xdr:twoCellAnchor>
    <xdr:from>
      <xdr:col>16</xdr:col>
      <xdr:colOff>698549</xdr:colOff>
      <xdr:row>34</xdr:row>
      <xdr:rowOff>8508</xdr:rowOff>
    </xdr:from>
    <xdr:to>
      <xdr:col>23</xdr:col>
      <xdr:colOff>714374</xdr:colOff>
      <xdr:row>44</xdr:row>
      <xdr:rowOff>68036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97BFDC-9588-48F6-9F1C-C599F9201E8D}"/>
            </a:ext>
          </a:extLst>
        </xdr:cNvPr>
        <xdr:cNvSpPr/>
      </xdr:nvSpPr>
      <xdr:spPr>
        <a:xfrm>
          <a:off x="13257942" y="6907329"/>
          <a:ext cx="5349825" cy="2100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DAG</a:t>
          </a:r>
        </a:p>
      </xdr:txBody>
    </xdr:sp>
    <xdr:clientData/>
  </xdr:twoCellAnchor>
  <xdr:twoCellAnchor>
    <xdr:from>
      <xdr:col>11</xdr:col>
      <xdr:colOff>402684</xdr:colOff>
      <xdr:row>50</xdr:row>
      <xdr:rowOff>13244</xdr:rowOff>
    </xdr:from>
    <xdr:to>
      <xdr:col>18</xdr:col>
      <xdr:colOff>600025</xdr:colOff>
      <xdr:row>60</xdr:row>
      <xdr:rowOff>693964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590C52D-26EC-4C15-A72F-D7D8227F3ABB}"/>
            </a:ext>
          </a:extLst>
        </xdr:cNvPr>
        <xdr:cNvSpPr/>
      </xdr:nvSpPr>
      <xdr:spPr>
        <a:xfrm>
          <a:off x="9138470" y="10177780"/>
          <a:ext cx="5544948" cy="27217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UCE</a:t>
          </a:r>
        </a:p>
      </xdr:txBody>
    </xdr:sp>
    <xdr:clientData/>
  </xdr:twoCellAnchor>
  <xdr:twoCellAnchor>
    <xdr:from>
      <xdr:col>20</xdr:col>
      <xdr:colOff>346364</xdr:colOff>
      <xdr:row>50</xdr:row>
      <xdr:rowOff>8150</xdr:rowOff>
    </xdr:from>
    <xdr:to>
      <xdr:col>26</xdr:col>
      <xdr:colOff>1728519</xdr:colOff>
      <xdr:row>60</xdr:row>
      <xdr:rowOff>789215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8E23530-43DC-4145-AC8B-CEE4DCF4B15E}"/>
            </a:ext>
          </a:extLst>
        </xdr:cNvPr>
        <xdr:cNvSpPr/>
      </xdr:nvSpPr>
      <xdr:spPr>
        <a:xfrm>
          <a:off x="15953757" y="10172686"/>
          <a:ext cx="5954155" cy="28221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División</a:t>
          </a:r>
          <a:r>
            <a:rPr lang="es-CL" sz="24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</a:t>
          </a:r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Jurídica</a:t>
          </a:r>
        </a:p>
      </xdr:txBody>
    </xdr:sp>
    <xdr:clientData/>
  </xdr:twoCellAnchor>
  <xdr:twoCellAnchor>
    <xdr:from>
      <xdr:col>0</xdr:col>
      <xdr:colOff>277229</xdr:colOff>
      <xdr:row>34</xdr:row>
      <xdr:rowOff>34247</xdr:rowOff>
    </xdr:from>
    <xdr:to>
      <xdr:col>5</xdr:col>
      <xdr:colOff>302559</xdr:colOff>
      <xdr:row>43</xdr:row>
      <xdr:rowOff>56030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D6EA763-CDB6-4C93-A5F3-EF00047F78EC}"/>
            </a:ext>
          </a:extLst>
        </xdr:cNvPr>
        <xdr:cNvSpPr/>
      </xdr:nvSpPr>
      <xdr:spPr>
        <a:xfrm>
          <a:off x="277229" y="6933068"/>
          <a:ext cx="4189116" cy="18587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DEG</a:t>
          </a:r>
        </a:p>
      </xdr:txBody>
    </xdr:sp>
    <xdr:clientData/>
  </xdr:twoCellAnchor>
  <xdr:twoCellAnchor>
    <xdr:from>
      <xdr:col>11</xdr:col>
      <xdr:colOff>316958</xdr:colOff>
      <xdr:row>3</xdr:row>
      <xdr:rowOff>102649</xdr:rowOff>
    </xdr:from>
    <xdr:to>
      <xdr:col>15</xdr:col>
      <xdr:colOff>305051</xdr:colOff>
      <xdr:row>8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AD3E408-0CC3-4168-A2FF-DAF0F164E18F}"/>
            </a:ext>
          </a:extLst>
        </xdr:cNvPr>
        <xdr:cNvSpPr/>
      </xdr:nvSpPr>
      <xdr:spPr>
        <a:xfrm>
          <a:off x="9032333" y="674149"/>
          <a:ext cx="3036093" cy="9927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MINISTERIO DE EDUCACIÓN</a:t>
          </a:r>
        </a:p>
      </xdr:txBody>
    </xdr:sp>
    <xdr:clientData/>
  </xdr:twoCellAnchor>
  <xdr:twoCellAnchor>
    <xdr:from>
      <xdr:col>11</xdr:col>
      <xdr:colOff>327225</xdr:colOff>
      <xdr:row>15</xdr:row>
      <xdr:rowOff>2744</xdr:rowOff>
    </xdr:from>
    <xdr:to>
      <xdr:col>15</xdr:col>
      <xdr:colOff>339131</xdr:colOff>
      <xdr:row>20</xdr:row>
      <xdr:rowOff>61072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C9F429B-1E41-491C-882F-D08EB8E12AC6}"/>
            </a:ext>
            <a:ext uri="{147F2762-F138-4A5C-976F-8EAC2B608ADB}">
              <a16:predDERef xmlns:a16="http://schemas.microsoft.com/office/drawing/2014/main" pred="{6AD3E408-0CC3-4168-A2FF-DAF0F164E18F}"/>
            </a:ext>
          </a:extLst>
        </xdr:cNvPr>
        <xdr:cNvSpPr/>
      </xdr:nvSpPr>
      <xdr:spPr>
        <a:xfrm>
          <a:off x="9056607" y="3005920"/>
          <a:ext cx="3071112" cy="1066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SUBSECRETARÍA DE EDUCACIÓN</a:t>
          </a:r>
        </a:p>
      </xdr:txBody>
    </xdr:sp>
    <xdr:clientData/>
  </xdr:twoCellAnchor>
  <xdr:twoCellAnchor>
    <xdr:from>
      <xdr:col>18</xdr:col>
      <xdr:colOff>434118</xdr:colOff>
      <xdr:row>16</xdr:row>
      <xdr:rowOff>17318</xdr:rowOff>
    </xdr:from>
    <xdr:to>
      <xdr:col>25</xdr:col>
      <xdr:colOff>710046</xdr:colOff>
      <xdr:row>29</xdr:row>
      <xdr:rowOff>155863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0EFCE2F-6C54-4BF6-A3D8-E41BBC51CA9E}"/>
            </a:ext>
          </a:extLst>
        </xdr:cNvPr>
        <xdr:cNvSpPr/>
      </xdr:nvSpPr>
      <xdr:spPr>
        <a:xfrm>
          <a:off x="14513800" y="3290454"/>
          <a:ext cx="5609928" cy="284018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Subsecretaria</a:t>
          </a:r>
        </a:p>
      </xdr:txBody>
    </xdr:sp>
    <xdr:clientData/>
  </xdr:twoCellAnchor>
  <xdr:twoCellAnchor>
    <xdr:from>
      <xdr:col>2</xdr:col>
      <xdr:colOff>974912</xdr:colOff>
      <xdr:row>7</xdr:row>
      <xdr:rowOff>119291</xdr:rowOff>
    </xdr:from>
    <xdr:to>
      <xdr:col>7</xdr:col>
      <xdr:colOff>112059</xdr:colOff>
      <xdr:row>14</xdr:row>
      <xdr:rowOff>89646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D710A27-465A-4AC6-9457-FCCAB6DFEF8E}"/>
            </a:ext>
            <a:ext uri="{147F2762-F138-4A5C-976F-8EAC2B608ADB}">
              <a16:predDERef xmlns:a16="http://schemas.microsoft.com/office/drawing/2014/main" pred="{10EFCE2F-6C54-4BF6-A3D8-E41BBC51CA9E}"/>
            </a:ext>
          </a:extLst>
        </xdr:cNvPr>
        <xdr:cNvSpPr/>
      </xdr:nvSpPr>
      <xdr:spPr>
        <a:xfrm>
          <a:off x="1916206" y="1508820"/>
          <a:ext cx="3877235" cy="138229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Ministro</a:t>
          </a:r>
        </a:p>
      </xdr:txBody>
    </xdr:sp>
    <xdr:clientData/>
  </xdr:twoCellAnchor>
  <xdr:twoCellAnchor>
    <xdr:from>
      <xdr:col>13</xdr:col>
      <xdr:colOff>305402</xdr:colOff>
      <xdr:row>8</xdr:row>
      <xdr:rowOff>142875</xdr:rowOff>
    </xdr:from>
    <xdr:to>
      <xdr:col>13</xdr:col>
      <xdr:colOff>327575</xdr:colOff>
      <xdr:row>15</xdr:row>
      <xdr:rowOff>2744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E8CC05A-08EA-4B0F-88DF-81F8131E0B57}"/>
            </a:ext>
            <a:ext uri="{147F2762-F138-4A5C-976F-8EAC2B608ADB}">
              <a16:predDERef xmlns:a16="http://schemas.microsoft.com/office/drawing/2014/main" pred="{BD710A27-465A-4AC6-9457-FCCAB6DFEF8E}"/>
            </a:ext>
          </a:extLst>
        </xdr:cNvPr>
        <xdr:cNvCxnSpPr>
          <a:stCxn id="8" idx="2"/>
          <a:endCxn id="9" idx="0"/>
          <a:extLst>
            <a:ext uri="{5F17804C-33F3-41E3-A699-7DCFA2EF7971}">
              <a16:cxnDERefs xmlns:a16="http://schemas.microsoft.com/office/drawing/2014/main" st="{6AD3E408-0CC3-4168-A2FF-DAF0F164E18F}" end="{2C9F429B-1E41-491C-882F-D08EB8E12AC6}"/>
            </a:ext>
          </a:extLst>
        </xdr:cNvCxnSpPr>
      </xdr:nvCxnSpPr>
      <xdr:spPr>
        <a:xfrm>
          <a:off x="10569990" y="1734110"/>
          <a:ext cx="22173" cy="1271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1420586</xdr:colOff>
      <xdr:row>32</xdr:row>
      <xdr:rowOff>52552</xdr:rowOff>
    </xdr:from>
    <xdr:to>
      <xdr:col>24</xdr:col>
      <xdr:colOff>275897</xdr:colOff>
      <xdr:row>32</xdr:row>
      <xdr:rowOff>54428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0FA50AC-DAC0-4E4D-8596-0B1F1D98AC3C}"/>
            </a:ext>
          </a:extLst>
        </xdr:cNvPr>
        <xdr:cNvCxnSpPr/>
      </xdr:nvCxnSpPr>
      <xdr:spPr>
        <a:xfrm flipV="1">
          <a:off x="2359948" y="6339052"/>
          <a:ext cx="16558673" cy="18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327575</xdr:colOff>
      <xdr:row>20</xdr:row>
      <xdr:rowOff>61072</xdr:rowOff>
    </xdr:from>
    <xdr:to>
      <xdr:col>13</xdr:col>
      <xdr:colOff>347383</xdr:colOff>
      <xdr:row>32</xdr:row>
      <xdr:rowOff>56030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03E19BE-5E1B-4212-A0A3-775EC8D3A0B8}"/>
            </a:ext>
            <a:ext uri="{147F2762-F138-4A5C-976F-8EAC2B608ADB}">
              <a16:predDERef xmlns:a16="http://schemas.microsoft.com/office/drawing/2014/main" pred="{E0FA50AC-DAC0-4E4D-8596-0B1F1D98AC3C}"/>
            </a:ext>
          </a:extLst>
        </xdr:cNvPr>
        <xdr:cNvCxnSpPr>
          <a:stCxn id="9" idx="2"/>
          <a:extLst>
            <a:ext uri="{5F17804C-33F3-41E3-A699-7DCFA2EF7971}">
              <a16:cxnDERefs xmlns:a16="http://schemas.microsoft.com/office/drawing/2014/main" st="{2C9F429B-1E41-491C-882F-D08EB8E12AC6}" end="{00000000-0000-0000-0000-000000000000}"/>
            </a:ext>
          </a:extLst>
        </xdr:cNvCxnSpPr>
      </xdr:nvCxnSpPr>
      <xdr:spPr>
        <a:xfrm>
          <a:off x="10592163" y="4072778"/>
          <a:ext cx="19808" cy="24154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329045</xdr:colOff>
      <xdr:row>22</xdr:row>
      <xdr:rowOff>190500</xdr:rowOff>
    </xdr:from>
    <xdr:to>
      <xdr:col>18</xdr:col>
      <xdr:colOff>434118</xdr:colOff>
      <xdr:row>23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4480BC0-4AAD-4899-833F-D4E4592AE272}"/>
            </a:ext>
          </a:extLst>
        </xdr:cNvPr>
        <xdr:cNvCxnSpPr>
          <a:endCxn id="10" idx="1"/>
        </xdr:cNvCxnSpPr>
      </xdr:nvCxnSpPr>
      <xdr:spPr>
        <a:xfrm flipV="1">
          <a:off x="10598727" y="4710545"/>
          <a:ext cx="3915073" cy="173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112059</xdr:colOff>
      <xdr:row>10</xdr:row>
      <xdr:rowOff>190500</xdr:rowOff>
    </xdr:from>
    <xdr:to>
      <xdr:col>13</xdr:col>
      <xdr:colOff>302559</xdr:colOff>
      <xdr:row>11</xdr:row>
      <xdr:rowOff>3616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519ABF6-0D9B-4E47-99FA-D3F176332DDA}"/>
            </a:ext>
            <a:ext uri="{147F2762-F138-4A5C-976F-8EAC2B608ADB}">
              <a16:predDERef xmlns:a16="http://schemas.microsoft.com/office/drawing/2014/main" pred="{14480BC0-4AAD-4899-833F-D4E4592AE272}"/>
            </a:ext>
          </a:extLst>
        </xdr:cNvPr>
        <xdr:cNvCxnSpPr>
          <a:stCxn id="11" idx="3"/>
          <a:extLst>
            <a:ext uri="{5F17804C-33F3-41E3-A699-7DCFA2EF7971}">
              <a16:cxnDERefs xmlns:a16="http://schemas.microsoft.com/office/drawing/2014/main" st="{BD710A27-465A-4AC6-9457-FCCAB6DFEF8E}" end="{00000000-0000-0000-0000-000000000000}"/>
            </a:ext>
          </a:extLst>
        </xdr:cNvCxnSpPr>
      </xdr:nvCxnSpPr>
      <xdr:spPr>
        <a:xfrm flipV="1">
          <a:off x="5793441" y="2185147"/>
          <a:ext cx="4773706" cy="148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1427291</xdr:colOff>
      <xdr:row>32</xdr:row>
      <xdr:rowOff>44824</xdr:rowOff>
    </xdr:from>
    <xdr:to>
      <xdr:col>2</xdr:col>
      <xdr:colOff>1434353</xdr:colOff>
      <xdr:row>34</xdr:row>
      <xdr:rowOff>34247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3D659A6-613D-4AA2-989B-BABDC51936F1}"/>
            </a:ext>
          </a:extLst>
        </xdr:cNvPr>
        <xdr:cNvCxnSpPr>
          <a:endCxn id="7" idx="0"/>
        </xdr:cNvCxnSpPr>
      </xdr:nvCxnSpPr>
      <xdr:spPr>
        <a:xfrm flipH="1">
          <a:off x="2368585" y="6477000"/>
          <a:ext cx="7062" cy="3928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611908</xdr:colOff>
      <xdr:row>32</xdr:row>
      <xdr:rowOff>49696</xdr:rowOff>
    </xdr:from>
    <xdr:to>
      <xdr:col>5</xdr:col>
      <xdr:colOff>621195</xdr:colOff>
      <xdr:row>49</xdr:row>
      <xdr:rowOff>198053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9587995-B93D-4B55-B473-B57E29DAF6B6}"/>
            </a:ext>
          </a:extLst>
        </xdr:cNvPr>
        <xdr:cNvCxnSpPr>
          <a:endCxn id="3" idx="0"/>
        </xdr:cNvCxnSpPr>
      </xdr:nvCxnSpPr>
      <xdr:spPr>
        <a:xfrm flipH="1">
          <a:off x="4775694" y="6540303"/>
          <a:ext cx="9287" cy="36181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321128</xdr:colOff>
      <xdr:row>32</xdr:row>
      <xdr:rowOff>38100</xdr:rowOff>
    </xdr:from>
    <xdr:to>
      <xdr:col>20</xdr:col>
      <xdr:colOff>325462</xdr:colOff>
      <xdr:row>34</xdr:row>
      <xdr:rowOff>8508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BD71382-ABD9-4F0F-8FAA-0771D03C5A33}"/>
            </a:ext>
          </a:extLst>
        </xdr:cNvPr>
        <xdr:cNvCxnSpPr>
          <a:endCxn id="4" idx="0"/>
        </xdr:cNvCxnSpPr>
      </xdr:nvCxnSpPr>
      <xdr:spPr>
        <a:xfrm>
          <a:off x="15928521" y="6528707"/>
          <a:ext cx="4334" cy="3786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275442</xdr:colOff>
      <xdr:row>32</xdr:row>
      <xdr:rowOff>39414</xdr:rowOff>
    </xdr:from>
    <xdr:to>
      <xdr:col>24</xdr:col>
      <xdr:colOff>275897</xdr:colOff>
      <xdr:row>50</xdr:row>
      <xdr:rowOff>8150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53D29F5-ED66-4443-BE7A-15D71868467F}"/>
            </a:ext>
          </a:extLst>
        </xdr:cNvPr>
        <xdr:cNvCxnSpPr>
          <a:endCxn id="6" idx="0"/>
        </xdr:cNvCxnSpPr>
      </xdr:nvCxnSpPr>
      <xdr:spPr>
        <a:xfrm flipH="1">
          <a:off x="18930835" y="6530021"/>
          <a:ext cx="455" cy="3642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362956</xdr:colOff>
      <xdr:row>32</xdr:row>
      <xdr:rowOff>88366</xdr:rowOff>
    </xdr:from>
    <xdr:to>
      <xdr:col>9</xdr:col>
      <xdr:colOff>367233</xdr:colOff>
      <xdr:row>34</xdr:row>
      <xdr:rowOff>64443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31AB616-701E-4D11-9637-C81D576D0072}"/>
            </a:ext>
          </a:extLst>
        </xdr:cNvPr>
        <xdr:cNvCxnSpPr>
          <a:endCxn id="2" idx="0"/>
        </xdr:cNvCxnSpPr>
      </xdr:nvCxnSpPr>
      <xdr:spPr>
        <a:xfrm flipH="1">
          <a:off x="7574742" y="6578973"/>
          <a:ext cx="4277" cy="3842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1079447</xdr:colOff>
          <xdr:row>10</xdr:row>
          <xdr:rowOff>2721</xdr:rowOff>
        </xdr:from>
        <xdr:to>
          <xdr:col>7</xdr:col>
          <xdr:colOff>38100</xdr:colOff>
          <xdr:row>13</xdr:row>
          <xdr:rowOff>97972</xdr:rowOff>
        </xdr:to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391F0781-EFDA-4B00-B4A9-911BFB4F1B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:D5" spid="_x0000_s298745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9262"/>
            <a:stretch>
              <a:fillRect/>
            </a:stretch>
          </xdr:blipFill>
          <xdr:spPr bwMode="auto">
            <a:xfrm>
              <a:off x="2012897" y="1974396"/>
              <a:ext cx="3702103" cy="695326"/>
            </a:xfrm>
            <a:prstGeom prst="rect">
              <a:avLst/>
            </a:prstGeom>
            <a:noFill/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361067</xdr:colOff>
          <xdr:row>36</xdr:row>
          <xdr:rowOff>109537</xdr:rowOff>
        </xdr:from>
        <xdr:to>
          <xdr:col>5</xdr:col>
          <xdr:colOff>166687</xdr:colOff>
          <xdr:row>41</xdr:row>
          <xdr:rowOff>147637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220077D2-3DEF-42C9-90EA-62AED3F314D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18:D21" spid="_x0000_s298746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8684"/>
            <a:stretch>
              <a:fillRect/>
            </a:stretch>
          </xdr:blipFill>
          <xdr:spPr bwMode="auto">
            <a:xfrm>
              <a:off x="361067" y="6967537"/>
              <a:ext cx="3948995" cy="990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652084</xdr:colOff>
          <xdr:row>18</xdr:row>
          <xdr:rowOff>117223</xdr:rowOff>
        </xdr:from>
        <xdr:to>
          <xdr:col>25</xdr:col>
          <xdr:colOff>484909</xdr:colOff>
          <xdr:row>28</xdr:row>
          <xdr:rowOff>176892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C358C81-E735-4AF4-B9CE-05A0EACB4B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7:D11" spid="_x0000_s298747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9677"/>
            <a:stretch>
              <a:fillRect/>
            </a:stretch>
          </xdr:blipFill>
          <xdr:spPr bwMode="auto">
            <a:xfrm>
              <a:off x="14735477" y="3750330"/>
              <a:ext cx="5316503" cy="21007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512091</xdr:colOff>
          <xdr:row>37</xdr:row>
          <xdr:rowOff>1</xdr:rowOff>
        </xdr:from>
        <xdr:to>
          <xdr:col>12</xdr:col>
          <xdr:colOff>294408</xdr:colOff>
          <xdr:row>41</xdr:row>
          <xdr:rowOff>149679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9D87651F-7764-4A43-B6F9-C320F902BF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13:D16" spid="_x0000_s298748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r="8546"/>
            <a:stretch>
              <a:fillRect/>
            </a:stretch>
          </xdr:blipFill>
          <xdr:spPr bwMode="auto">
            <a:xfrm>
              <a:off x="5437877" y="7511144"/>
              <a:ext cx="4367924" cy="9661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1391005</xdr:colOff>
          <xdr:row>52</xdr:row>
          <xdr:rowOff>191706</xdr:rowOff>
        </xdr:from>
        <xdr:to>
          <xdr:col>9</xdr:col>
          <xdr:colOff>163285</xdr:colOff>
          <xdr:row>60</xdr:row>
          <xdr:rowOff>830037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D5A87241-E629-486B-A53A-03BF6F237D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23:D30" spid="_x0000_s298749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r="9939"/>
            <a:stretch>
              <a:fillRect/>
            </a:stretch>
          </xdr:blipFill>
          <xdr:spPr bwMode="auto">
            <a:xfrm>
              <a:off x="2329898" y="10764456"/>
              <a:ext cx="5045173" cy="22711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45659</xdr:colOff>
          <xdr:row>36</xdr:row>
          <xdr:rowOff>68036</xdr:rowOff>
        </xdr:from>
        <xdr:to>
          <xdr:col>23</xdr:col>
          <xdr:colOff>571500</xdr:colOff>
          <xdr:row>43</xdr:row>
          <xdr:rowOff>122465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5D721D99-C231-40FC-A4AE-89DCF8CA7A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2:D37" spid="_x0000_s298750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r="9481"/>
            <a:stretch>
              <a:fillRect/>
            </a:stretch>
          </xdr:blipFill>
          <xdr:spPr bwMode="auto">
            <a:xfrm>
              <a:off x="13367052" y="7375072"/>
              <a:ext cx="5247519" cy="14831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610719</xdr:colOff>
          <xdr:row>53</xdr:row>
          <xdr:rowOff>33985</xdr:rowOff>
        </xdr:from>
        <xdr:to>
          <xdr:col>18</xdr:col>
          <xdr:colOff>456755</xdr:colOff>
          <xdr:row>60</xdr:row>
          <xdr:rowOff>476251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9473013A-66B9-4250-A5FA-3BFE778915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9:D45" spid="_x0000_s298751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r="9731"/>
            <a:stretch>
              <a:fillRect/>
            </a:stretch>
          </xdr:blipFill>
          <xdr:spPr bwMode="auto">
            <a:xfrm>
              <a:off x="9346505" y="10810842"/>
              <a:ext cx="5193643" cy="18710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550478</xdr:colOff>
          <xdr:row>53</xdr:row>
          <xdr:rowOff>47760</xdr:rowOff>
        </xdr:from>
        <xdr:to>
          <xdr:col>26</xdr:col>
          <xdr:colOff>1578427</xdr:colOff>
          <xdr:row>60</xdr:row>
          <xdr:rowOff>625929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0BD8BBAE-A411-4EDA-8B37-99E18333D6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47:D53" spid="_x0000_s298752"/>
                </a:ext>
              </a:extLst>
            </xdr:cNvPicPr>
          </xdr:nvPicPr>
          <xdr:blipFill rotWithShape="1">
            <a:blip xmlns:r="http://schemas.openxmlformats.org/officeDocument/2006/relationships" r:embed="rId8"/>
            <a:srcRect r="8242"/>
            <a:stretch>
              <a:fillRect/>
            </a:stretch>
          </xdr:blipFill>
          <xdr:spPr bwMode="auto">
            <a:xfrm>
              <a:off x="16157871" y="10824617"/>
              <a:ext cx="5599949" cy="2006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85397</xdr:colOff>
      <xdr:row>32</xdr:row>
      <xdr:rowOff>45983</xdr:rowOff>
    </xdr:from>
    <xdr:to>
      <xdr:col>15</xdr:col>
      <xdr:colOff>113551</xdr:colOff>
      <xdr:row>50</xdr:row>
      <xdr:rowOff>13244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D05D420D-E99C-4412-8CB5-10A604A2D4D8}"/>
            </a:ext>
          </a:extLst>
        </xdr:cNvPr>
        <xdr:cNvCxnSpPr>
          <a:endCxn id="5" idx="0"/>
        </xdr:cNvCxnSpPr>
      </xdr:nvCxnSpPr>
      <xdr:spPr>
        <a:xfrm>
          <a:off x="11882790" y="6536590"/>
          <a:ext cx="28154" cy="3641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857250</xdr:colOff>
      <xdr:row>6</xdr:row>
      <xdr:rowOff>77824</xdr:rowOff>
    </xdr:from>
    <xdr:to>
      <xdr:col>13</xdr:col>
      <xdr:colOff>28575</xdr:colOff>
      <xdr:row>7</xdr:row>
      <xdr:rowOff>278325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306E9A3-F9D6-41C3-B2FA-4E975B641C44}"/>
            </a:ext>
          </a:extLst>
        </xdr:cNvPr>
        <xdr:cNvSpPr/>
      </xdr:nvSpPr>
      <xdr:spPr>
        <a:xfrm>
          <a:off x="8610600" y="2097124"/>
          <a:ext cx="6238875" cy="295751"/>
        </a:xfrm>
        <a:prstGeom prst="rect">
          <a:avLst/>
        </a:prstGeom>
        <a:solidFill>
          <a:schemeClr val="tx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REGIONES</a:t>
          </a:r>
        </a:p>
      </xdr:txBody>
    </xdr:sp>
    <xdr:clientData/>
  </xdr:twoCellAnchor>
  <xdr:twoCellAnchor>
    <xdr:from>
      <xdr:col>1</xdr:col>
      <xdr:colOff>476249</xdr:colOff>
      <xdr:row>6</xdr:row>
      <xdr:rowOff>78358</xdr:rowOff>
    </xdr:from>
    <xdr:to>
      <xdr:col>7</xdr:col>
      <xdr:colOff>3360</xdr:colOff>
      <xdr:row>7</xdr:row>
      <xdr:rowOff>271096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DB5822F-4C01-4938-ADF5-11657BE7D0BC}"/>
            </a:ext>
          </a:extLst>
        </xdr:cNvPr>
        <xdr:cNvSpPr/>
      </xdr:nvSpPr>
      <xdr:spPr>
        <a:xfrm>
          <a:off x="711573" y="2095417"/>
          <a:ext cx="7046258" cy="293591"/>
        </a:xfrm>
        <a:prstGeom prst="rect">
          <a:avLst/>
        </a:prstGeom>
        <a:solidFill>
          <a:schemeClr val="tx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NIVEL CENTRAL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687415</xdr:colOff>
      <xdr:row>0</xdr:row>
      <xdr:rowOff>34637</xdr:rowOff>
    </xdr:from>
    <xdr:to>
      <xdr:col>3</xdr:col>
      <xdr:colOff>1454727</xdr:colOff>
      <xdr:row>4</xdr:row>
      <xdr:rowOff>112340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4262BA-5E96-B154-472B-1721A159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415" y="34637"/>
          <a:ext cx="6066676" cy="1497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81278</xdr:colOff>
      <xdr:row>0</xdr:row>
      <xdr:rowOff>17318</xdr:rowOff>
    </xdr:from>
    <xdr:to>
      <xdr:col>6</xdr:col>
      <xdr:colOff>1125682</xdr:colOff>
      <xdr:row>4</xdr:row>
      <xdr:rowOff>95021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5B42EE-C691-4162-8698-9110091C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005" y="17318"/>
          <a:ext cx="13582768" cy="14977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67237</xdr:colOff>
      <xdr:row>5</xdr:row>
      <xdr:rowOff>56027</xdr:rowOff>
    </xdr:from>
    <xdr:to>
      <xdr:col>7</xdr:col>
      <xdr:colOff>224743</xdr:colOff>
      <xdr:row>7</xdr:row>
      <xdr:rowOff>168089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710767F-7EA1-428C-B99A-5B4466F0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5943" y="1344703"/>
          <a:ext cx="863476" cy="818033"/>
        </a:xfrm>
        <a:prstGeom prst="rect">
          <a:avLst/>
        </a:prstGeom>
      </xdr:spPr>
    </xdr:pic>
    <xdr:clientData/>
  </xdr:twoCellAnchor>
  <xdr:twoCellAnchor editAs="oneCell">
    <xdr:from>
      <xdr:col>12</xdr:col>
      <xdr:colOff>89648</xdr:colOff>
      <xdr:row>5</xdr:row>
      <xdr:rowOff>67234</xdr:rowOff>
    </xdr:from>
    <xdr:to>
      <xdr:col>13</xdr:col>
      <xdr:colOff>534701</xdr:colOff>
      <xdr:row>7</xdr:row>
      <xdr:rowOff>168088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266B73B-8A91-49A4-8173-CD05EC5B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0736" y="1344705"/>
          <a:ext cx="848466" cy="806823"/>
        </a:xfrm>
        <a:prstGeom prst="rect">
          <a:avLst/>
        </a:prstGeom>
      </xdr:spPr>
    </xdr:pic>
    <xdr:clientData/>
  </xdr:twoCellAnchor>
  <xdr:twoCellAnchor editAs="oneCell">
    <xdr:from>
      <xdr:col>17</xdr:col>
      <xdr:colOff>89648</xdr:colOff>
      <xdr:row>5</xdr:row>
      <xdr:rowOff>78440</xdr:rowOff>
    </xdr:from>
    <xdr:to>
      <xdr:col>17</xdr:col>
      <xdr:colOff>840442</xdr:colOff>
      <xdr:row>7</xdr:row>
      <xdr:rowOff>133274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5DF901-1BD5-4C05-95C8-EF7A9E41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7530" y="1367116"/>
          <a:ext cx="750794" cy="760805"/>
        </a:xfrm>
        <a:prstGeom prst="rect">
          <a:avLst/>
        </a:prstGeom>
      </xdr:spPr>
    </xdr:pic>
    <xdr:clientData/>
  </xdr:twoCellAnchor>
  <xdr:twoCellAnchor editAs="oneCell">
    <xdr:from>
      <xdr:col>21</xdr:col>
      <xdr:colOff>246528</xdr:colOff>
      <xdr:row>5</xdr:row>
      <xdr:rowOff>67236</xdr:rowOff>
    </xdr:from>
    <xdr:to>
      <xdr:col>23</xdr:col>
      <xdr:colOff>168088</xdr:colOff>
      <xdr:row>7</xdr:row>
      <xdr:rowOff>201706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D2878BD-81F3-4D68-B769-9834A05B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0204" y="1355912"/>
          <a:ext cx="997326" cy="840441"/>
        </a:xfrm>
        <a:prstGeom prst="rect">
          <a:avLst/>
        </a:prstGeom>
      </xdr:spPr>
    </xdr:pic>
    <xdr:clientData/>
  </xdr:twoCellAnchor>
  <xdr:twoCellAnchor editAs="oneCell">
    <xdr:from>
      <xdr:col>6</xdr:col>
      <xdr:colOff>59926</xdr:colOff>
      <xdr:row>25</xdr:row>
      <xdr:rowOff>63825</xdr:rowOff>
    </xdr:from>
    <xdr:to>
      <xdr:col>7</xdr:col>
      <xdr:colOff>128293</xdr:colOff>
      <xdr:row>27</xdr:row>
      <xdr:rowOff>10350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E5D39A3-4675-421C-9418-5D3B57F11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03796" y="7774934"/>
          <a:ext cx="772389" cy="832645"/>
        </a:xfrm>
        <a:prstGeom prst="rect">
          <a:avLst/>
        </a:prstGeom>
      </xdr:spPr>
    </xdr:pic>
    <xdr:clientData/>
  </xdr:twoCellAnchor>
  <xdr:twoCellAnchor editAs="oneCell">
    <xdr:from>
      <xdr:col>6</xdr:col>
      <xdr:colOff>63395</xdr:colOff>
      <xdr:row>30</xdr:row>
      <xdr:rowOff>81644</xdr:rowOff>
    </xdr:from>
    <xdr:to>
      <xdr:col>7</xdr:col>
      <xdr:colOff>136071</xdr:colOff>
      <xdr:row>33</xdr:row>
      <xdr:rowOff>147442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6D091CE-84A5-400A-A0F7-83E6538F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90074" y="8259537"/>
          <a:ext cx="780248" cy="950262"/>
        </a:xfrm>
        <a:prstGeom prst="rect">
          <a:avLst/>
        </a:prstGeom>
      </xdr:spPr>
    </xdr:pic>
    <xdr:clientData/>
  </xdr:twoCellAnchor>
  <xdr:twoCellAnchor editAs="oneCell">
    <xdr:from>
      <xdr:col>6</xdr:col>
      <xdr:colOff>58350</xdr:colOff>
      <xdr:row>36</xdr:row>
      <xdr:rowOff>100280</xdr:rowOff>
    </xdr:from>
    <xdr:to>
      <xdr:col>7</xdr:col>
      <xdr:colOff>231320</xdr:colOff>
      <xdr:row>40</xdr:row>
      <xdr:rowOff>71038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A122AFB-5ECA-4371-8246-7CCE8296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5029" y="9693316"/>
          <a:ext cx="880542" cy="868830"/>
        </a:xfrm>
        <a:prstGeom prst="rect">
          <a:avLst/>
        </a:prstGeom>
      </xdr:spPr>
    </xdr:pic>
    <xdr:clientData/>
  </xdr:twoCellAnchor>
  <xdr:twoCellAnchor editAs="oneCell">
    <xdr:from>
      <xdr:col>6</xdr:col>
      <xdr:colOff>42943</xdr:colOff>
      <xdr:row>42</xdr:row>
      <xdr:rowOff>217714</xdr:rowOff>
    </xdr:from>
    <xdr:to>
      <xdr:col>7</xdr:col>
      <xdr:colOff>354831</xdr:colOff>
      <xdr:row>46</xdr:row>
      <xdr:rowOff>36443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B02E3C5-9192-4FDE-AE7E-09E40DD6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9622" y="11021785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11</xdr:col>
      <xdr:colOff>147312</xdr:colOff>
      <xdr:row>42</xdr:row>
      <xdr:rowOff>258535</xdr:rowOff>
    </xdr:from>
    <xdr:to>
      <xdr:col>14</xdr:col>
      <xdr:colOff>217715</xdr:colOff>
      <xdr:row>46</xdr:row>
      <xdr:rowOff>142840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39DA952-8B3B-4535-95CB-CA49A009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5741" y="11062606"/>
          <a:ext cx="1240618" cy="93205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23</xdr:row>
      <xdr:rowOff>149678</xdr:rowOff>
    </xdr:from>
    <xdr:to>
      <xdr:col>5</xdr:col>
      <xdr:colOff>38100</xdr:colOff>
      <xdr:row>46</xdr:row>
      <xdr:rowOff>242206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231206B-12F9-43B2-AE62-4B9426FB1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0</xdr:row>
      <xdr:rowOff>157161</xdr:rowOff>
    </xdr:from>
    <xdr:to>
      <xdr:col>15</xdr:col>
      <xdr:colOff>476249</xdr:colOff>
      <xdr:row>22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FEBE4-97CF-4C91-8135-5CF1484A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9</xdr:col>
      <xdr:colOff>352425</xdr:colOff>
      <xdr:row>29</xdr:row>
      <xdr:rowOff>152400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6F9721C-0AFE-485C-941C-083E5EE22103}"/>
            </a:ext>
          </a:extLst>
        </xdr:cNvPr>
        <xdr:cNvSpPr/>
      </xdr:nvSpPr>
      <xdr:spPr>
        <a:xfrm>
          <a:off x="1113472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85725</xdr:colOff>
      <xdr:row>25</xdr:row>
      <xdr:rowOff>19050</xdr:rowOff>
    </xdr:from>
    <xdr:to>
      <xdr:col>15</xdr:col>
      <xdr:colOff>409575</xdr:colOff>
      <xdr:row>29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88C6617-3CA0-41D6-83E9-2C8D8BAEAB3D}"/>
            </a:ext>
          </a:extLst>
        </xdr:cNvPr>
        <xdr:cNvSpPr/>
      </xdr:nvSpPr>
      <xdr:spPr>
        <a:xfrm>
          <a:off x="1576387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457200</xdr:colOff>
      <xdr:row>25</xdr:row>
      <xdr:rowOff>19050</xdr:rowOff>
    </xdr:from>
    <xdr:to>
      <xdr:col>14</xdr:col>
      <xdr:colOff>19050</xdr:colOff>
      <xdr:row>29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5DE157E-92B7-45FA-B1E6-E43EEA74BF0B}"/>
            </a:ext>
          </a:extLst>
        </xdr:cNvPr>
        <xdr:cNvSpPr/>
      </xdr:nvSpPr>
      <xdr:spPr>
        <a:xfrm>
          <a:off x="14611350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66675</xdr:colOff>
      <xdr:row>25</xdr:row>
      <xdr:rowOff>19050</xdr:rowOff>
    </xdr:from>
    <xdr:to>
      <xdr:col>12</xdr:col>
      <xdr:colOff>390525</xdr:colOff>
      <xdr:row>29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745AB06-2228-48F4-85CC-8157CEACE498}"/>
            </a:ext>
          </a:extLst>
        </xdr:cNvPr>
        <xdr:cNvSpPr/>
      </xdr:nvSpPr>
      <xdr:spPr>
        <a:xfrm>
          <a:off x="1345882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428625</xdr:colOff>
      <xdr:row>25</xdr:row>
      <xdr:rowOff>19050</xdr:rowOff>
    </xdr:from>
    <xdr:to>
      <xdr:col>10</xdr:col>
      <xdr:colOff>752475</xdr:colOff>
      <xdr:row>29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1BA4027-9376-4515-AAE9-5159BA69C71C}"/>
            </a:ext>
          </a:extLst>
        </xdr:cNvPr>
        <xdr:cNvSpPr/>
      </xdr:nvSpPr>
      <xdr:spPr>
        <a:xfrm>
          <a:off x="1229677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30</xdr:row>
      <xdr:rowOff>47625</xdr:rowOff>
    </xdr:from>
    <xdr:to>
      <xdr:col>9</xdr:col>
      <xdr:colOff>371475</xdr:colOff>
      <xdr:row>34</xdr:row>
      <xdr:rowOff>180975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702B556-E9CA-4E44-83A3-F6BCCD71673E}"/>
            </a:ext>
          </a:extLst>
        </xdr:cNvPr>
        <xdr:cNvSpPr/>
      </xdr:nvSpPr>
      <xdr:spPr>
        <a:xfrm>
          <a:off x="11153775" y="576262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30</xdr:row>
      <xdr:rowOff>47625</xdr:rowOff>
    </xdr:from>
    <xdr:to>
      <xdr:col>15</xdr:col>
      <xdr:colOff>428625</xdr:colOff>
      <xdr:row>34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5133DC1-EEB0-4F0B-A47C-EA74B4B48D58}"/>
            </a:ext>
          </a:extLst>
        </xdr:cNvPr>
        <xdr:cNvSpPr/>
      </xdr:nvSpPr>
      <xdr:spPr>
        <a:xfrm>
          <a:off x="15782925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30</xdr:row>
      <xdr:rowOff>47625</xdr:rowOff>
    </xdr:from>
    <xdr:to>
      <xdr:col>14</xdr:col>
      <xdr:colOff>38100</xdr:colOff>
      <xdr:row>34</xdr:row>
      <xdr:rowOff>180975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5E98052-D3C6-46BA-AF1E-624754A63133}"/>
            </a:ext>
          </a:extLst>
        </xdr:cNvPr>
        <xdr:cNvSpPr/>
      </xdr:nvSpPr>
      <xdr:spPr>
        <a:xfrm>
          <a:off x="14630400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30</xdr:row>
      <xdr:rowOff>47625</xdr:rowOff>
    </xdr:from>
    <xdr:to>
      <xdr:col>12</xdr:col>
      <xdr:colOff>409575</xdr:colOff>
      <xdr:row>34</xdr:row>
      <xdr:rowOff>180975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D13550B-F7AD-42DD-AFA8-A4313AA7750E}"/>
            </a:ext>
          </a:extLst>
        </xdr:cNvPr>
        <xdr:cNvSpPr/>
      </xdr:nvSpPr>
      <xdr:spPr>
        <a:xfrm>
          <a:off x="1347787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30</xdr:row>
      <xdr:rowOff>47625</xdr:rowOff>
    </xdr:from>
    <xdr:to>
      <xdr:col>11</xdr:col>
      <xdr:colOff>9525</xdr:colOff>
      <xdr:row>34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46717E2-C714-40F8-9D9A-C74308C36C50}"/>
            </a:ext>
          </a:extLst>
        </xdr:cNvPr>
        <xdr:cNvSpPr/>
      </xdr:nvSpPr>
      <xdr:spPr>
        <a:xfrm>
          <a:off x="1231582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57150</xdr:colOff>
      <xdr:row>35</xdr:row>
      <xdr:rowOff>66675</xdr:rowOff>
    </xdr:from>
    <xdr:to>
      <xdr:col>9</xdr:col>
      <xdr:colOff>381000</xdr:colOff>
      <xdr:row>40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CBD14C1-4353-4DCE-BC38-75E3F87180C9}"/>
            </a:ext>
          </a:extLst>
        </xdr:cNvPr>
        <xdr:cNvSpPr/>
      </xdr:nvSpPr>
      <xdr:spPr>
        <a:xfrm>
          <a:off x="11163300" y="6734175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114300</xdr:colOff>
      <xdr:row>35</xdr:row>
      <xdr:rowOff>66675</xdr:rowOff>
    </xdr:from>
    <xdr:to>
      <xdr:col>15</xdr:col>
      <xdr:colOff>438150</xdr:colOff>
      <xdr:row>40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4B2107A-8AD2-41B5-8FED-F29FA4B070FE}"/>
            </a:ext>
          </a:extLst>
        </xdr:cNvPr>
        <xdr:cNvSpPr/>
      </xdr:nvSpPr>
      <xdr:spPr>
        <a:xfrm>
          <a:off x="15792450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485775</xdr:colOff>
      <xdr:row>35</xdr:row>
      <xdr:rowOff>66675</xdr:rowOff>
    </xdr:from>
    <xdr:to>
      <xdr:col>14</xdr:col>
      <xdr:colOff>47625</xdr:colOff>
      <xdr:row>40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153BCEE-3F75-44EE-B90F-68240903C9CE}"/>
            </a:ext>
          </a:extLst>
        </xdr:cNvPr>
        <xdr:cNvSpPr/>
      </xdr:nvSpPr>
      <xdr:spPr>
        <a:xfrm>
          <a:off x="14639925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95250</xdr:colOff>
      <xdr:row>35</xdr:row>
      <xdr:rowOff>66675</xdr:rowOff>
    </xdr:from>
    <xdr:to>
      <xdr:col>12</xdr:col>
      <xdr:colOff>419100</xdr:colOff>
      <xdr:row>40</xdr:row>
      <xdr:rowOff>9525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415B48F-5F3E-4C4C-BA95-F014EF185969}"/>
            </a:ext>
          </a:extLst>
        </xdr:cNvPr>
        <xdr:cNvSpPr/>
      </xdr:nvSpPr>
      <xdr:spPr>
        <a:xfrm>
          <a:off x="13487400" y="673417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457200</xdr:colOff>
      <xdr:row>35</xdr:row>
      <xdr:rowOff>66675</xdr:rowOff>
    </xdr:from>
    <xdr:to>
      <xdr:col>11</xdr:col>
      <xdr:colOff>19050</xdr:colOff>
      <xdr:row>40</xdr:row>
      <xdr:rowOff>9525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49C856A-0CEE-4366-A439-538335CB8F7C}"/>
            </a:ext>
          </a:extLst>
        </xdr:cNvPr>
        <xdr:cNvSpPr/>
      </xdr:nvSpPr>
      <xdr:spPr>
        <a:xfrm>
          <a:off x="12325350" y="673417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40</xdr:row>
      <xdr:rowOff>76200</xdr:rowOff>
    </xdr:from>
    <xdr:to>
      <xdr:col>9</xdr:col>
      <xdr:colOff>371475</xdr:colOff>
      <xdr:row>45</xdr:row>
      <xdr:rowOff>19050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0F6CE07-C2C5-42AF-9AD1-E58DD63FEE14}"/>
            </a:ext>
          </a:extLst>
        </xdr:cNvPr>
        <xdr:cNvSpPr/>
      </xdr:nvSpPr>
      <xdr:spPr>
        <a:xfrm>
          <a:off x="1115377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40</xdr:row>
      <xdr:rowOff>76200</xdr:rowOff>
    </xdr:from>
    <xdr:to>
      <xdr:col>15</xdr:col>
      <xdr:colOff>428625</xdr:colOff>
      <xdr:row>45</xdr:row>
      <xdr:rowOff>19050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CE7472A-B473-460C-BA54-3734D1B695B3}"/>
            </a:ext>
          </a:extLst>
        </xdr:cNvPr>
        <xdr:cNvSpPr/>
      </xdr:nvSpPr>
      <xdr:spPr>
        <a:xfrm>
          <a:off x="15782925" y="769620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40</xdr:row>
      <xdr:rowOff>76200</xdr:rowOff>
    </xdr:from>
    <xdr:to>
      <xdr:col>14</xdr:col>
      <xdr:colOff>38100</xdr:colOff>
      <xdr:row>45</xdr:row>
      <xdr:rowOff>19050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0BDC5AE-9233-4912-8456-596CED24C42E}"/>
            </a:ext>
          </a:extLst>
        </xdr:cNvPr>
        <xdr:cNvSpPr/>
      </xdr:nvSpPr>
      <xdr:spPr>
        <a:xfrm>
          <a:off x="14630400" y="76962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40</xdr:row>
      <xdr:rowOff>76200</xdr:rowOff>
    </xdr:from>
    <xdr:to>
      <xdr:col>12</xdr:col>
      <xdr:colOff>409575</xdr:colOff>
      <xdr:row>45</xdr:row>
      <xdr:rowOff>19050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982F325-ED85-4E95-94DA-E9335BED9EFF}"/>
            </a:ext>
          </a:extLst>
        </xdr:cNvPr>
        <xdr:cNvSpPr/>
      </xdr:nvSpPr>
      <xdr:spPr>
        <a:xfrm>
          <a:off x="13477875" y="76962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40</xdr:row>
      <xdr:rowOff>76200</xdr:rowOff>
    </xdr:from>
    <xdr:to>
      <xdr:col>11</xdr:col>
      <xdr:colOff>9525</xdr:colOff>
      <xdr:row>45</xdr:row>
      <xdr:rowOff>19050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F800606-FEB1-4C8D-8BEF-CE5B06DA241D}"/>
            </a:ext>
          </a:extLst>
        </xdr:cNvPr>
        <xdr:cNvSpPr/>
      </xdr:nvSpPr>
      <xdr:spPr>
        <a:xfrm>
          <a:off x="1231582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45</xdr:row>
      <xdr:rowOff>76200</xdr:rowOff>
    </xdr:from>
    <xdr:to>
      <xdr:col>9</xdr:col>
      <xdr:colOff>371475</xdr:colOff>
      <xdr:row>50</xdr:row>
      <xdr:rowOff>19050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7D0C9F43-BAAE-41AE-A452-F9FEBF810482}"/>
            </a:ext>
          </a:extLst>
        </xdr:cNvPr>
        <xdr:cNvSpPr/>
      </xdr:nvSpPr>
      <xdr:spPr>
        <a:xfrm>
          <a:off x="1115377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45</xdr:row>
      <xdr:rowOff>76200</xdr:rowOff>
    </xdr:from>
    <xdr:to>
      <xdr:col>15</xdr:col>
      <xdr:colOff>428625</xdr:colOff>
      <xdr:row>50</xdr:row>
      <xdr:rowOff>19050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7330DC1B-16D6-4EFF-8EF0-82581967D48D}"/>
            </a:ext>
          </a:extLst>
        </xdr:cNvPr>
        <xdr:cNvSpPr/>
      </xdr:nvSpPr>
      <xdr:spPr>
        <a:xfrm>
          <a:off x="15782925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45</xdr:row>
      <xdr:rowOff>76200</xdr:rowOff>
    </xdr:from>
    <xdr:to>
      <xdr:col>14</xdr:col>
      <xdr:colOff>38100</xdr:colOff>
      <xdr:row>50</xdr:row>
      <xdr:rowOff>19050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ED4A3860-9C6D-4681-B0EF-EB7122FA9F70}"/>
            </a:ext>
          </a:extLst>
        </xdr:cNvPr>
        <xdr:cNvSpPr/>
      </xdr:nvSpPr>
      <xdr:spPr>
        <a:xfrm>
          <a:off x="14630400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45</xdr:row>
      <xdr:rowOff>76200</xdr:rowOff>
    </xdr:from>
    <xdr:to>
      <xdr:col>12</xdr:col>
      <xdr:colOff>409575</xdr:colOff>
      <xdr:row>50</xdr:row>
      <xdr:rowOff>19050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D5B3147-0970-4E4F-A515-EF4E3C7991E5}"/>
            </a:ext>
          </a:extLst>
        </xdr:cNvPr>
        <xdr:cNvSpPr/>
      </xdr:nvSpPr>
      <xdr:spPr>
        <a:xfrm>
          <a:off x="13477875" y="86487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45</xdr:row>
      <xdr:rowOff>76200</xdr:rowOff>
    </xdr:from>
    <xdr:to>
      <xdr:col>11</xdr:col>
      <xdr:colOff>9525</xdr:colOff>
      <xdr:row>50</xdr:row>
      <xdr:rowOff>19050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3314471-AA11-4E66-B42C-1D042222A329}"/>
            </a:ext>
          </a:extLst>
        </xdr:cNvPr>
        <xdr:cNvSpPr/>
      </xdr:nvSpPr>
      <xdr:spPr>
        <a:xfrm>
          <a:off x="1231582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313265</xdr:colOff>
      <xdr:row>23</xdr:row>
      <xdr:rowOff>35980</xdr:rowOff>
    </xdr:from>
    <xdr:to>
      <xdr:col>16</xdr:col>
      <xdr:colOff>318557</xdr:colOff>
      <xdr:row>52</xdr:row>
      <xdr:rowOff>121707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D8F6977-8B74-46B9-A8E5-C1748A61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504823</xdr:colOff>
      <xdr:row>51</xdr:row>
      <xdr:rowOff>161924</xdr:rowOff>
    </xdr:from>
    <xdr:ext cx="6181614" cy="1718734"/>
    <xdr:pic>
      <xdr:nvPicPr>
        <xdr:cNvPr id="29" name="Imagen 28">
          <a:extLst>
            <a:ext uri="{FF2B5EF4-FFF2-40B4-BE49-F238E27FC236}">
              <a16:creationId xmlns:a16="http://schemas.microsoft.com/office/drawing/2014/main" id="{52A1F368-F784-45BD-A2C1-A492C5193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623" r="22288"/>
        <a:stretch/>
      </xdr:blipFill>
      <xdr:spPr>
        <a:xfrm rot="5400000">
          <a:off x="13080413" y="7645984"/>
          <a:ext cx="1718734" cy="6181614"/>
        </a:xfrm>
        <a:prstGeom prst="rect">
          <a:avLst/>
        </a:prstGeom>
      </xdr:spPr>
    </xdr:pic>
    <xdr:clientData/>
  </xdr:oneCellAnchor>
  <xdr:oneCellAnchor>
    <xdr:from>
      <xdr:col>9</xdr:col>
      <xdr:colOff>314876</xdr:colOff>
      <xdr:row>56</xdr:row>
      <xdr:rowOff>74082</xdr:rowOff>
    </xdr:from>
    <xdr:ext cx="3972479" cy="1005419"/>
    <xdr:pic>
      <xdr:nvPicPr>
        <xdr:cNvPr id="30" name="Imagen 29">
          <a:extLst>
            <a:ext uri="{FF2B5EF4-FFF2-40B4-BE49-F238E27FC236}">
              <a16:creationId xmlns:a16="http://schemas.microsoft.com/office/drawing/2014/main" id="{F869D31B-9936-447C-8BCF-D857C662C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917" r="31733"/>
        <a:stretch/>
      </xdr:blipFill>
      <xdr:spPr>
        <a:xfrm rot="5400000">
          <a:off x="13666556" y="9258552"/>
          <a:ext cx="1005419" cy="397247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204108</xdr:colOff>
      <xdr:row>3</xdr:row>
      <xdr:rowOff>2</xdr:rowOff>
    </xdr:from>
    <xdr:to>
      <xdr:col>7</xdr:col>
      <xdr:colOff>2598966</xdr:colOff>
      <xdr:row>8</xdr:row>
      <xdr:rowOff>381000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516FE-AA36-4440-B24E-4518F0C69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136070</xdr:colOff>
      <xdr:row>22</xdr:row>
      <xdr:rowOff>173692</xdr:rowOff>
    </xdr:from>
    <xdr:to>
      <xdr:col>3</xdr:col>
      <xdr:colOff>1251857</xdr:colOff>
      <xdr:row>28</xdr:row>
      <xdr:rowOff>462644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13406-E709-4EAF-AB5C-1E777FD2A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375397</xdr:colOff>
      <xdr:row>5</xdr:row>
      <xdr:rowOff>70036</xdr:rowOff>
    </xdr:from>
    <xdr:to>
      <xdr:col>0</xdr:col>
      <xdr:colOff>1362007</xdr:colOff>
      <xdr:row>6</xdr:row>
      <xdr:rowOff>470646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62C6FB-8111-4E96-BD1A-7FCEEBF5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397" y="1392330"/>
          <a:ext cx="986610" cy="1061757"/>
        </a:xfrm>
        <a:prstGeom prst="rect">
          <a:avLst/>
        </a:prstGeom>
      </xdr:spPr>
    </xdr:pic>
    <xdr:clientData/>
  </xdr:twoCellAnchor>
  <xdr:twoCellAnchor editAs="oneCell">
    <xdr:from>
      <xdr:col>3</xdr:col>
      <xdr:colOff>295250</xdr:colOff>
      <xdr:row>5</xdr:row>
      <xdr:rowOff>82824</xdr:rowOff>
    </xdr:from>
    <xdr:to>
      <xdr:col>3</xdr:col>
      <xdr:colOff>1299884</xdr:colOff>
      <xdr:row>6</xdr:row>
      <xdr:rowOff>418707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726CE4-5B42-47C0-A4AA-0B994669D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3132" y="1405118"/>
          <a:ext cx="1004634" cy="997030"/>
        </a:xfrm>
        <a:prstGeom prst="rect">
          <a:avLst/>
        </a:prstGeom>
      </xdr:spPr>
    </xdr:pic>
    <xdr:clientData/>
  </xdr:twoCellAnchor>
  <xdr:twoCellAnchor editAs="oneCell">
    <xdr:from>
      <xdr:col>6</xdr:col>
      <xdr:colOff>99331</xdr:colOff>
      <xdr:row>5</xdr:row>
      <xdr:rowOff>74839</xdr:rowOff>
    </xdr:from>
    <xdr:to>
      <xdr:col>7</xdr:col>
      <xdr:colOff>30058</xdr:colOff>
      <xdr:row>6</xdr:row>
      <xdr:rowOff>371959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3154C1D-2EB4-4C03-BA54-90A364D8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7031" y="1398814"/>
          <a:ext cx="959427" cy="95434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5</xdr:row>
      <xdr:rowOff>81643</xdr:rowOff>
    </xdr:from>
    <xdr:to>
      <xdr:col>9</xdr:col>
      <xdr:colOff>1209960</xdr:colOff>
      <xdr:row>6</xdr:row>
      <xdr:rowOff>294980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C5AC9C6-788E-4F13-9882-A6C51627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5643" y="1183822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108857</xdr:colOff>
      <xdr:row>5</xdr:row>
      <xdr:rowOff>54429</xdr:rowOff>
    </xdr:from>
    <xdr:to>
      <xdr:col>13</xdr:col>
      <xdr:colOff>41086</xdr:colOff>
      <xdr:row>6</xdr:row>
      <xdr:rowOff>333342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80969BE-15CE-4CD4-8084-D941760F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00071" y="1156608"/>
          <a:ext cx="1240618" cy="932055"/>
        </a:xfrm>
        <a:prstGeom prst="rect">
          <a:avLst/>
        </a:prstGeom>
      </xdr:spPr>
    </xdr:pic>
    <xdr:clientData/>
  </xdr:twoCellAnchor>
  <xdr:twoCellAnchor>
    <xdr:from>
      <xdr:col>5</xdr:col>
      <xdr:colOff>752101</xdr:colOff>
      <xdr:row>7</xdr:row>
      <xdr:rowOff>267225</xdr:rowOff>
    </xdr:from>
    <xdr:to>
      <xdr:col>13</xdr:col>
      <xdr:colOff>1327684</xdr:colOff>
      <xdr:row>15</xdr:row>
      <xdr:rowOff>1283291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7936B31-25FA-1FAE-3F05-45B9E8B14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231322</xdr:colOff>
      <xdr:row>25</xdr:row>
      <xdr:rowOff>125186</xdr:rowOff>
    </xdr:from>
    <xdr:to>
      <xdr:col>6</xdr:col>
      <xdr:colOff>27214</xdr:colOff>
      <xdr:row>36</xdr:row>
      <xdr:rowOff>231321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5950EC3-1590-32C4-829D-B644D554D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89646</xdr:colOff>
      <xdr:row>15</xdr:row>
      <xdr:rowOff>179295</xdr:rowOff>
    </xdr:from>
    <xdr:to>
      <xdr:col>5</xdr:col>
      <xdr:colOff>168088</xdr:colOff>
      <xdr:row>21</xdr:row>
      <xdr:rowOff>280148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4FBD140-EB46-B47C-FF82-ACD6C164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141687</xdr:colOff>
      <xdr:row>5</xdr:row>
      <xdr:rowOff>71438</xdr:rowOff>
    </xdr:from>
    <xdr:to>
      <xdr:col>3</xdr:col>
      <xdr:colOff>330010</xdr:colOff>
      <xdr:row>8</xdr:row>
      <xdr:rowOff>84379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BA83A9-84D2-4912-982F-A144EB227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671" y="898922"/>
          <a:ext cx="503840" cy="506015"/>
        </a:xfrm>
        <a:prstGeom prst="rect">
          <a:avLst/>
        </a:prstGeom>
      </xdr:spPr>
    </xdr:pic>
    <xdr:clientData/>
  </xdr:twoCellAnchor>
  <xdr:twoCellAnchor editAs="oneCell">
    <xdr:from>
      <xdr:col>13</xdr:col>
      <xdr:colOff>81883</xdr:colOff>
      <xdr:row>5</xdr:row>
      <xdr:rowOff>47719</xdr:rowOff>
    </xdr:from>
    <xdr:to>
      <xdr:col>16</xdr:col>
      <xdr:colOff>39303</xdr:colOff>
      <xdr:row>8</xdr:row>
      <xdr:rowOff>137974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C8FB2F-DB61-4F03-A0AE-EFD1BFA6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1624" y="967374"/>
          <a:ext cx="515742" cy="576359"/>
        </a:xfrm>
        <a:prstGeom prst="rect">
          <a:avLst/>
        </a:prstGeom>
      </xdr:spPr>
    </xdr:pic>
    <xdr:clientData/>
  </xdr:twoCellAnchor>
  <xdr:twoCellAnchor editAs="oneCell">
    <xdr:from>
      <xdr:col>8</xdr:col>
      <xdr:colOff>77237</xdr:colOff>
      <xdr:row>5</xdr:row>
      <xdr:rowOff>49211</xdr:rowOff>
    </xdr:from>
    <xdr:to>
      <xdr:col>9</xdr:col>
      <xdr:colOff>86554</xdr:colOff>
      <xdr:row>8</xdr:row>
      <xdr:rowOff>102577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1079B9A-1212-4CF0-8A9B-099BD71D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7602" y="862499"/>
          <a:ext cx="544181" cy="536943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5</xdr:row>
      <xdr:rowOff>19050</xdr:rowOff>
    </xdr:from>
    <xdr:to>
      <xdr:col>21</xdr:col>
      <xdr:colOff>175654</xdr:colOff>
      <xdr:row>8</xdr:row>
      <xdr:rowOff>76200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2034E54-ADE9-498D-8594-CB6D3E85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0775" y="933450"/>
          <a:ext cx="638781" cy="542925"/>
        </a:xfrm>
        <a:prstGeom prst="rect">
          <a:avLst/>
        </a:prstGeom>
      </xdr:spPr>
    </xdr:pic>
    <xdr:clientData/>
  </xdr:twoCellAnchor>
  <xdr:twoCellAnchor editAs="oneCell">
    <xdr:from>
      <xdr:col>27</xdr:col>
      <xdr:colOff>34926</xdr:colOff>
      <xdr:row>5</xdr:row>
      <xdr:rowOff>39342</xdr:rowOff>
    </xdr:from>
    <xdr:to>
      <xdr:col>28</xdr:col>
      <xdr:colOff>244580</xdr:colOff>
      <xdr:row>8</xdr:row>
      <xdr:rowOff>83061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024FAB9-2ADB-4645-BE74-FF255EDD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3187" y="950429"/>
          <a:ext cx="628098" cy="532393"/>
        </a:xfrm>
        <a:prstGeom prst="rect">
          <a:avLst/>
        </a:prstGeom>
      </xdr:spPr>
    </xdr:pic>
    <xdr:clientData/>
  </xdr:twoCellAnchor>
  <xdr:twoCellAnchor>
    <xdr:from>
      <xdr:col>1</xdr:col>
      <xdr:colOff>123264</xdr:colOff>
      <xdr:row>18</xdr:row>
      <xdr:rowOff>84364</xdr:rowOff>
    </xdr:from>
    <xdr:to>
      <xdr:col>13</xdr:col>
      <xdr:colOff>67235</xdr:colOff>
      <xdr:row>30</xdr:row>
      <xdr:rowOff>190499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E6F2CA8-A324-8097-E1CE-921E7CE19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85725</xdr:colOff>
      <xdr:row>35</xdr:row>
      <xdr:rowOff>152399</xdr:rowOff>
    </xdr:from>
    <xdr:to>
      <xdr:col>13</xdr:col>
      <xdr:colOff>123825</xdr:colOff>
      <xdr:row>48</xdr:row>
      <xdr:rowOff>95249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ACCBFA9-53E3-650B-AD7C-E799128DC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138112</xdr:colOff>
      <xdr:row>18</xdr:row>
      <xdr:rowOff>71437</xdr:rowOff>
    </xdr:from>
    <xdr:to>
      <xdr:col>13</xdr:col>
      <xdr:colOff>57150</xdr:colOff>
      <xdr:row>29</xdr:row>
      <xdr:rowOff>323850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7FCE1D3-F86F-C3AF-9606-666B7C6EA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EEA-66AE-44DA-95D8-327185FBB35D}">
  <dimension ref="A1:X41"/>
  <sheetViews>
    <sheetView topLeftCell="A11" zoomScaleNormal="100" workbookViewId="0">
      <selection activeCell="G11" sqref="G11:H11"/>
    </sheetView>
  </sheetViews>
  <sheetFormatPr baseColWidth="10" defaultRowHeight="15"/>
  <cols>
    <col min="1" max="1" width="6.140625" customWidth="1"/>
    <col min="6" max="6" width="84.5703125" customWidth="1"/>
    <col min="7" max="7" width="11.42578125" customWidth="1"/>
    <col min="9" max="9" width="13.7109375" customWidth="1"/>
    <col min="10" max="10" width="8.5703125" customWidth="1"/>
  </cols>
  <sheetData>
    <row r="1" spans="1:24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 spans="1:24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</row>
    <row r="3" spans="1:24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</row>
    <row r="4" spans="1:2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</row>
    <row r="5" spans="1:24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</row>
    <row r="6" spans="1:24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</row>
    <row r="7" spans="1:24">
      <c r="A7" s="85"/>
      <c r="B7" s="82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</row>
    <row r="8" spans="1:24">
      <c r="A8" s="85"/>
      <c r="B8" s="82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3"/>
      <c r="Q8" s="85"/>
      <c r="R8" s="85"/>
      <c r="S8" s="85"/>
      <c r="T8" s="85"/>
      <c r="U8" s="85"/>
      <c r="V8" s="85"/>
      <c r="W8" s="85"/>
      <c r="X8" s="85"/>
    </row>
    <row r="9" spans="1:24">
      <c r="A9" s="85"/>
      <c r="B9" s="82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  <c r="Q9" s="85"/>
      <c r="R9" s="85"/>
      <c r="S9" s="85"/>
      <c r="T9" s="85"/>
      <c r="U9" s="85"/>
      <c r="V9" s="85"/>
      <c r="W9" s="85"/>
      <c r="X9" s="85"/>
    </row>
    <row r="10" spans="1:24">
      <c r="A10" s="85"/>
      <c r="B10" s="82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  <c r="Q10" s="85"/>
      <c r="R10" s="85"/>
      <c r="S10" s="85"/>
      <c r="T10" s="85"/>
      <c r="U10" s="85"/>
      <c r="V10" s="85"/>
      <c r="W10" s="85"/>
      <c r="X10" s="85"/>
    </row>
    <row r="11" spans="1:24" ht="39.75" customHeight="1">
      <c r="A11" s="85"/>
      <c r="B11" s="82"/>
      <c r="C11" s="221"/>
      <c r="D11" s="221"/>
      <c r="E11" s="226"/>
      <c r="F11" s="227" t="s">
        <v>170</v>
      </c>
      <c r="G11" s="609">
        <v>2025</v>
      </c>
      <c r="H11" s="609"/>
      <c r="I11" s="85"/>
      <c r="J11" s="85"/>
      <c r="K11" s="85"/>
      <c r="L11" s="85"/>
      <c r="M11" s="85"/>
      <c r="N11" s="85"/>
      <c r="O11" s="85"/>
      <c r="P11" s="83"/>
      <c r="Q11" s="85"/>
      <c r="R11" s="85"/>
      <c r="S11" s="85"/>
      <c r="T11" s="85"/>
      <c r="U11" s="85"/>
      <c r="V11" s="85"/>
      <c r="W11" s="85"/>
      <c r="X11" s="85"/>
    </row>
    <row r="12" spans="1:24" ht="26.25" customHeight="1">
      <c r="A12" s="85"/>
      <c r="B12" s="82"/>
      <c r="C12" s="85"/>
      <c r="D12" s="85"/>
      <c r="E12" s="228"/>
      <c r="F12" s="610" t="s">
        <v>213</v>
      </c>
      <c r="G12" s="611"/>
      <c r="H12" s="85"/>
      <c r="I12" s="85"/>
      <c r="J12" s="85"/>
      <c r="K12" s="85"/>
      <c r="L12" s="85"/>
      <c r="M12" s="85"/>
      <c r="N12" s="85"/>
      <c r="O12" s="85"/>
      <c r="P12" s="83"/>
      <c r="Q12" s="85"/>
      <c r="R12" s="85"/>
      <c r="S12" s="85"/>
      <c r="T12" s="85"/>
      <c r="U12" s="85"/>
      <c r="V12" s="85"/>
      <c r="W12" s="85"/>
      <c r="X12" s="85"/>
    </row>
    <row r="13" spans="1:24" ht="53.25" customHeight="1">
      <c r="A13" s="85"/>
      <c r="B13" s="82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  <c r="Q13" s="85"/>
      <c r="R13" s="85"/>
      <c r="S13" s="85"/>
      <c r="T13" s="85"/>
      <c r="U13" s="85"/>
      <c r="V13" s="85"/>
      <c r="W13" s="85"/>
      <c r="X13" s="85"/>
    </row>
    <row r="14" spans="1:24">
      <c r="A14" s="85"/>
      <c r="B14" s="82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  <c r="Q14" s="85"/>
      <c r="R14" s="85"/>
      <c r="S14" s="85"/>
      <c r="T14" s="85"/>
      <c r="U14" s="85"/>
      <c r="V14" s="85"/>
      <c r="W14" s="85"/>
      <c r="X14" s="85"/>
    </row>
    <row r="15" spans="1:24" ht="18.75">
      <c r="A15" s="85"/>
      <c r="B15" s="82"/>
      <c r="C15" s="85"/>
      <c r="D15" s="85"/>
      <c r="E15" s="225"/>
      <c r="F15" s="607" t="s">
        <v>171</v>
      </c>
      <c r="G15" s="607"/>
      <c r="H15" s="85"/>
      <c r="I15" s="85"/>
      <c r="J15" s="85"/>
      <c r="K15" s="85"/>
      <c r="L15" s="85"/>
      <c r="M15" s="85"/>
      <c r="N15" s="85"/>
      <c r="O15" s="85"/>
      <c r="P15" s="83"/>
      <c r="Q15" s="85"/>
      <c r="R15" s="85"/>
      <c r="S15" s="85"/>
      <c r="T15" s="85"/>
      <c r="U15" s="85"/>
      <c r="V15" s="85"/>
      <c r="W15" s="85"/>
      <c r="X15" s="85"/>
    </row>
    <row r="16" spans="1:24" ht="18.75">
      <c r="A16" s="85"/>
      <c r="B16" s="82"/>
      <c r="C16" s="85"/>
      <c r="D16" s="85"/>
      <c r="E16" s="225"/>
      <c r="F16" s="607" t="s">
        <v>172</v>
      </c>
      <c r="G16" s="607"/>
      <c r="H16" s="85"/>
      <c r="I16" s="85"/>
      <c r="J16" s="85"/>
      <c r="K16" s="85"/>
      <c r="L16" s="85"/>
      <c r="M16" s="85"/>
      <c r="N16" s="85"/>
      <c r="O16" s="85"/>
      <c r="P16" s="83"/>
      <c r="Q16" s="85"/>
      <c r="R16" s="85"/>
      <c r="S16" s="85"/>
      <c r="T16" s="85"/>
      <c r="U16" s="85"/>
      <c r="V16" s="85"/>
      <c r="W16" s="85"/>
      <c r="X16" s="85"/>
    </row>
    <row r="17" spans="1:24" ht="21" customHeight="1">
      <c r="A17" s="85"/>
      <c r="B17" s="82"/>
      <c r="C17" s="85"/>
      <c r="D17" s="85"/>
      <c r="E17" s="222"/>
      <c r="F17" s="223"/>
      <c r="G17" s="223"/>
      <c r="H17" s="85"/>
      <c r="I17" s="85"/>
      <c r="J17" s="85"/>
      <c r="K17" s="85"/>
      <c r="L17" s="85"/>
      <c r="M17" s="85"/>
      <c r="N17" s="85"/>
      <c r="O17" s="85"/>
      <c r="P17" s="83"/>
      <c r="Q17" s="85"/>
      <c r="R17" s="85"/>
      <c r="S17" s="85"/>
      <c r="T17" s="85"/>
      <c r="U17" s="85"/>
      <c r="V17" s="85"/>
      <c r="W17" s="85"/>
      <c r="X17" s="85"/>
    </row>
    <row r="18" spans="1:24" ht="18.75">
      <c r="A18" s="85"/>
      <c r="B18" s="82"/>
      <c r="C18" s="85"/>
      <c r="D18" s="85"/>
      <c r="E18" s="224"/>
      <c r="F18" s="608" t="s">
        <v>173</v>
      </c>
      <c r="G18" s="608"/>
      <c r="H18" s="85"/>
      <c r="I18" s="85"/>
      <c r="J18" s="85"/>
      <c r="K18" s="85"/>
      <c r="L18" s="85"/>
      <c r="M18" s="85"/>
      <c r="N18" s="85"/>
      <c r="O18" s="85"/>
      <c r="P18" s="83"/>
      <c r="Q18" s="85"/>
      <c r="R18" s="85"/>
      <c r="S18" s="85"/>
      <c r="T18" s="85"/>
      <c r="U18" s="85"/>
      <c r="V18" s="85"/>
      <c r="W18" s="85"/>
      <c r="X18" s="85"/>
    </row>
    <row r="19" spans="1:24">
      <c r="A19" s="85"/>
      <c r="B19" s="82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3"/>
      <c r="Q19" s="85"/>
      <c r="R19" s="85"/>
      <c r="S19" s="85"/>
      <c r="T19" s="85"/>
      <c r="U19" s="85"/>
      <c r="V19" s="85"/>
      <c r="W19" s="85"/>
      <c r="X19" s="85"/>
    </row>
    <row r="20" spans="1:24">
      <c r="A20" s="85"/>
      <c r="B20" s="82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  <c r="Q20" s="85"/>
      <c r="R20" s="85"/>
      <c r="S20" s="85"/>
      <c r="T20" s="85"/>
      <c r="U20" s="85"/>
      <c r="V20" s="85"/>
      <c r="W20" s="85"/>
      <c r="X20" s="85"/>
    </row>
    <row r="21" spans="1:24">
      <c r="A21" s="85"/>
      <c r="B21" s="82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  <c r="Q21" s="85"/>
      <c r="R21" s="85"/>
      <c r="S21" s="85"/>
      <c r="T21" s="85"/>
      <c r="U21" s="85"/>
      <c r="V21" s="85"/>
      <c r="W21" s="85"/>
      <c r="X21" s="85"/>
    </row>
    <row r="22" spans="1:24">
      <c r="A22" s="85"/>
      <c r="B22" s="82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3"/>
      <c r="Q22" s="85"/>
      <c r="R22" s="85"/>
      <c r="S22" s="85"/>
      <c r="T22" s="85"/>
      <c r="U22" s="85"/>
      <c r="V22" s="85"/>
      <c r="W22" s="85"/>
      <c r="X22" s="85"/>
    </row>
    <row r="23" spans="1:24">
      <c r="A23" s="85"/>
      <c r="B23" s="82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3"/>
      <c r="Q23" s="85"/>
      <c r="R23" s="85"/>
      <c r="S23" s="85"/>
      <c r="T23" s="85"/>
      <c r="U23" s="85"/>
      <c r="V23" s="85"/>
      <c r="W23" s="85"/>
      <c r="X23" s="85"/>
    </row>
    <row r="24" spans="1:24">
      <c r="A24" s="85"/>
      <c r="B24" s="82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  <c r="Q24" s="85"/>
      <c r="R24" s="85"/>
      <c r="S24" s="85"/>
      <c r="T24" s="85"/>
      <c r="U24" s="85"/>
      <c r="V24" s="85"/>
      <c r="W24" s="85"/>
      <c r="X24" s="85"/>
    </row>
    <row r="25" spans="1:24">
      <c r="A25" s="85"/>
      <c r="B25" s="82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3"/>
      <c r="Q25" s="85"/>
      <c r="R25" s="85"/>
      <c r="S25" s="85"/>
      <c r="T25" s="85"/>
      <c r="U25" s="85"/>
      <c r="V25" s="85"/>
      <c r="W25" s="85"/>
      <c r="X25" s="85"/>
    </row>
    <row r="26" spans="1:24">
      <c r="A26" s="85"/>
      <c r="B26" s="82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3"/>
      <c r="Q26" s="85"/>
      <c r="R26" s="85"/>
      <c r="S26" s="85"/>
      <c r="T26" s="85"/>
      <c r="U26" s="85"/>
      <c r="V26" s="85"/>
      <c r="W26" s="85"/>
      <c r="X26" s="85"/>
    </row>
    <row r="27" spans="1:24">
      <c r="A27" s="85"/>
      <c r="B27" s="82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3"/>
      <c r="Q27" s="85"/>
      <c r="R27" s="85"/>
      <c r="S27" s="85"/>
      <c r="T27" s="85"/>
      <c r="U27" s="85"/>
      <c r="V27" s="85"/>
      <c r="W27" s="85"/>
      <c r="X27" s="85"/>
    </row>
    <row r="28" spans="1:24">
      <c r="A28" s="85"/>
      <c r="B28" s="82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3"/>
      <c r="Q28" s="85"/>
      <c r="R28" s="85"/>
      <c r="S28" s="85"/>
      <c r="T28" s="85"/>
      <c r="U28" s="85"/>
      <c r="V28" s="85"/>
      <c r="W28" s="85"/>
      <c r="X28" s="85"/>
    </row>
    <row r="29" spans="1:24">
      <c r="A29" s="85"/>
      <c r="B29" s="82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3"/>
      <c r="Q29" s="85"/>
      <c r="R29" s="85"/>
      <c r="S29" s="85"/>
      <c r="T29" s="85"/>
      <c r="U29" s="85"/>
      <c r="V29" s="85"/>
      <c r="W29" s="85"/>
      <c r="X29" s="85"/>
    </row>
    <row r="30" spans="1:24">
      <c r="A30" s="85"/>
      <c r="B30" s="82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3"/>
      <c r="Q30" s="85"/>
      <c r="R30" s="85"/>
      <c r="S30" s="85"/>
      <c r="T30" s="85"/>
      <c r="U30" s="85"/>
      <c r="V30" s="85"/>
      <c r="W30" s="85"/>
      <c r="X30" s="85"/>
    </row>
    <row r="31" spans="1:24">
      <c r="A31" s="85"/>
      <c r="B31" s="82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3"/>
      <c r="Q31" s="85"/>
      <c r="R31" s="85"/>
      <c r="S31" s="85"/>
      <c r="T31" s="85"/>
      <c r="U31" s="85"/>
      <c r="V31" s="85"/>
      <c r="W31" s="85"/>
      <c r="X31" s="85"/>
    </row>
    <row r="32" spans="1:24">
      <c r="A32" s="85"/>
      <c r="B32" s="82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3"/>
      <c r="Q32" s="85"/>
      <c r="R32" s="85"/>
      <c r="S32" s="85"/>
      <c r="T32" s="85"/>
      <c r="U32" s="85"/>
      <c r="V32" s="85"/>
      <c r="W32" s="85"/>
      <c r="X32" s="85"/>
    </row>
    <row r="33" spans="1:24" ht="23.25" customHeight="1">
      <c r="A33" s="85"/>
      <c r="B33" s="82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3"/>
      <c r="Q33" s="85"/>
      <c r="R33" s="85"/>
      <c r="S33" s="85"/>
      <c r="T33" s="85"/>
      <c r="U33" s="85"/>
      <c r="V33" s="85"/>
      <c r="W33" s="85"/>
      <c r="X33" s="85"/>
    </row>
    <row r="34" spans="1:24">
      <c r="A34" s="85"/>
      <c r="B34" s="82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3"/>
      <c r="Q34" s="85"/>
      <c r="R34" s="85"/>
      <c r="S34" s="85"/>
      <c r="T34" s="85"/>
      <c r="U34" s="85"/>
      <c r="V34" s="85"/>
      <c r="W34" s="85"/>
      <c r="X34" s="85"/>
    </row>
    <row r="35" spans="1:24">
      <c r="A35" s="85"/>
      <c r="B35" s="82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3"/>
      <c r="Q35" s="85"/>
      <c r="R35" s="85"/>
      <c r="S35" s="85"/>
      <c r="T35" s="85"/>
      <c r="U35" s="85"/>
      <c r="V35" s="85"/>
      <c r="W35" s="85"/>
      <c r="X35" s="85"/>
    </row>
    <row r="36" spans="1:24">
      <c r="A36" s="85"/>
      <c r="B36" s="82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3"/>
      <c r="Q36" s="85"/>
      <c r="R36" s="85"/>
      <c r="S36" s="85"/>
      <c r="T36" s="85"/>
      <c r="U36" s="85"/>
      <c r="V36" s="85"/>
      <c r="W36" s="85"/>
      <c r="X36" s="85"/>
    </row>
    <row r="37" spans="1:24">
      <c r="A37" s="85"/>
      <c r="B37" s="82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3"/>
      <c r="Q37" s="85"/>
      <c r="R37" s="85"/>
      <c r="S37" s="85"/>
      <c r="T37" s="85"/>
      <c r="U37" s="85"/>
      <c r="V37" s="85"/>
      <c r="W37" s="85"/>
      <c r="X37" s="85"/>
    </row>
    <row r="38" spans="1:24">
      <c r="A38" s="85"/>
      <c r="B38" s="82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3"/>
      <c r="Q38" s="85"/>
      <c r="R38" s="85"/>
      <c r="S38" s="85"/>
      <c r="T38" s="85"/>
      <c r="U38" s="85"/>
      <c r="V38" s="85"/>
      <c r="W38" s="85"/>
      <c r="X38" s="85"/>
    </row>
    <row r="39" spans="1:24">
      <c r="A39" s="85"/>
      <c r="B39" s="82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3"/>
      <c r="Q39" s="85"/>
      <c r="R39" s="85"/>
      <c r="S39" s="85"/>
      <c r="T39" s="85"/>
      <c r="U39" s="85"/>
      <c r="V39" s="85"/>
      <c r="W39" s="85"/>
      <c r="X39" s="85"/>
    </row>
    <row r="40" spans="1:24"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</row>
    <row r="41" spans="1:24">
      <c r="I41" s="107"/>
      <c r="J41" s="107"/>
      <c r="K41" s="107"/>
      <c r="L41" s="107"/>
      <c r="M41" s="107"/>
      <c r="N41" s="107"/>
      <c r="O41" s="85"/>
    </row>
  </sheetData>
  <mergeCells count="5">
    <mergeCell ref="F16:G16"/>
    <mergeCell ref="F18:G18"/>
    <mergeCell ref="G11:H11"/>
    <mergeCell ref="F12:G12"/>
    <mergeCell ref="F15:G15"/>
  </mergeCells>
  <printOptions horizontalCentered="1" verticalCentered="1"/>
  <pageMargins left="0" right="0" top="0" bottom="0" header="0" footer="0"/>
  <pageSetup paperSize="5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981C-632E-4676-90EF-3ACEA2D0BFEA}">
  <sheetPr>
    <tabColor rgb="FF92D050"/>
    <pageSetUpPr fitToPage="1"/>
  </sheetPr>
  <dimension ref="A1:AU85"/>
  <sheetViews>
    <sheetView showGridLines="0" view="pageBreakPreview" topLeftCell="A14" zoomScale="40" zoomScaleNormal="70" zoomScaleSheetLayoutView="40" zoomScalePageLayoutView="25" workbookViewId="0">
      <selection activeCell="T39" sqref="T39"/>
    </sheetView>
  </sheetViews>
  <sheetFormatPr baseColWidth="10" defaultColWidth="11.42578125" defaultRowHeight="15"/>
  <cols>
    <col min="1" max="1" width="1" customWidth="1"/>
    <col min="2" max="2" width="4.42578125" customWidth="1"/>
    <col min="3" max="3" width="50.85546875" customWidth="1"/>
    <col min="4" max="4" width="29.28515625" customWidth="1"/>
    <col min="5" max="5" width="8.85546875" customWidth="1"/>
    <col min="6" max="6" width="7.140625" customWidth="1"/>
    <col min="7" max="7" width="13" customWidth="1"/>
    <col min="8" max="8" width="17.28515625" customWidth="1"/>
    <col min="9" max="9" width="9.7109375" customWidth="1"/>
    <col min="10" max="10" width="18.28515625" customWidth="1"/>
    <col min="11" max="11" width="14.85546875" customWidth="1"/>
    <col min="12" max="12" width="13.140625" customWidth="1"/>
    <col min="13" max="13" width="17.85546875" customWidth="1"/>
    <col min="14" max="14" width="11" customWidth="1"/>
    <col min="15" max="15" width="17.7109375" customWidth="1"/>
    <col min="16" max="16" width="12.28515625" customWidth="1"/>
    <col min="17" max="17" width="10.140625" customWidth="1"/>
    <col min="18" max="18" width="85" customWidth="1"/>
    <col min="19" max="19" width="3.5703125" customWidth="1"/>
    <col min="20" max="20" width="27" customWidth="1"/>
    <col min="21" max="21" width="29.7109375" customWidth="1"/>
    <col min="22" max="22" width="10.28515625" customWidth="1"/>
  </cols>
  <sheetData>
    <row r="1" spans="1:19" ht="6.6" customHeight="1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2"/>
    </row>
    <row r="2" spans="1:19" ht="37.35" customHeight="1">
      <c r="A2" s="24"/>
      <c r="B2" s="385"/>
      <c r="C2" s="385"/>
      <c r="D2" s="385"/>
      <c r="E2" s="385"/>
      <c r="F2" s="385"/>
      <c r="G2" s="385"/>
      <c r="H2" s="385"/>
      <c r="I2" s="385"/>
      <c r="J2" s="623" t="s">
        <v>177</v>
      </c>
      <c r="K2" s="623"/>
      <c r="L2" s="623"/>
      <c r="M2" s="623"/>
      <c r="N2" s="623"/>
      <c r="O2" s="623"/>
      <c r="P2" s="385"/>
      <c r="Q2" s="385"/>
      <c r="R2" s="385"/>
      <c r="S2" s="23"/>
    </row>
    <row r="3" spans="1:19" ht="7.35" customHeight="1">
      <c r="A3" s="24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23"/>
    </row>
    <row r="4" spans="1:19" ht="33" customHeight="1">
      <c r="A4" s="24"/>
      <c r="B4" s="386" t="s">
        <v>174</v>
      </c>
      <c r="C4" s="386"/>
      <c r="D4" s="386"/>
      <c r="E4" s="386"/>
      <c r="F4" s="386"/>
      <c r="G4" s="386"/>
      <c r="H4" s="386"/>
      <c r="I4" s="386" t="s">
        <v>175</v>
      </c>
      <c r="J4" s="622" t="s">
        <v>176</v>
      </c>
      <c r="K4" s="622"/>
      <c r="L4" s="622"/>
      <c r="M4" s="622"/>
      <c r="N4" s="622"/>
      <c r="O4" s="622"/>
      <c r="P4" s="387"/>
      <c r="Q4" s="387"/>
      <c r="R4" s="388"/>
      <c r="S4" s="23"/>
    </row>
    <row r="5" spans="1:19" ht="29.25" customHeight="1">
      <c r="A5" s="24"/>
      <c r="B5" s="389"/>
      <c r="C5" s="389"/>
      <c r="D5" s="389"/>
      <c r="E5" s="389"/>
      <c r="F5" s="389"/>
      <c r="G5" s="389"/>
      <c r="H5" s="389"/>
      <c r="I5" s="390"/>
      <c r="J5" s="615" t="s">
        <v>158</v>
      </c>
      <c r="K5" s="615"/>
      <c r="L5" s="615"/>
      <c r="M5" s="615"/>
      <c r="N5" s="627" t="s">
        <v>213</v>
      </c>
      <c r="O5" s="627"/>
      <c r="P5" s="627"/>
      <c r="Q5" s="391"/>
      <c r="R5" s="391"/>
      <c r="S5" s="23"/>
    </row>
    <row r="6" spans="1:19" ht="23.25" customHeight="1" thickBot="1">
      <c r="A6" s="24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</row>
    <row r="7" spans="1:19" ht="12.75" hidden="1" customHeight="1">
      <c r="A7" s="24"/>
    </row>
    <row r="8" spans="1:19" ht="45.75" customHeight="1" thickBot="1">
      <c r="A8" s="24"/>
      <c r="C8" s="618" t="str">
        <f>_xlfn.CONCAT("PERIODO ", N5)</f>
        <v>PERIODO ABRIL - 2025</v>
      </c>
      <c r="D8" s="619"/>
      <c r="E8" s="620"/>
      <c r="G8" s="59" t="s">
        <v>1</v>
      </c>
      <c r="H8" s="43"/>
      <c r="I8" s="43"/>
      <c r="J8" s="43"/>
      <c r="K8" s="44" t="s">
        <v>2</v>
      </c>
      <c r="L8" s="43"/>
      <c r="M8" s="44" t="s">
        <v>3</v>
      </c>
      <c r="N8" s="43"/>
      <c r="O8" s="44" t="s">
        <v>4</v>
      </c>
      <c r="P8" s="43"/>
      <c r="Q8" s="43"/>
      <c r="R8" s="58" t="s">
        <v>5</v>
      </c>
      <c r="S8" s="23"/>
    </row>
    <row r="9" spans="1:19" ht="23.25" customHeight="1">
      <c r="A9" s="24"/>
      <c r="G9" s="45"/>
      <c r="H9" s="46"/>
      <c r="I9" s="46"/>
      <c r="J9" s="46"/>
      <c r="K9" s="266"/>
      <c r="L9" s="46"/>
      <c r="M9" s="46"/>
      <c r="N9" s="46"/>
      <c r="O9" s="46"/>
      <c r="P9" s="46"/>
      <c r="Q9" s="46"/>
      <c r="R9" s="47"/>
      <c r="S9" s="23"/>
    </row>
    <row r="10" spans="1:19" ht="42" customHeight="1">
      <c r="A10" s="24"/>
      <c r="C10" s="621" t="s">
        <v>5</v>
      </c>
      <c r="D10" s="621"/>
      <c r="E10" s="621"/>
      <c r="G10" s="79" t="s">
        <v>8</v>
      </c>
      <c r="H10" s="48"/>
      <c r="I10" s="48"/>
      <c r="J10" s="39"/>
      <c r="K10" s="49">
        <v>34</v>
      </c>
      <c r="L10" s="48"/>
      <c r="M10" s="39">
        <v>0</v>
      </c>
      <c r="N10" s="48"/>
      <c r="O10" s="39">
        <v>0</v>
      </c>
      <c r="P10" s="48"/>
      <c r="Q10" s="48"/>
      <c r="R10" s="50">
        <f>SUM($K10:$O10)</f>
        <v>34</v>
      </c>
      <c r="S10" s="23"/>
    </row>
    <row r="11" spans="1:19" ht="36" customHeight="1">
      <c r="A11" s="24"/>
      <c r="C11" s="72" t="s">
        <v>6</v>
      </c>
      <c r="D11" s="614">
        <f>R13</f>
        <v>6</v>
      </c>
      <c r="E11" s="614"/>
      <c r="G11" s="51" t="s">
        <v>9</v>
      </c>
      <c r="H11" s="48"/>
      <c r="I11" s="48"/>
      <c r="J11" s="39"/>
      <c r="K11" s="49">
        <v>78</v>
      </c>
      <c r="L11" s="48"/>
      <c r="M11" s="39">
        <v>0</v>
      </c>
      <c r="N11" s="48"/>
      <c r="O11" s="39">
        <v>0</v>
      </c>
      <c r="P11" s="48"/>
      <c r="Q11" s="48"/>
      <c r="R11" s="50">
        <f t="shared" ref="R11:R13" si="0">SUM($K11:$O11)</f>
        <v>78</v>
      </c>
      <c r="S11" s="23"/>
    </row>
    <row r="12" spans="1:19" ht="43.5" customHeight="1">
      <c r="A12" s="24"/>
      <c r="C12" s="64" t="s">
        <v>7</v>
      </c>
      <c r="D12" s="614">
        <f>R12</f>
        <v>4</v>
      </c>
      <c r="E12" s="614"/>
      <c r="G12" s="51" t="s">
        <v>7</v>
      </c>
      <c r="H12" s="48"/>
      <c r="I12" s="48"/>
      <c r="J12" s="39"/>
      <c r="K12" s="49">
        <v>4</v>
      </c>
      <c r="L12" s="48"/>
      <c r="M12" s="39">
        <v>0</v>
      </c>
      <c r="N12" s="48"/>
      <c r="O12" s="39">
        <v>0</v>
      </c>
      <c r="P12" s="48"/>
      <c r="Q12" s="48"/>
      <c r="R12" s="50">
        <f t="shared" si="0"/>
        <v>4</v>
      </c>
      <c r="S12" s="23"/>
    </row>
    <row r="13" spans="1:19" ht="36.75" customHeight="1">
      <c r="A13" s="24"/>
      <c r="C13" s="64" t="s">
        <v>8</v>
      </c>
      <c r="D13" s="614">
        <f>R10</f>
        <v>34</v>
      </c>
      <c r="E13" s="614"/>
      <c r="G13" s="80" t="s">
        <v>6</v>
      </c>
      <c r="H13" s="52"/>
      <c r="I13" s="48"/>
      <c r="J13" s="39"/>
      <c r="K13" s="49">
        <v>6</v>
      </c>
      <c r="L13" s="48"/>
      <c r="M13" s="39">
        <v>0</v>
      </c>
      <c r="N13" s="48"/>
      <c r="O13" s="39">
        <v>0</v>
      </c>
      <c r="P13" s="48"/>
      <c r="Q13" s="48"/>
      <c r="R13" s="50">
        <f t="shared" si="0"/>
        <v>6</v>
      </c>
      <c r="S13" s="23"/>
    </row>
    <row r="14" spans="1:19" ht="53.25" customHeight="1">
      <c r="A14" s="24"/>
      <c r="C14" s="64" t="s">
        <v>9</v>
      </c>
      <c r="D14" s="614">
        <f>R11</f>
        <v>78</v>
      </c>
      <c r="E14" s="614"/>
      <c r="G14" s="57" t="s">
        <v>10</v>
      </c>
      <c r="H14" s="53"/>
      <c r="I14" s="54"/>
      <c r="J14" s="55"/>
      <c r="K14" s="55">
        <f>SUM(K10:K13)</f>
        <v>122</v>
      </c>
      <c r="L14" s="54"/>
      <c r="M14" s="55">
        <f>SUM(M10:M13)</f>
        <v>0</v>
      </c>
      <c r="N14" s="54"/>
      <c r="O14" s="55">
        <f>SUM(O10:O13)</f>
        <v>0</v>
      </c>
      <c r="P14" s="54"/>
      <c r="Q14" s="54"/>
      <c r="R14" s="56">
        <f>SUM(R10:R13)</f>
        <v>122</v>
      </c>
      <c r="S14" s="23"/>
    </row>
    <row r="15" spans="1:19" ht="38.25" customHeight="1">
      <c r="A15" s="24"/>
      <c r="C15" s="40" t="s">
        <v>11</v>
      </c>
      <c r="D15" s="613">
        <f>R14</f>
        <v>122</v>
      </c>
      <c r="E15" s="613"/>
      <c r="H15" s="38"/>
      <c r="M15" s="38"/>
      <c r="N15" s="38"/>
      <c r="O15" s="38"/>
      <c r="S15" s="23"/>
    </row>
    <row r="16" spans="1:19" ht="27" customHeight="1">
      <c r="A16" s="24"/>
      <c r="H16" s="39"/>
      <c r="O16" s="39"/>
      <c r="S16" s="23"/>
    </row>
    <row r="17" spans="1:19" ht="17.25" customHeight="1">
      <c r="A17" s="24"/>
      <c r="S17" s="23"/>
    </row>
    <row r="18" spans="1:19" ht="28.5" customHeight="1">
      <c r="A18" s="24"/>
      <c r="S18" s="23"/>
    </row>
    <row r="19" spans="1:19" ht="12" customHeight="1">
      <c r="A19" s="24"/>
      <c r="S19" s="23"/>
    </row>
    <row r="20" spans="1:19" ht="15" customHeight="1">
      <c r="A20" s="24"/>
      <c r="S20" s="23"/>
    </row>
    <row r="21" spans="1:19" ht="9.75" customHeight="1">
      <c r="A21" s="24"/>
      <c r="S21" s="23"/>
    </row>
    <row r="22" spans="1:19" ht="5.25" customHeight="1">
      <c r="A22" s="24"/>
      <c r="S22" s="23"/>
    </row>
    <row r="23" spans="1:19" ht="9.75" customHeight="1">
      <c r="A23" s="24"/>
      <c r="S23" s="23"/>
    </row>
    <row r="24" spans="1:19" ht="50.25" customHeight="1">
      <c r="A24" s="24"/>
      <c r="C24" s="624" t="s">
        <v>12</v>
      </c>
      <c r="D24" s="625"/>
      <c r="E24" s="626"/>
      <c r="S24" s="23"/>
    </row>
    <row r="25" spans="1:19" ht="32.25" customHeight="1">
      <c r="A25" s="24"/>
      <c r="C25" s="41" t="s">
        <v>6</v>
      </c>
      <c r="D25" s="616">
        <f>SUM(M13:O13)</f>
        <v>0</v>
      </c>
      <c r="E25" s="617"/>
      <c r="S25" s="23"/>
    </row>
    <row r="26" spans="1:19" ht="33.75" customHeight="1">
      <c r="A26" s="24"/>
      <c r="C26" s="42" t="s">
        <v>7</v>
      </c>
      <c r="D26" s="616">
        <f>SUM(M12:O12)</f>
        <v>0</v>
      </c>
      <c r="E26" s="617"/>
      <c r="S26" s="23"/>
    </row>
    <row r="27" spans="1:19" ht="38.25" customHeight="1">
      <c r="A27" s="24"/>
      <c r="C27" s="42" t="s">
        <v>8</v>
      </c>
      <c r="D27" s="614">
        <f>SUM(M10:O10)</f>
        <v>0</v>
      </c>
      <c r="E27" s="614"/>
      <c r="S27" s="23"/>
    </row>
    <row r="28" spans="1:19" ht="25.5" customHeight="1">
      <c r="A28" s="24"/>
      <c r="C28" s="42" t="s">
        <v>9</v>
      </c>
      <c r="D28" s="614">
        <f>SUM(M11:O11)</f>
        <v>0</v>
      </c>
      <c r="E28" s="614"/>
      <c r="S28" s="23"/>
    </row>
    <row r="29" spans="1:19" ht="33" customHeight="1">
      <c r="A29" s="24"/>
      <c r="C29" s="40" t="s">
        <v>11</v>
      </c>
      <c r="D29" s="612">
        <f>SUM(M14:O14)</f>
        <v>0</v>
      </c>
      <c r="E29" s="612"/>
      <c r="S29" s="23"/>
    </row>
    <row r="30" spans="1:19">
      <c r="A30" s="24"/>
      <c r="S30" s="23"/>
    </row>
    <row r="31" spans="1:19">
      <c r="A31" s="24"/>
      <c r="S31" s="23"/>
    </row>
    <row r="32" spans="1:19" hidden="1">
      <c r="A32" s="24"/>
      <c r="S32" s="23"/>
    </row>
    <row r="33" spans="1:19" ht="15" customHeight="1">
      <c r="A33" s="24"/>
      <c r="S33" s="23"/>
    </row>
    <row r="34" spans="1:19">
      <c r="A34" s="24"/>
      <c r="S34" s="23"/>
    </row>
    <row r="35" spans="1:19">
      <c r="A35" s="24"/>
      <c r="S35" s="23"/>
    </row>
    <row r="36" spans="1:19">
      <c r="A36" s="24"/>
      <c r="S36" s="23"/>
    </row>
    <row r="37" spans="1:19">
      <c r="A37" s="24"/>
      <c r="S37" s="23"/>
    </row>
    <row r="38" spans="1:19">
      <c r="A38" s="24"/>
      <c r="S38" s="23"/>
    </row>
    <row r="39" spans="1:19">
      <c r="A39" s="24"/>
      <c r="S39" s="23"/>
    </row>
    <row r="40" spans="1:19">
      <c r="A40" s="24"/>
      <c r="S40" s="23"/>
    </row>
    <row r="41" spans="1:19">
      <c r="A41" s="24"/>
      <c r="S41" s="23"/>
    </row>
    <row r="42" spans="1:19">
      <c r="A42" s="24"/>
      <c r="S42" s="23"/>
    </row>
    <row r="43" spans="1:19">
      <c r="A43" s="24"/>
      <c r="S43" s="23"/>
    </row>
    <row r="44" spans="1:19">
      <c r="A44" s="24"/>
      <c r="S44" s="23"/>
    </row>
    <row r="45" spans="1:19">
      <c r="A45" s="24"/>
      <c r="S45" s="23"/>
    </row>
    <row r="46" spans="1:19" ht="72" customHeight="1">
      <c r="A46" s="24"/>
      <c r="S46" s="23"/>
    </row>
    <row r="47" spans="1:19" ht="51.75" customHeight="1">
      <c r="A47" s="24"/>
      <c r="S47" s="23"/>
    </row>
    <row r="48" spans="1:19" ht="26.25" customHeight="1">
      <c r="A48" s="24"/>
    </row>
    <row r="49" spans="1:19" ht="33.75" hidden="1" customHeight="1">
      <c r="A49" s="24"/>
      <c r="S49" s="23"/>
    </row>
    <row r="50" spans="1:19" ht="8.25" hidden="1" customHeight="1">
      <c r="A50" s="24"/>
      <c r="S50" s="23"/>
    </row>
    <row r="51" spans="1:19" ht="18.75" customHeight="1" thickBo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7"/>
    </row>
    <row r="52" spans="1:19" ht="31.5" customHeight="1"/>
    <row r="53" spans="1:19" ht="14.45" customHeight="1"/>
    <row r="85" spans="47:47">
      <c r="AU85" s="1"/>
    </row>
  </sheetData>
  <mergeCells count="17">
    <mergeCell ref="J4:O4"/>
    <mergeCell ref="J2:O2"/>
    <mergeCell ref="D12:E12"/>
    <mergeCell ref="C24:E24"/>
    <mergeCell ref="D25:E25"/>
    <mergeCell ref="N5:P5"/>
    <mergeCell ref="D29:E29"/>
    <mergeCell ref="D15:E15"/>
    <mergeCell ref="D27:E27"/>
    <mergeCell ref="D28:E28"/>
    <mergeCell ref="J5:M5"/>
    <mergeCell ref="D26:E26"/>
    <mergeCell ref="D13:E13"/>
    <mergeCell ref="D14:E14"/>
    <mergeCell ref="C8:E8"/>
    <mergeCell ref="C10:E10"/>
    <mergeCell ref="D11:E11"/>
  </mergeCells>
  <printOptions horizontalCentered="1" verticalCentered="1"/>
  <pageMargins left="0" right="0" top="0" bottom="0" header="0" footer="0"/>
  <pageSetup paperSize="5" scale="50" fitToHeight="0" orientation="landscape" r:id="rId1"/>
  <headerFooter>
    <oddFooter>&amp;R&amp;P</oddFooter>
  </headerFooter>
  <rowBreaks count="1" manualBreakCount="1">
    <brk id="51" max="18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CCD6-0769-45FB-A71B-BC9605B127F0}">
  <sheetPr>
    <tabColor theme="6" tint="0.79998168889431442"/>
  </sheetPr>
  <dimension ref="B3:H87"/>
  <sheetViews>
    <sheetView topLeftCell="A18" zoomScale="85" zoomScaleNormal="85" workbookViewId="0">
      <selection activeCell="G5" sqref="G5"/>
    </sheetView>
  </sheetViews>
  <sheetFormatPr baseColWidth="10" defaultColWidth="11.42578125" defaultRowHeight="15"/>
  <cols>
    <col min="1" max="2" width="12.5703125" bestFit="1" customWidth="1"/>
    <col min="4" max="4" width="14.7109375" bestFit="1" customWidth="1"/>
  </cols>
  <sheetData>
    <row r="3" spans="2:5">
      <c r="B3" s="9" t="s">
        <v>6</v>
      </c>
      <c r="C3" s="9" t="s">
        <v>13</v>
      </c>
      <c r="D3" s="9" t="s">
        <v>14</v>
      </c>
      <c r="E3" s="9" t="s">
        <v>15</v>
      </c>
    </row>
    <row r="4" spans="2:5">
      <c r="B4" s="7" t="s">
        <v>16</v>
      </c>
      <c r="C4" s="7">
        <v>1</v>
      </c>
      <c r="D4" s="7">
        <v>0</v>
      </c>
      <c r="E4" s="7">
        <v>0</v>
      </c>
    </row>
    <row r="5" spans="2:5">
      <c r="B5" s="7" t="s">
        <v>17</v>
      </c>
      <c r="C5" s="7">
        <v>2</v>
      </c>
      <c r="D5" s="7">
        <v>0</v>
      </c>
      <c r="E5" s="7">
        <v>0</v>
      </c>
    </row>
    <row r="6" spans="2:5">
      <c r="B6" s="7" t="s">
        <v>214</v>
      </c>
      <c r="C6" s="7">
        <v>2</v>
      </c>
      <c r="D6" s="7">
        <v>0</v>
      </c>
      <c r="E6" s="7">
        <v>0</v>
      </c>
    </row>
    <row r="7" spans="2:5">
      <c r="B7" s="9" t="s">
        <v>7</v>
      </c>
      <c r="C7" s="9" t="s">
        <v>13</v>
      </c>
      <c r="D7" s="9" t="s">
        <v>14</v>
      </c>
      <c r="E7" s="9" t="s">
        <v>15</v>
      </c>
    </row>
    <row r="8" spans="2:5">
      <c r="B8" s="7" t="s">
        <v>18</v>
      </c>
      <c r="C8" s="7">
        <v>2</v>
      </c>
      <c r="D8" s="7">
        <v>0</v>
      </c>
      <c r="E8" s="7">
        <v>0</v>
      </c>
    </row>
    <row r="9" spans="2:5">
      <c r="B9" s="7" t="s">
        <v>19</v>
      </c>
      <c r="C9" s="2">
        <v>2</v>
      </c>
      <c r="D9" s="7">
        <v>0</v>
      </c>
      <c r="E9" s="7">
        <v>0</v>
      </c>
    </row>
    <row r="10" spans="2:5">
      <c r="B10" s="7" t="s">
        <v>20</v>
      </c>
      <c r="C10" s="7">
        <v>2</v>
      </c>
      <c r="D10" s="7">
        <v>0</v>
      </c>
      <c r="E10" s="7">
        <v>0</v>
      </c>
    </row>
    <row r="11" spans="2:5">
      <c r="B11" s="9" t="s">
        <v>21</v>
      </c>
      <c r="C11" s="9" t="s">
        <v>13</v>
      </c>
      <c r="D11" s="9" t="s">
        <v>14</v>
      </c>
      <c r="E11" s="9" t="s">
        <v>15</v>
      </c>
    </row>
    <row r="12" spans="2:5">
      <c r="B12" s="7" t="s">
        <v>18</v>
      </c>
      <c r="C12" s="7">
        <v>3</v>
      </c>
      <c r="D12" s="7">
        <v>0</v>
      </c>
      <c r="E12" s="7">
        <v>0</v>
      </c>
    </row>
    <row r="13" spans="2:5">
      <c r="B13" s="7" t="s">
        <v>16</v>
      </c>
      <c r="C13" s="7">
        <v>4</v>
      </c>
      <c r="D13" s="7">
        <v>0</v>
      </c>
      <c r="E13" s="7">
        <v>0</v>
      </c>
    </row>
    <row r="14" spans="2:5">
      <c r="B14" s="7" t="s">
        <v>19</v>
      </c>
      <c r="C14" s="7">
        <v>3</v>
      </c>
      <c r="D14" s="7">
        <v>0</v>
      </c>
      <c r="E14" s="7">
        <v>0</v>
      </c>
    </row>
    <row r="15" spans="2:5">
      <c r="B15" s="7" t="s">
        <v>22</v>
      </c>
      <c r="C15" s="7">
        <v>7</v>
      </c>
      <c r="D15" s="7">
        <v>0</v>
      </c>
      <c r="E15" s="7">
        <v>0</v>
      </c>
    </row>
    <row r="16" spans="2:5">
      <c r="B16" s="7" t="s">
        <v>17</v>
      </c>
      <c r="C16" s="7">
        <v>6</v>
      </c>
      <c r="D16" s="7">
        <v>0</v>
      </c>
      <c r="E16" s="7">
        <v>0</v>
      </c>
    </row>
    <row r="17" spans="2:5">
      <c r="B17" s="7" t="s">
        <v>215</v>
      </c>
      <c r="C17" s="7">
        <v>3</v>
      </c>
      <c r="D17" s="7">
        <v>0</v>
      </c>
      <c r="E17" s="7">
        <v>0</v>
      </c>
    </row>
    <row r="18" spans="2:5">
      <c r="B18" s="7" t="s">
        <v>214</v>
      </c>
      <c r="C18" s="7">
        <v>3</v>
      </c>
      <c r="D18" s="7">
        <v>0</v>
      </c>
      <c r="E18" s="7">
        <v>0</v>
      </c>
    </row>
    <row r="19" spans="2:5">
      <c r="B19" s="7" t="s">
        <v>20</v>
      </c>
      <c r="C19" s="7">
        <v>5</v>
      </c>
      <c r="D19" s="7">
        <v>0</v>
      </c>
      <c r="E19" s="7">
        <v>0</v>
      </c>
    </row>
    <row r="21" spans="2:5" ht="31.5" customHeight="1"/>
    <row r="23" spans="2:5" ht="31.5" customHeight="1">
      <c r="B23" s="8" t="s">
        <v>21</v>
      </c>
      <c r="C23" s="8" t="s">
        <v>13</v>
      </c>
      <c r="D23" s="8" t="s">
        <v>14</v>
      </c>
      <c r="E23" s="8" t="s">
        <v>15</v>
      </c>
    </row>
    <row r="24" spans="2:5">
      <c r="B24" s="73" t="s">
        <v>24</v>
      </c>
      <c r="C24" s="7">
        <v>5</v>
      </c>
      <c r="D24" s="7">
        <v>0</v>
      </c>
      <c r="E24" s="7">
        <v>0</v>
      </c>
    </row>
    <row r="25" spans="2:5">
      <c r="B25" s="73" t="s">
        <v>37</v>
      </c>
      <c r="C25" s="7">
        <v>5</v>
      </c>
      <c r="D25" s="7">
        <v>0</v>
      </c>
      <c r="E25" s="7">
        <v>0</v>
      </c>
    </row>
    <row r="26" spans="2:5">
      <c r="B26" s="73" t="s">
        <v>25</v>
      </c>
      <c r="C26" s="7">
        <v>5</v>
      </c>
      <c r="D26" s="7">
        <v>0</v>
      </c>
      <c r="E26" s="7">
        <v>0</v>
      </c>
    </row>
    <row r="27" spans="2:5">
      <c r="B27" s="73" t="s">
        <v>33</v>
      </c>
      <c r="C27" s="7">
        <v>5</v>
      </c>
      <c r="D27" s="7">
        <v>0</v>
      </c>
      <c r="E27" s="7">
        <v>0</v>
      </c>
    </row>
    <row r="28" spans="2:5">
      <c r="B28" s="73" t="s">
        <v>30</v>
      </c>
      <c r="C28" s="7">
        <v>5</v>
      </c>
      <c r="D28" s="7">
        <v>0</v>
      </c>
      <c r="E28" s="7">
        <v>0</v>
      </c>
    </row>
    <row r="29" spans="2:5">
      <c r="B29" s="73" t="s">
        <v>26</v>
      </c>
      <c r="C29" s="7">
        <v>5</v>
      </c>
      <c r="D29" s="7">
        <v>0</v>
      </c>
      <c r="E29" s="7">
        <v>0</v>
      </c>
    </row>
    <row r="30" spans="2:5">
      <c r="B30" s="73" t="s">
        <v>216</v>
      </c>
      <c r="C30" s="7">
        <v>5</v>
      </c>
      <c r="D30" s="7">
        <v>0</v>
      </c>
      <c r="E30" s="7">
        <v>0</v>
      </c>
    </row>
    <row r="31" spans="2:5">
      <c r="B31" s="73" t="s">
        <v>32</v>
      </c>
      <c r="C31" s="7">
        <v>5</v>
      </c>
      <c r="D31" s="7">
        <v>0</v>
      </c>
      <c r="E31" s="7">
        <v>0</v>
      </c>
    </row>
    <row r="32" spans="2:5">
      <c r="B32" s="73" t="s">
        <v>36</v>
      </c>
      <c r="C32" s="7">
        <v>5</v>
      </c>
      <c r="D32" s="7">
        <v>0</v>
      </c>
      <c r="E32" s="7">
        <v>0</v>
      </c>
    </row>
    <row r="33" spans="2:5">
      <c r="B33" s="73" t="s">
        <v>34</v>
      </c>
      <c r="C33" s="7">
        <v>5</v>
      </c>
      <c r="D33" s="7">
        <v>0</v>
      </c>
      <c r="E33" s="7">
        <v>0</v>
      </c>
    </row>
    <row r="34" spans="2:5">
      <c r="B34" s="73" t="s">
        <v>29</v>
      </c>
      <c r="C34" s="7">
        <v>5</v>
      </c>
      <c r="D34" s="7">
        <v>0</v>
      </c>
      <c r="E34" s="7">
        <v>0</v>
      </c>
    </row>
    <row r="35" spans="2:5">
      <c r="B35" s="73" t="s">
        <v>35</v>
      </c>
      <c r="C35" s="7">
        <v>4</v>
      </c>
      <c r="D35" s="7">
        <v>0</v>
      </c>
      <c r="E35" s="7">
        <v>0</v>
      </c>
    </row>
    <row r="36" spans="2:5">
      <c r="B36" s="73" t="s">
        <v>28</v>
      </c>
      <c r="C36" s="7">
        <v>5</v>
      </c>
      <c r="D36" s="7">
        <v>0</v>
      </c>
      <c r="E36" s="7">
        <v>0</v>
      </c>
    </row>
    <row r="37" spans="2:5">
      <c r="B37" s="73" t="s">
        <v>23</v>
      </c>
      <c r="C37" s="7">
        <v>5</v>
      </c>
      <c r="D37" s="7">
        <v>0</v>
      </c>
      <c r="E37" s="7">
        <v>0</v>
      </c>
    </row>
    <row r="38" spans="2:5">
      <c r="B38" s="73" t="s">
        <v>27</v>
      </c>
      <c r="C38" s="7">
        <v>5</v>
      </c>
      <c r="D38" s="7">
        <v>0</v>
      </c>
      <c r="E38" s="7">
        <v>0</v>
      </c>
    </row>
    <row r="39" spans="2:5">
      <c r="B39" s="73" t="s">
        <v>38</v>
      </c>
      <c r="C39" s="7">
        <v>4</v>
      </c>
      <c r="D39" s="7">
        <v>0</v>
      </c>
      <c r="E39" s="7">
        <v>0</v>
      </c>
    </row>
    <row r="57" spans="8:8">
      <c r="H57" s="11"/>
    </row>
    <row r="58" spans="8:8" ht="41.25" customHeight="1">
      <c r="H58" s="11"/>
    </row>
    <row r="59" spans="8:8" ht="41.25" customHeight="1">
      <c r="H59" s="11"/>
    </row>
    <row r="60" spans="8:8" ht="41.25" customHeight="1">
      <c r="H60" s="11"/>
    </row>
    <row r="61" spans="8:8" ht="41.25" customHeight="1">
      <c r="H61" s="11"/>
    </row>
    <row r="62" spans="8:8" ht="41.25" customHeight="1">
      <c r="H62" s="11"/>
    </row>
    <row r="63" spans="8:8" ht="41.25" customHeight="1">
      <c r="H63" s="11"/>
    </row>
    <row r="64" spans="8:8">
      <c r="H64" s="11"/>
    </row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66D-117A-4817-8B76-F5D039C10E30}">
  <sheetPr>
    <tabColor theme="9"/>
  </sheetPr>
  <dimension ref="A1:AA61"/>
  <sheetViews>
    <sheetView showGridLines="0" view="pageBreakPreview" topLeftCell="A28" zoomScale="55" zoomScaleNormal="40" zoomScaleSheetLayoutView="55" workbookViewId="0">
      <selection activeCell="AA42" sqref="AA42"/>
    </sheetView>
  </sheetViews>
  <sheetFormatPr baseColWidth="10" defaultColWidth="11.42578125" defaultRowHeight="15"/>
  <cols>
    <col min="1" max="1" width="12.5703125" customWidth="1"/>
    <col min="2" max="2" width="1.42578125" customWidth="1"/>
    <col min="3" max="3" width="25.42578125" customWidth="1"/>
    <col min="4" max="4" width="11.42578125" customWidth="1"/>
    <col min="12" max="12" width="11.5703125" customWidth="1"/>
    <col min="20" max="20" width="13.5703125" bestFit="1" customWidth="1"/>
    <col min="27" max="27" width="29.140625" customWidth="1"/>
  </cols>
  <sheetData>
    <row r="1" spans="1:27" ht="6.6" customHeight="1">
      <c r="A1" s="13"/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4"/>
      <c r="W1" s="14"/>
      <c r="X1" s="14"/>
      <c r="Y1" s="14"/>
      <c r="Z1" s="14"/>
      <c r="AA1" s="16"/>
    </row>
    <row r="2" spans="1:27" ht="37.15" customHeight="1">
      <c r="A2" s="628" t="s">
        <v>157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30" t="s">
        <v>213</v>
      </c>
      <c r="U2" s="630"/>
      <c r="V2" s="630"/>
      <c r="W2" s="630"/>
      <c r="X2" s="630"/>
      <c r="Y2" s="630"/>
      <c r="Z2" s="630"/>
      <c r="AA2" s="631"/>
    </row>
    <row r="3" spans="1:27" ht="2.4500000000000002" customHeight="1">
      <c r="A3" s="17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8"/>
    </row>
    <row r="4" spans="1:27" ht="15.75">
      <c r="A4" s="17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8"/>
    </row>
    <row r="5" spans="1:27" ht="15.75">
      <c r="A5" s="17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8"/>
    </row>
    <row r="6" spans="1:27" ht="15.75">
      <c r="A6" s="17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8"/>
    </row>
    <row r="7" spans="1:27" ht="15.75">
      <c r="A7" s="1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8"/>
    </row>
    <row r="8" spans="1:27" ht="15.75">
      <c r="A8" s="1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8"/>
    </row>
    <row r="9" spans="1:27" ht="15.75">
      <c r="A9" s="1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8"/>
    </row>
    <row r="10" spans="1:27" ht="15.75">
      <c r="A10" s="1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8"/>
    </row>
    <row r="11" spans="1:27" ht="15.75">
      <c r="A11" s="1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8"/>
    </row>
    <row r="12" spans="1:27" ht="15.75">
      <c r="A12" s="1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8"/>
    </row>
    <row r="13" spans="1:27" ht="15.75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8"/>
    </row>
    <row r="14" spans="1:27" ht="15.75">
      <c r="A14" s="17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8"/>
    </row>
    <row r="15" spans="1:27" ht="15.75">
      <c r="A15" s="17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8"/>
    </row>
    <row r="16" spans="1:27" ht="15.75">
      <c r="A16" s="17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8"/>
    </row>
    <row r="17" spans="1:27" ht="15.75">
      <c r="A17" s="1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8"/>
    </row>
    <row r="18" spans="1:27" ht="15.75">
      <c r="A18" s="17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8"/>
    </row>
    <row r="19" spans="1:27" ht="15.75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8"/>
    </row>
    <row r="20" spans="1:27" ht="15.75">
      <c r="A20" s="17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8"/>
    </row>
    <row r="21" spans="1:27" ht="15.75">
      <c r="A21" s="17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8"/>
    </row>
    <row r="22" spans="1:27" ht="15.75">
      <c r="A22" s="17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8"/>
    </row>
    <row r="23" spans="1:27" ht="15.75">
      <c r="A23" s="17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8"/>
    </row>
    <row r="24" spans="1:27" ht="15.75">
      <c r="A24" s="17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8"/>
    </row>
    <row r="25" spans="1:27" ht="15.75">
      <c r="A25" s="17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8"/>
    </row>
    <row r="26" spans="1:27" ht="15.75">
      <c r="A26" s="17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8"/>
    </row>
    <row r="27" spans="1:27" ht="15.75">
      <c r="A27" s="17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8"/>
    </row>
    <row r="28" spans="1:27" ht="15.75">
      <c r="A28" s="1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8"/>
    </row>
    <row r="29" spans="1:27" ht="15.75">
      <c r="A29" s="17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8"/>
    </row>
    <row r="30" spans="1:27" ht="15.75">
      <c r="A30" s="17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8"/>
    </row>
    <row r="31" spans="1:27" ht="15.75">
      <c r="A31" s="17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8"/>
    </row>
    <row r="32" spans="1:27" ht="15.75">
      <c r="A32" s="1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8"/>
    </row>
    <row r="33" spans="1:27" ht="15.75">
      <c r="A33" s="17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8"/>
    </row>
    <row r="34" spans="1:27" ht="15.75">
      <c r="A34" s="17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8"/>
    </row>
    <row r="35" spans="1:27" ht="15.75">
      <c r="A35" s="17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8"/>
    </row>
    <row r="36" spans="1:27" ht="15.75">
      <c r="A36" s="17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8"/>
    </row>
    <row r="37" spans="1:27" ht="15.75">
      <c r="A37" s="17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8"/>
    </row>
    <row r="38" spans="1:27" ht="15.75">
      <c r="A38" s="1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8"/>
    </row>
    <row r="39" spans="1:27" ht="15.75">
      <c r="A39" s="17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8"/>
    </row>
    <row r="40" spans="1:27" ht="15.75">
      <c r="A40" s="17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3"/>
      <c r="AA40" s="18"/>
    </row>
    <row r="41" spans="1:27" ht="15.75">
      <c r="A41" s="17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8"/>
    </row>
    <row r="42" spans="1:27" ht="15.75">
      <c r="A42" s="1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8"/>
    </row>
    <row r="43" spans="1:27" ht="15.75">
      <c r="A43" s="17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8"/>
    </row>
    <row r="44" spans="1:27" ht="15.75">
      <c r="A44" s="17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8"/>
    </row>
    <row r="45" spans="1:27" ht="15.75">
      <c r="A45" s="17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8"/>
    </row>
    <row r="46" spans="1:27" ht="15.75">
      <c r="A46" s="17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8"/>
    </row>
    <row r="47" spans="1:27" ht="15.75">
      <c r="A47" s="17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8"/>
    </row>
    <row r="48" spans="1:27" ht="15.75">
      <c r="A48" s="17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8"/>
    </row>
    <row r="49" spans="1:27" ht="15.75">
      <c r="A49" s="17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8"/>
    </row>
    <row r="50" spans="1:27" ht="15.75">
      <c r="A50" s="17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8"/>
    </row>
    <row r="51" spans="1:27" ht="15.75">
      <c r="A51" s="1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8"/>
    </row>
    <row r="52" spans="1:27" ht="15.75">
      <c r="A52" s="1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8"/>
    </row>
    <row r="53" spans="1:27" s="3" customFormat="1" ht="15.75">
      <c r="A53" s="1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8"/>
    </row>
    <row r="54" spans="1:27" ht="15.75">
      <c r="A54" s="17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8"/>
    </row>
    <row r="55" spans="1:27" ht="15.75">
      <c r="A55" s="17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8"/>
    </row>
    <row r="56" spans="1:27" ht="15.75">
      <c r="A56" s="17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8"/>
    </row>
    <row r="57" spans="1:27" ht="15.75">
      <c r="A57" s="17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8"/>
    </row>
    <row r="58" spans="1:27" ht="15.75">
      <c r="A58" s="17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8"/>
    </row>
    <row r="59" spans="1:27" ht="15.75">
      <c r="A59" s="17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8"/>
    </row>
    <row r="60" spans="1:27" ht="15.75">
      <c r="A60" s="1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8"/>
    </row>
    <row r="61" spans="1:27" ht="153" customHeight="1" thickBot="1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1"/>
    </row>
  </sheetData>
  <mergeCells count="2">
    <mergeCell ref="A2:S2"/>
    <mergeCell ref="T2:AA2"/>
  </mergeCells>
  <printOptions horizontalCentered="1" verticalCentered="1"/>
  <pageMargins left="0" right="0" top="0" bottom="0" header="0" footer="0"/>
  <pageSetup paperSize="5" scale="50" orientation="landscape" r:id="rId1"/>
  <headerFoot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AAE-ABF1-4B0E-B409-B7FA32B8E52D}">
  <sheetPr>
    <tabColor rgb="FFFF0000"/>
  </sheetPr>
  <dimension ref="A1:U96"/>
  <sheetViews>
    <sheetView showGridLines="0" view="pageBreakPreview" topLeftCell="A6" zoomScale="115" zoomScaleNormal="84" zoomScaleSheetLayoutView="115" workbookViewId="0">
      <selection activeCell="C29" sqref="C29"/>
    </sheetView>
  </sheetViews>
  <sheetFormatPr baseColWidth="10" defaultColWidth="11.42578125" defaultRowHeight="15" outlineLevelRow="1"/>
  <cols>
    <col min="1" max="1" width="5.85546875" customWidth="1"/>
    <col min="2" max="2" width="32.28515625" customWidth="1"/>
    <col min="3" max="3" width="11.85546875" customWidth="1"/>
    <col min="4" max="4" width="5.42578125" customWidth="1"/>
    <col min="5" max="5" width="11.5703125" customWidth="1"/>
    <col min="6" max="6" width="12" customWidth="1"/>
    <col min="7" max="7" width="5.5703125" customWidth="1"/>
    <col min="8" max="8" width="9.28515625" customWidth="1"/>
    <col min="9" max="9" width="12.85546875" customWidth="1"/>
    <col min="10" max="10" width="4.85546875" customWidth="1"/>
    <col min="11" max="11" width="13" customWidth="1"/>
    <col min="12" max="12" width="12" customWidth="1"/>
    <col min="13" max="13" width="4.42578125" customWidth="1"/>
    <col min="14" max="14" width="13.5703125" customWidth="1"/>
    <col min="15" max="15" width="12.28515625" customWidth="1"/>
    <col min="16" max="16" width="6.28515625" customWidth="1"/>
    <col min="17" max="17" width="10.5703125" customWidth="1"/>
    <col min="18" max="18" width="6.42578125" customWidth="1"/>
    <col min="19" max="19" width="10.7109375" customWidth="1"/>
  </cols>
  <sheetData>
    <row r="1" spans="1:21" ht="18.75">
      <c r="A1" s="632" t="s">
        <v>80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</row>
    <row r="2" spans="1:21" ht="19.5" thickBot="1">
      <c r="A2" s="634" t="s">
        <v>213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</row>
    <row r="3" spans="1:21">
      <c r="A3" s="31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1" ht="15.75" thickBot="1">
      <c r="A4" s="318"/>
      <c r="B4" s="319"/>
      <c r="C4" s="31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1" ht="88.5" customHeight="1" thickBot="1">
      <c r="A5" s="318"/>
      <c r="B5" s="336" t="s">
        <v>81</v>
      </c>
      <c r="C5" s="636" t="s">
        <v>82</v>
      </c>
      <c r="D5" s="636"/>
      <c r="E5" s="636"/>
      <c r="F5" s="636" t="s">
        <v>83</v>
      </c>
      <c r="G5" s="636"/>
      <c r="H5" s="636"/>
      <c r="I5" s="636" t="s">
        <v>188</v>
      </c>
      <c r="J5" s="636"/>
      <c r="K5" s="636"/>
      <c r="L5" s="636" t="s">
        <v>84</v>
      </c>
      <c r="M5" s="636"/>
      <c r="N5" s="636"/>
      <c r="O5" s="636" t="s">
        <v>189</v>
      </c>
      <c r="P5" s="636"/>
      <c r="Q5" s="637"/>
      <c r="R5" s="316"/>
      <c r="S5" s="315"/>
      <c r="T5" s="3"/>
      <c r="U5" s="3"/>
    </row>
    <row r="6" spans="1:21" ht="21">
      <c r="A6" s="318"/>
      <c r="B6" s="337" t="s">
        <v>23</v>
      </c>
      <c r="C6" s="322"/>
      <c r="D6" s="323">
        <f>IF(data_status_reg!$E4="bajo",0,IF(data_status_reg!$E4="medio",0.5,IF(data_status_reg!$E4="alto",1,"falta riesgo")))</f>
        <v>0</v>
      </c>
      <c r="E6" s="324"/>
      <c r="F6" s="324"/>
      <c r="G6" s="323">
        <f>IF(data_status_reg!$E20="bajo",0,IF(data_status_reg!$E20="medio",0.5,IF(data_status_reg!$E20="alto",1,"falta riesgo")))</f>
        <v>0</v>
      </c>
      <c r="H6" s="324"/>
      <c r="I6" s="324"/>
      <c r="J6" s="323">
        <f>IF(data_status_reg!$E36="bajo",0,IF(data_status_reg!$E36="medio",0.5,IF(data_status_reg!$E36="alto",1,"falta riesgo")))</f>
        <v>0</v>
      </c>
      <c r="K6" s="324"/>
      <c r="L6" s="324"/>
      <c r="M6" s="323">
        <f>IF(data_status_reg!$E52="bajo",0,IF(data_status_reg!$E52="medio",0.5,IF(data_status_reg!$E52="alto",1,"falta riesgo")))</f>
        <v>0</v>
      </c>
      <c r="N6" s="325"/>
      <c r="O6" s="339"/>
      <c r="P6" s="323">
        <f>IF(data_status_reg!$E68="bajo",0,IF(data_status_reg!$E68="medio",0.5,IF(data_status_reg!$E68="alto",1,"falta riesgo")))</f>
        <v>0</v>
      </c>
      <c r="Q6" s="326"/>
      <c r="R6" s="317"/>
    </row>
    <row r="7" spans="1:21" ht="21">
      <c r="A7" s="318"/>
      <c r="B7" s="337" t="s">
        <v>24</v>
      </c>
      <c r="C7" s="327"/>
      <c r="D7" s="312">
        <f>IF(data_status_reg!$E5="bajo",0,IF(data_status_reg!$E5="medio",0.5,IF(data_status_reg!$E5="alto",1,"falta riesgo")))</f>
        <v>0</v>
      </c>
      <c r="E7" s="313"/>
      <c r="F7" s="313"/>
      <c r="G7" s="312">
        <f>IF(data_status_reg!$E21="bajo",0,IF(data_status_reg!$E21="medio",0.5,IF(data_status_reg!$E21="alto",1,"falta riesgo")))</f>
        <v>0</v>
      </c>
      <c r="H7" s="313"/>
      <c r="I7" s="313"/>
      <c r="J7" s="312">
        <f>IF(data_status_reg!$E37="bajo",0,IF(data_status_reg!$E37="medio",0.5,IF(data_status_reg!$E37="alto",1,"falta riesgo")))</f>
        <v>0</v>
      </c>
      <c r="K7" s="313"/>
      <c r="L7" s="313"/>
      <c r="M7" s="312">
        <f>IF(data_status_reg!$E53="bajo",0,IF(data_status_reg!$E53="medio",0.5,IF(data_status_reg!$E53="alto",1,"falta riesgo")))</f>
        <v>0</v>
      </c>
      <c r="N7" s="310"/>
      <c r="O7" s="340"/>
      <c r="P7" s="312">
        <f>IF(data_status_reg!$E69="bajo",0,IF(data_status_reg!$E69="medio",0.5,IF(data_status_reg!$E69="alto",1,"falta riesgo")))</f>
        <v>0</v>
      </c>
      <c r="Q7" s="328"/>
      <c r="R7" s="3"/>
    </row>
    <row r="8" spans="1:21" ht="21">
      <c r="A8" s="318"/>
      <c r="B8" s="337" t="s">
        <v>25</v>
      </c>
      <c r="C8" s="327"/>
      <c r="D8" s="312">
        <f>IF(data_status_reg!$E6="bajo",0,IF(data_status_reg!$E6="medio",0.5,IF(data_status_reg!$E6="alto",1,"falta riesgo")))</f>
        <v>0</v>
      </c>
      <c r="E8" s="313"/>
      <c r="F8" s="313"/>
      <c r="G8" s="312">
        <f>IF(data_status_reg!$E22="bajo",0,IF(data_status_reg!$E22="medio",0.5,IF(data_status_reg!$E22="alto",1,"falta riesgo")))</f>
        <v>0</v>
      </c>
      <c r="H8" s="313"/>
      <c r="I8" s="313"/>
      <c r="J8" s="312">
        <f>IF(data_status_reg!$E38="bajo",0,IF(data_status_reg!$E38="medio",0.5,IF(data_status_reg!$E38="alto",1,"falta riesgo")))</f>
        <v>0</v>
      </c>
      <c r="K8" s="313"/>
      <c r="L8" s="313"/>
      <c r="M8" s="312">
        <f>IF(data_status_reg!$E54="bajo",0,IF(data_status_reg!$E54="medio",0.5,IF(data_status_reg!$E54="alto",1,"falta riesgo")))</f>
        <v>0</v>
      </c>
      <c r="N8" s="310"/>
      <c r="O8" s="340"/>
      <c r="P8" s="312">
        <f>IF(data_status_reg!$E70="bajo",0,IF(data_status_reg!$E70="medio",0.5,IF(data_status_reg!$E70="alto",1,"falta riesgo")))</f>
        <v>0</v>
      </c>
      <c r="Q8" s="328"/>
      <c r="R8" s="3"/>
    </row>
    <row r="9" spans="1:21" ht="21">
      <c r="A9" s="318"/>
      <c r="B9" s="337" t="s">
        <v>26</v>
      </c>
      <c r="C9" s="327"/>
      <c r="D9" s="312">
        <f>IF(data_status_reg!$E7="bajo",0,IF(data_status_reg!$E7="medio",0.5,IF(data_status_reg!$E7="alto",1,"falta riesgo")))</f>
        <v>0</v>
      </c>
      <c r="E9" s="313"/>
      <c r="F9" s="313"/>
      <c r="G9" s="312">
        <f>IF(data_status_reg!$E23="bajo",0,IF(data_status_reg!$E23="medio",0.5,IF(data_status_reg!$E23="alto",1,"falta riesgo")))</f>
        <v>0</v>
      </c>
      <c r="H9" s="313"/>
      <c r="I9" s="313"/>
      <c r="J9" s="312">
        <f>IF(data_status_reg!$E39="bajo",0,IF(data_status_reg!$E39="medio",0.5,IF(data_status_reg!$E39="alto",1,"falta riesgo")))</f>
        <v>0</v>
      </c>
      <c r="K9" s="313"/>
      <c r="L9" s="313"/>
      <c r="M9" s="312">
        <f>IF(data_status_reg!$E55="bajo",0,IF(data_status_reg!$E55="medio",0.5,IF(data_status_reg!$E55="alto",1,"falta riesgo")))</f>
        <v>0</v>
      </c>
      <c r="N9" s="310"/>
      <c r="O9" s="340"/>
      <c r="P9" s="312">
        <f>IF(data_status_reg!$E71="bajo",0,IF(data_status_reg!$E71="medio",0.5,IF(data_status_reg!$E71="alto",1,"falta riesgo")))</f>
        <v>0</v>
      </c>
      <c r="Q9" s="328"/>
      <c r="R9" s="3"/>
    </row>
    <row r="10" spans="1:21" ht="21">
      <c r="A10" s="318"/>
      <c r="B10" s="337" t="s">
        <v>27</v>
      </c>
      <c r="C10" s="327"/>
      <c r="D10" s="312">
        <f>IF(data_status_reg!$E8="bajo",0,IF(data_status_reg!$E8="medio",0.5,IF(data_status_reg!$E8="alto",1,"falta riesgo")))</f>
        <v>0</v>
      </c>
      <c r="E10" s="313"/>
      <c r="F10" s="313"/>
      <c r="G10" s="312">
        <f>IF(data_status_reg!$E24="bajo",0,IF(data_status_reg!$E24="medio",0.5,IF(data_status_reg!$E24="alto",1,"falta riesgo")))</f>
        <v>0</v>
      </c>
      <c r="H10" s="313"/>
      <c r="I10" s="313"/>
      <c r="J10" s="312">
        <f>IF(data_status_reg!$E40="bajo",0,IF(data_status_reg!$E40="medio",0.5,IF(data_status_reg!$E40="alto",1,"falta riesgo")))</f>
        <v>0</v>
      </c>
      <c r="K10" s="313"/>
      <c r="L10" s="313"/>
      <c r="M10" s="312">
        <f>IF(data_status_reg!$E56="bajo",0,IF(data_status_reg!$E56="medio",0.5,IF(data_status_reg!$E56="alto",1,"falta riesgo")))</f>
        <v>0</v>
      </c>
      <c r="N10" s="310"/>
      <c r="O10" s="340"/>
      <c r="P10" s="312">
        <f>IF(data_status_reg!$E72="bajo",0,IF(data_status_reg!$E72="medio",0.5,IF(data_status_reg!$E72="alto",1,"falta riesgo")))</f>
        <v>0</v>
      </c>
      <c r="Q10" s="328"/>
      <c r="R10" s="3"/>
    </row>
    <row r="11" spans="1:21" ht="21">
      <c r="A11" s="318"/>
      <c r="B11" s="337" t="s">
        <v>28</v>
      </c>
      <c r="C11" s="327"/>
      <c r="D11" s="312">
        <f>IF(data_status_reg!$E9="bajo",0,IF(data_status_reg!$E9="medio",0.5,IF(data_status_reg!$E9="alto",1,"falta riesgo")))</f>
        <v>0</v>
      </c>
      <c r="E11" s="313"/>
      <c r="F11" s="313"/>
      <c r="G11" s="312">
        <f>IF(data_status_reg!$E25="bajo",0,IF(data_status_reg!$E25="medio",0.5,IF(data_status_reg!$E25="alto",1,"falta riesgo")))</f>
        <v>0</v>
      </c>
      <c r="H11" s="313"/>
      <c r="I11" s="313"/>
      <c r="J11" s="312">
        <f>IF(data_status_reg!$E41="bajo",0,IF(data_status_reg!$E41="medio",0.5,IF(data_status_reg!$E41="alto",1,"falta riesgo")))</f>
        <v>0</v>
      </c>
      <c r="K11" s="313"/>
      <c r="L11" s="313"/>
      <c r="M11" s="312">
        <f>IF(data_status_reg!$E57="bajo",0,IF(data_status_reg!$E57="medio",0.5,IF(data_status_reg!$E57="alto",1,"falta riesgo")))</f>
        <v>0</v>
      </c>
      <c r="N11" s="310"/>
      <c r="O11" s="340"/>
      <c r="P11" s="312">
        <f>IF(data_status_reg!$E73="bajo",0,IF(data_status_reg!$E73="medio",0.5,IF(data_status_reg!$E73="alto",1,"falta riesgo")))</f>
        <v>0</v>
      </c>
      <c r="Q11" s="328"/>
      <c r="R11" s="3"/>
    </row>
    <row r="12" spans="1:21" ht="21">
      <c r="A12" s="318"/>
      <c r="B12" s="337" t="s">
        <v>29</v>
      </c>
      <c r="C12" s="327"/>
      <c r="D12" s="312">
        <f>IF(data_status_reg!$E10="bajo",0,IF(data_status_reg!$E10="medio",0.5,IF(data_status_reg!$E10="alto",1,"falta riesgo")))</f>
        <v>0</v>
      </c>
      <c r="E12" s="313"/>
      <c r="F12" s="313"/>
      <c r="G12" s="312">
        <f>IF(data_status_reg!$E26="bajo",0,IF(data_status_reg!$E26="medio",0.5,IF(data_status_reg!$E26="alto",1,"falta riesgo")))</f>
        <v>0</v>
      </c>
      <c r="H12" s="313"/>
      <c r="I12" s="314"/>
      <c r="J12" s="312">
        <f>IF(data_status_reg!$E42="bajo",0,IF(data_status_reg!$E42="medio",0.5,IF(data_status_reg!$E42="alto",1,"falta riesgo")))</f>
        <v>0</v>
      </c>
      <c r="K12" s="314"/>
      <c r="L12" s="314"/>
      <c r="M12" s="312">
        <f>IF(data_status_reg!$E58="bajo",0,IF(data_status_reg!$E58="medio",0.5,IF(data_status_reg!$E58="alto",1,"falta riesgo")))</f>
        <v>0</v>
      </c>
      <c r="N12" s="311"/>
      <c r="O12" s="341"/>
      <c r="P12" s="312">
        <f>IF(data_status_reg!$E74="bajo",0,IF(data_status_reg!$E74="medio",0.5,IF(data_status_reg!$E74="alto",1,"falta riesgo")))</f>
        <v>0</v>
      </c>
      <c r="Q12" s="328"/>
      <c r="R12" s="3"/>
    </row>
    <row r="13" spans="1:21" ht="21">
      <c r="A13" s="318"/>
      <c r="B13" s="337" t="s">
        <v>30</v>
      </c>
      <c r="C13" s="327"/>
      <c r="D13" s="312">
        <f>IF(data_status_reg!$E11="bajo",0,IF(data_status_reg!$E11="medio",0.5,IF(data_status_reg!$E11="alto",1,"falta riesgo")))</f>
        <v>0</v>
      </c>
      <c r="E13" s="313"/>
      <c r="F13" s="313"/>
      <c r="G13" s="312">
        <f>IF(data_status_reg!$E27="bajo",0,IF(data_status_reg!$E27="medio",0.5,IF(data_status_reg!$E27="alto",1,"falta riesgo")))</f>
        <v>0</v>
      </c>
      <c r="H13" s="313"/>
      <c r="I13" s="313"/>
      <c r="J13" s="312">
        <f>IF(data_status_reg!$E43="bajo",0,IF(data_status_reg!$E43="medio",0.5,IF(data_status_reg!$E43="alto",1,"falta riesgo")))</f>
        <v>0</v>
      </c>
      <c r="K13" s="313"/>
      <c r="L13" s="313"/>
      <c r="M13" s="312">
        <f>IF(data_status_reg!$E59="bajo",0,IF(data_status_reg!$E59="medio",0.5,IF(data_status_reg!$E59="alto",1,"falta riesgo")))</f>
        <v>0</v>
      </c>
      <c r="N13" s="310"/>
      <c r="O13" s="340"/>
      <c r="P13" s="312">
        <f>IF(data_status_reg!$E75="bajo",0,IF(data_status_reg!$E75="medio",0.5,IF(data_status_reg!$E75="alto",1,"falta riesgo")))</f>
        <v>0</v>
      </c>
      <c r="Q13" s="328"/>
      <c r="R13" s="3"/>
      <c r="U13" s="11"/>
    </row>
    <row r="14" spans="1:21" ht="21">
      <c r="A14" s="318"/>
      <c r="B14" s="337" t="s">
        <v>31</v>
      </c>
      <c r="C14" s="327"/>
      <c r="D14" s="312">
        <f>IF(data_status_reg!$E12="bajo",0,IF(data_status_reg!$E12="medio",0.5,IF(data_status_reg!$E12="alto",1,"falta riesgo")))</f>
        <v>0</v>
      </c>
      <c r="E14" s="313"/>
      <c r="F14" s="313"/>
      <c r="G14" s="312">
        <f>IF(data_status_reg!$E28="bajo",0,IF(data_status_reg!$E28="medio",0.5,IF(data_status_reg!$E28="alto",1,"falta riesgo")))</f>
        <v>0</v>
      </c>
      <c r="H14" s="313"/>
      <c r="I14" s="313"/>
      <c r="J14" s="312">
        <f>IF(data_status_reg!$E44="bajo",0,IF(data_status_reg!$E44="medio",0.5,IF(data_status_reg!$E44="alto",1,"falta riesgo")))</f>
        <v>0</v>
      </c>
      <c r="K14" s="313"/>
      <c r="L14" s="313"/>
      <c r="M14" s="312">
        <f>IF(data_status_reg!$E60="bajo",0,IF(data_status_reg!$E60="medio",0.5,IF(data_status_reg!$E60="alto",1,"falta riesgo")))</f>
        <v>0</v>
      </c>
      <c r="N14" s="310"/>
      <c r="O14" s="340"/>
      <c r="P14" s="312">
        <f>IF(data_status_reg!$E76="bajo",0,IF(data_status_reg!$E76="medio",0.5,IF(data_status_reg!$E76="alto",1,"falta riesgo")))</f>
        <v>0</v>
      </c>
      <c r="Q14" s="328"/>
      <c r="R14" s="3"/>
    </row>
    <row r="15" spans="1:21" ht="21">
      <c r="A15" s="318"/>
      <c r="B15" s="337" t="s">
        <v>32</v>
      </c>
      <c r="C15" s="327"/>
      <c r="D15" s="312">
        <f>IF(data_status_reg!$E13="bajo",0,IF(data_status_reg!$E13="medio",0.5,IF(data_status_reg!$E13="alto",1,"falta riesgo")))</f>
        <v>0</v>
      </c>
      <c r="E15" s="313"/>
      <c r="F15" s="313"/>
      <c r="G15" s="312">
        <f>IF(data_status_reg!$E29="bajo",0,IF(data_status_reg!$E29="medio",0.5,IF(data_status_reg!$E29="alto",1,"falta riesgo")))</f>
        <v>0</v>
      </c>
      <c r="H15" s="313"/>
      <c r="I15" s="314"/>
      <c r="J15" s="312">
        <f>IF(data_status_reg!$E45="bajo",0,IF(data_status_reg!$E45="medio",0.5,IF(data_status_reg!$E45="alto",1,"falta riesgo")))</f>
        <v>0</v>
      </c>
      <c r="K15" s="314"/>
      <c r="L15" s="314"/>
      <c r="M15" s="312">
        <f>IF(data_status_reg!$E61="bajo",0,IF(data_status_reg!$E61="medio",0.5,IF(data_status_reg!$E61="alto",1,"falta riesgo")))</f>
        <v>0</v>
      </c>
      <c r="N15" s="311"/>
      <c r="O15" s="341"/>
      <c r="P15" s="312">
        <f>IF(data_status_reg!$E77="bajo",0,IF(data_status_reg!$E77="medio",0.5,IF(data_status_reg!$E77="alto",1,"falta riesgo")))</f>
        <v>0</v>
      </c>
      <c r="Q15" s="328"/>
      <c r="R15" s="3"/>
    </row>
    <row r="16" spans="1:21" ht="21">
      <c r="A16" s="318"/>
      <c r="B16" s="337" t="s">
        <v>33</v>
      </c>
      <c r="C16" s="327"/>
      <c r="D16" s="312">
        <f>IF(data_status_reg!$E14="bajo",0,IF(data_status_reg!$E14="medio",0.5,IF(data_status_reg!$E14="alto",1,"falta riesgo")))</f>
        <v>0</v>
      </c>
      <c r="E16" s="313"/>
      <c r="F16" s="313"/>
      <c r="G16" s="312">
        <f>IF(data_status_reg!$E30="bajo",0,IF(data_status_reg!$E30="medio",0.5,IF(data_status_reg!$E30="alto",1,"falta riesgo")))</f>
        <v>0</v>
      </c>
      <c r="H16" s="313"/>
      <c r="I16" s="313"/>
      <c r="J16" s="312">
        <f>IF(data_status_reg!$E46="bajo",0,IF(data_status_reg!$E46="medio",0.5,IF(data_status_reg!$E46="alto",1,"falta riesgo")))</f>
        <v>0</v>
      </c>
      <c r="K16" s="313"/>
      <c r="L16" s="313"/>
      <c r="M16" s="312">
        <f>IF(data_status_reg!$E62="bajo",0,IF(data_status_reg!$E62="medio",0.5,IF(data_status_reg!$E62="alto",1,"falta riesgo")))</f>
        <v>0</v>
      </c>
      <c r="N16" s="310"/>
      <c r="O16" s="340"/>
      <c r="P16" s="312">
        <f>IF(data_status_reg!$E78="bajo",0,IF(data_status_reg!$E78="medio",0.5,IF(data_status_reg!$E78="alto",1,"falta riesgo")))</f>
        <v>0</v>
      </c>
      <c r="Q16" s="328"/>
      <c r="R16" s="3"/>
    </row>
    <row r="17" spans="1:18" ht="21">
      <c r="A17" s="318"/>
      <c r="B17" s="337" t="s">
        <v>34</v>
      </c>
      <c r="C17" s="327"/>
      <c r="D17" s="312">
        <f>IF(data_status_reg!$E15="bajo",0,IF(data_status_reg!$E15="medio",0.5,IF(data_status_reg!$E15="alto",1,"falta riesgo")))</f>
        <v>0</v>
      </c>
      <c r="E17" s="313"/>
      <c r="F17" s="313"/>
      <c r="G17" s="312">
        <f>IF(data_status_reg!$E31="bajo",0,IF(data_status_reg!$E31="medio",0.5,IF(data_status_reg!$E31="alto",1,"falta riesgo")))</f>
        <v>0</v>
      </c>
      <c r="H17" s="313"/>
      <c r="I17" s="313"/>
      <c r="J17" s="312">
        <f>IF(data_status_reg!$E47="bajo",0,IF(data_status_reg!$E47="medio",0.5,IF(data_status_reg!$E47="alto",1,"falta riesgo")))</f>
        <v>0</v>
      </c>
      <c r="K17" s="313"/>
      <c r="L17" s="313"/>
      <c r="M17" s="312">
        <f>IF(data_status_reg!$E63="bajo",0,IF(data_status_reg!$E63="medio",0.5,IF(data_status_reg!$E63="alto",1,"falta riesgo")))</f>
        <v>0</v>
      </c>
      <c r="N17" s="310"/>
      <c r="O17" s="340"/>
      <c r="P17" s="312">
        <f>IF(data_status_reg!$E79="bajo",0,IF(data_status_reg!$E79="medio",0.5,IF(data_status_reg!$E79="alto",1,"falta riesgo")))</f>
        <v>0</v>
      </c>
      <c r="Q17" s="328"/>
      <c r="R17" s="3"/>
    </row>
    <row r="18" spans="1:18" ht="21">
      <c r="A18" s="318"/>
      <c r="B18" s="337" t="s">
        <v>35</v>
      </c>
      <c r="C18" s="327"/>
      <c r="D18" s="312">
        <f>IF(data_status_reg!$E16="bajo",0,IF(data_status_reg!$E16="medio",0.5,IF(data_status_reg!$E16="alto",1,"falta riesgo")))</f>
        <v>0</v>
      </c>
      <c r="E18" s="313"/>
      <c r="F18" s="313"/>
      <c r="G18" s="343" t="s">
        <v>85</v>
      </c>
      <c r="H18" s="313"/>
      <c r="I18" s="313"/>
      <c r="J18" s="312">
        <f>IF(data_status_reg!$E48="bajo",0,IF(data_status_reg!$E48="medio",0.5,IF(data_status_reg!$E48="alto",1,"falta riesgo")))</f>
        <v>0</v>
      </c>
      <c r="K18" s="313"/>
      <c r="M18" s="312">
        <f>IF(data_status_reg!$E64="bajo",0,IF(data_status_reg!$E64="medio",0.5,IF(data_status_reg!$E64="alto",1,"falta riesgo")))</f>
        <v>0</v>
      </c>
      <c r="N18" s="311"/>
      <c r="O18" s="341"/>
      <c r="P18" s="312">
        <f>IF(data_status_reg!$E80="bajo",0,IF(data_status_reg!$E80="medio",0.5,IF(data_status_reg!$E80="alto",1,"falta riesgo")))</f>
        <v>0</v>
      </c>
      <c r="Q18" s="328"/>
      <c r="R18" s="3"/>
    </row>
    <row r="19" spans="1:18" ht="21">
      <c r="A19" s="318"/>
      <c r="B19" s="337" t="s">
        <v>36</v>
      </c>
      <c r="C19" s="327"/>
      <c r="D19" s="312">
        <f>IF(data_status_reg!$E17="bajo",0,IF(data_status_reg!$E17="medio",0.5,IF(data_status_reg!$E17="alto",1,"falta riesgo")))</f>
        <v>0</v>
      </c>
      <c r="E19" s="313"/>
      <c r="F19" s="313"/>
      <c r="G19" s="312">
        <f>IF(data_status_reg!$E33="bajo",0,IF(data_status_reg!$E33="medio",0.5,IF(data_status_reg!$E33="alto",1,"falta riesgo")))</f>
        <v>0</v>
      </c>
      <c r="H19" s="313"/>
      <c r="I19" s="313"/>
      <c r="J19" s="312">
        <f>IF(data_status_reg!$E49="bajo",0,IF(data_status_reg!$E49="medio",0.5,IF(data_status_reg!$E49="alto",1,"falta riesgo")))</f>
        <v>0</v>
      </c>
      <c r="K19" s="313"/>
      <c r="L19" s="313"/>
      <c r="M19" s="312">
        <f>IF(data_status_reg!$E65="bajo",0,IF(data_status_reg!$E65="medio",0.5,IF(data_status_reg!$E65="alto",1,"falta riesgo")))</f>
        <v>0</v>
      </c>
      <c r="N19" s="310"/>
      <c r="O19" s="340"/>
      <c r="P19" s="312">
        <f>IF(data_status_reg!$E81="bajo",0,IF(data_status_reg!$E81="medio",0.5,IF(data_status_reg!$E81="alto",1,"falta riesgo")))</f>
        <v>0</v>
      </c>
      <c r="Q19" s="328"/>
      <c r="R19" s="3"/>
    </row>
    <row r="20" spans="1:18" ht="21">
      <c r="A20" s="318"/>
      <c r="B20" s="337" t="s">
        <v>37</v>
      </c>
      <c r="C20" s="327"/>
      <c r="D20" s="312">
        <f>IF(data_status_reg!$E18="bajo",0,IF(data_status_reg!$E18="medio",0.5,IF(data_status_reg!$E18="alto",1,"falta riesgo")))</f>
        <v>0</v>
      </c>
      <c r="E20" s="313"/>
      <c r="F20" s="313"/>
      <c r="G20" s="312">
        <f>IF(data_status_reg!$E34="bajo",0,IF(data_status_reg!$E34="medio",0.5,IF(data_status_reg!$E34="alto",1,"falta riesgo")))</f>
        <v>0</v>
      </c>
      <c r="H20" s="313"/>
      <c r="I20" s="313"/>
      <c r="J20" s="312">
        <f>IF(data_status_reg!$E50="bajo",0,IF(data_status_reg!$E50="medio",0.5,IF(data_status_reg!$E50="alto",1,"falta riesgo")))</f>
        <v>0</v>
      </c>
      <c r="K20" s="313"/>
      <c r="L20" s="313"/>
      <c r="M20" s="312">
        <f>IF(data_status_reg!$E66="bajo",0,IF(data_status_reg!$E66="medio",0.5,IF(data_status_reg!$E66="alto",1,"falta riesgo")))</f>
        <v>0</v>
      </c>
      <c r="N20" s="310"/>
      <c r="O20" s="340"/>
      <c r="P20" s="312">
        <f>IF(data_status_reg!$E82="bajo",0,IF(data_status_reg!$E82="medio",0.5,IF(data_status_reg!$E82="alto",1,"falta riesgo")))</f>
        <v>0</v>
      </c>
      <c r="Q20" s="328"/>
      <c r="R20" s="3"/>
    </row>
    <row r="21" spans="1:18" ht="21.75" thickBot="1">
      <c r="A21" s="318"/>
      <c r="B21" s="338" t="s">
        <v>38</v>
      </c>
      <c r="C21" s="329"/>
      <c r="D21" s="330">
        <f>IF(data_status_reg!$E19="bajo",0,IF(data_status_reg!$E19="medio",0.5,IF(data_status_reg!$E19="alto",1,"falta riesgo")))</f>
        <v>0</v>
      </c>
      <c r="E21" s="331"/>
      <c r="F21" s="331"/>
      <c r="G21" s="344" t="s">
        <v>85</v>
      </c>
      <c r="H21" s="331"/>
      <c r="I21" s="331"/>
      <c r="J21" s="330">
        <f>IF(data_status_reg!$E51="bajo",0,IF(data_status_reg!$E51="medio",0.5,IF(data_status_reg!$E51="alto",1,"falta riesgo")))</f>
        <v>0</v>
      </c>
      <c r="K21" s="331"/>
      <c r="L21" s="332"/>
      <c r="M21" s="333">
        <f>IF(data_status_reg!$E67="bajo",0,IF(data_status_reg!$E67="medio",0.5,IF(data_status_reg!$E67="alto",1,"falta riesgo")))</f>
        <v>0</v>
      </c>
      <c r="N21" s="334"/>
      <c r="O21" s="342"/>
      <c r="P21" s="330">
        <f>IF(data_status_reg!$E83="bajo",0,IF(data_status_reg!$E83="medio",0.5,IF(data_status_reg!$E83="alto",1,"falta riesgo")))</f>
        <v>0</v>
      </c>
      <c r="Q21" s="335"/>
      <c r="R21" s="3"/>
    </row>
    <row r="22" spans="1:18">
      <c r="A22" s="31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thickBot="1">
      <c r="A23" s="320"/>
      <c r="B23" s="321"/>
      <c r="C23" s="321"/>
      <c r="D23" s="321"/>
      <c r="E23" s="321"/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1"/>
      <c r="Q23" s="321"/>
      <c r="R23" s="321"/>
    </row>
    <row r="26" spans="1:18" outlineLevel="1"/>
    <row r="27" spans="1:18" outlineLevel="1">
      <c r="B27" s="5"/>
      <c r="C27" s="5"/>
      <c r="D27" s="5"/>
      <c r="E27" s="6"/>
    </row>
    <row r="28" spans="1:18" outlineLevel="1">
      <c r="E28" s="4"/>
    </row>
    <row r="29" spans="1:18" outlineLevel="1">
      <c r="E29" s="4"/>
    </row>
    <row r="30" spans="1:18" outlineLevel="1">
      <c r="E30" s="4"/>
    </row>
    <row r="31" spans="1:18" outlineLevel="1">
      <c r="E31" s="4"/>
    </row>
    <row r="32" spans="1:18" outlineLevel="1">
      <c r="E32" s="4"/>
    </row>
    <row r="33" spans="5:5" outlineLevel="1">
      <c r="E33" s="4"/>
    </row>
    <row r="34" spans="5:5" outlineLevel="1">
      <c r="E34" s="4"/>
    </row>
    <row r="35" spans="5:5" outlineLevel="1">
      <c r="E35" s="4"/>
    </row>
    <row r="36" spans="5:5" outlineLevel="1">
      <c r="E36" s="4"/>
    </row>
    <row r="37" spans="5:5" outlineLevel="1">
      <c r="E37" s="4"/>
    </row>
    <row r="38" spans="5:5" outlineLevel="1">
      <c r="E38" s="4"/>
    </row>
    <row r="39" spans="5:5" outlineLevel="1">
      <c r="E39" s="4"/>
    </row>
    <row r="40" spans="5:5" outlineLevel="1">
      <c r="E40" s="4"/>
    </row>
    <row r="41" spans="5:5" outlineLevel="1">
      <c r="E41" s="4"/>
    </row>
    <row r="42" spans="5:5" outlineLevel="1">
      <c r="E42" s="4"/>
    </row>
    <row r="43" spans="5:5" outlineLevel="1">
      <c r="E43" s="4"/>
    </row>
    <row r="44" spans="5:5" outlineLevel="1">
      <c r="E44" s="4"/>
    </row>
    <row r="45" spans="5:5" outlineLevel="1">
      <c r="E45" s="4"/>
    </row>
    <row r="46" spans="5:5" outlineLevel="1">
      <c r="E46" s="4"/>
    </row>
    <row r="47" spans="5:5" outlineLevel="1">
      <c r="E47" s="4"/>
    </row>
    <row r="48" spans="5:5" outlineLevel="1">
      <c r="E48" s="4"/>
    </row>
    <row r="49" spans="5:5" outlineLevel="1">
      <c r="E49" s="4"/>
    </row>
    <row r="50" spans="5:5" outlineLevel="1">
      <c r="E50" s="4"/>
    </row>
    <row r="51" spans="5:5" outlineLevel="1">
      <c r="E51" s="4"/>
    </row>
    <row r="52" spans="5:5" outlineLevel="1">
      <c r="E52" s="4"/>
    </row>
    <row r="53" spans="5:5" outlineLevel="1">
      <c r="E53" s="4"/>
    </row>
    <row r="54" spans="5:5" outlineLevel="1">
      <c r="E54" s="4"/>
    </row>
    <row r="55" spans="5:5" outlineLevel="1">
      <c r="E55" s="4"/>
    </row>
    <row r="56" spans="5:5" outlineLevel="1">
      <c r="E56" s="4"/>
    </row>
    <row r="57" spans="5:5" outlineLevel="1">
      <c r="E57" s="4"/>
    </row>
    <row r="58" spans="5:5" outlineLevel="1">
      <c r="E58" s="4"/>
    </row>
    <row r="59" spans="5:5" outlineLevel="1">
      <c r="E59" s="4"/>
    </row>
    <row r="60" spans="5:5" outlineLevel="1">
      <c r="E60" s="4"/>
    </row>
    <row r="61" spans="5:5" outlineLevel="1">
      <c r="E61" s="4"/>
    </row>
    <row r="62" spans="5:5" outlineLevel="1">
      <c r="E62" s="4"/>
    </row>
    <row r="63" spans="5:5" outlineLevel="1">
      <c r="E63" s="4"/>
    </row>
    <row r="64" spans="5:5" outlineLevel="1">
      <c r="E64" s="4"/>
    </row>
    <row r="65" spans="5:5" outlineLevel="1">
      <c r="E65" s="4"/>
    </row>
    <row r="66" spans="5:5" outlineLevel="1">
      <c r="E66" s="4"/>
    </row>
    <row r="67" spans="5:5" outlineLevel="1">
      <c r="E67" s="4"/>
    </row>
    <row r="68" spans="5:5" outlineLevel="1">
      <c r="E68" s="4"/>
    </row>
    <row r="69" spans="5:5" outlineLevel="1">
      <c r="E69" s="4"/>
    </row>
    <row r="70" spans="5:5" outlineLevel="1">
      <c r="E70" s="4"/>
    </row>
    <row r="71" spans="5:5" outlineLevel="1">
      <c r="E71" s="4"/>
    </row>
    <row r="72" spans="5:5" outlineLevel="1">
      <c r="E72" s="4"/>
    </row>
    <row r="73" spans="5:5" outlineLevel="1">
      <c r="E73" s="4"/>
    </row>
    <row r="74" spans="5:5" outlineLevel="1">
      <c r="E74" s="4"/>
    </row>
    <row r="75" spans="5:5" outlineLevel="1">
      <c r="E75" s="4"/>
    </row>
    <row r="76" spans="5:5" outlineLevel="1">
      <c r="E76" s="4"/>
    </row>
    <row r="77" spans="5:5" outlineLevel="1">
      <c r="E77" s="4"/>
    </row>
    <row r="78" spans="5:5" outlineLevel="1">
      <c r="E78" s="4"/>
    </row>
    <row r="79" spans="5:5" outlineLevel="1">
      <c r="E79" s="4"/>
    </row>
    <row r="80" spans="5:5" outlineLevel="1">
      <c r="E80" s="4"/>
    </row>
    <row r="81" spans="5:5" outlineLevel="1">
      <c r="E81" s="4"/>
    </row>
    <row r="82" spans="5:5" outlineLevel="1">
      <c r="E82" s="4"/>
    </row>
    <row r="83" spans="5:5" outlineLevel="1">
      <c r="E83" s="4"/>
    </row>
    <row r="84" spans="5:5" outlineLevel="1">
      <c r="E84" s="4"/>
    </row>
    <row r="85" spans="5:5" outlineLevel="1">
      <c r="E85" s="4"/>
    </row>
    <row r="86" spans="5:5" outlineLevel="1">
      <c r="E86" s="4"/>
    </row>
    <row r="87" spans="5:5" outlineLevel="1">
      <c r="E87" s="4"/>
    </row>
    <row r="88" spans="5:5" outlineLevel="1">
      <c r="E88" s="4"/>
    </row>
    <row r="89" spans="5:5" outlineLevel="1">
      <c r="E89" s="4"/>
    </row>
    <row r="90" spans="5:5" outlineLevel="1">
      <c r="E90" s="4"/>
    </row>
    <row r="91" spans="5:5" outlineLevel="1">
      <c r="E91" s="4"/>
    </row>
    <row r="92" spans="5:5" outlineLevel="1">
      <c r="E92" s="4"/>
    </row>
    <row r="93" spans="5:5" outlineLevel="1">
      <c r="E93" s="4"/>
    </row>
    <row r="94" spans="5:5" outlineLevel="1">
      <c r="E94" s="4"/>
    </row>
    <row r="95" spans="5:5" outlineLevel="1"/>
    <row r="96" spans="5:5" outlineLevel="1"/>
  </sheetData>
  <mergeCells count="7">
    <mergeCell ref="A1:R1"/>
    <mergeCell ref="A2:R2"/>
    <mergeCell ref="L5:N5"/>
    <mergeCell ref="C5:E5"/>
    <mergeCell ref="F5:H5"/>
    <mergeCell ref="I5:K5"/>
    <mergeCell ref="O5:Q5"/>
  </mergeCells>
  <printOptions horizontalCentered="1" verticalCentered="1"/>
  <pageMargins left="0" right="0" top="0" bottom="0" header="0" footer="0"/>
  <pageSetup paperSize="5" scale="90" orientation="landscape" r:id="rId1"/>
  <headerFooter>
    <oddFooter>&amp;R&amp;P</oddFooter>
  </headerFooter>
  <rowBreaks count="1" manualBreakCount="1">
    <brk id="2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2" id="{8A3749FF-1455-47BB-8310-D19095C4A02D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E21:K21 D7:D21 K7:L17 K18 K19:L20 E7:J20 D6:R6 M7:P21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622C-8D61-4DEA-8CD3-3B78A1155B5C}">
  <sheetPr>
    <tabColor theme="9" tint="0.79998168889431442"/>
  </sheetPr>
  <dimension ref="A1:E57"/>
  <sheetViews>
    <sheetView showGridLines="0" zoomScale="85" zoomScaleNormal="85" workbookViewId="0">
      <selection activeCell="F27" sqref="F27"/>
    </sheetView>
  </sheetViews>
  <sheetFormatPr baseColWidth="10" defaultColWidth="11.42578125" defaultRowHeight="18.75" outlineLevelCol="1"/>
  <cols>
    <col min="1" max="1" width="14.42578125" customWidth="1"/>
    <col min="2" max="2" width="17.85546875" customWidth="1"/>
    <col min="3" max="3" width="73.28515625" style="36" customWidth="1"/>
    <col min="4" max="4" width="11.5703125" style="587" bestFit="1" customWidth="1"/>
    <col min="5" max="5" width="22" style="4" bestFit="1" customWidth="1" outlineLevel="1"/>
  </cols>
  <sheetData>
    <row r="1" spans="1:5">
      <c r="E1" s="6" t="s">
        <v>40</v>
      </c>
    </row>
    <row r="2" spans="1:5" ht="18" customHeight="1">
      <c r="A2" s="10" t="s">
        <v>41</v>
      </c>
      <c r="B2" s="10"/>
    </row>
    <row r="3" spans="1:5" ht="18" customHeight="1">
      <c r="A3" s="10"/>
      <c r="B3" s="10"/>
      <c r="C3" s="37" t="s">
        <v>43</v>
      </c>
      <c r="D3" s="588">
        <f>IF($E3="bajo",0,IF($E3="medio",0.5,IF($E3="alto",1,"falta riesgo")))</f>
        <v>0</v>
      </c>
      <c r="E3" s="4" t="s">
        <v>336</v>
      </c>
    </row>
    <row r="4" spans="1:5" ht="18" customHeight="1">
      <c r="A4" s="10"/>
      <c r="B4" s="10"/>
      <c r="C4" s="37" t="s">
        <v>44</v>
      </c>
      <c r="D4" s="588">
        <f t="shared" ref="D4:D5" si="0">IF($E4="bajo",0,IF($E4="medio",0.5,IF($E4="alto",1,"falta riesgo")))</f>
        <v>0</v>
      </c>
      <c r="E4" s="4" t="s">
        <v>336</v>
      </c>
    </row>
    <row r="5" spans="1:5" ht="18" customHeight="1">
      <c r="A5" s="10"/>
      <c r="B5" s="10"/>
      <c r="C5" s="37" t="s">
        <v>42</v>
      </c>
      <c r="D5" s="588">
        <f t="shared" si="0"/>
        <v>0</v>
      </c>
      <c r="E5" s="4" t="s">
        <v>336</v>
      </c>
    </row>
    <row r="6" spans="1:5" ht="18" customHeight="1">
      <c r="A6" s="10"/>
      <c r="B6" s="10"/>
      <c r="C6" s="37"/>
      <c r="D6" s="588"/>
    </row>
    <row r="7" spans="1:5" ht="18" customHeight="1">
      <c r="A7" s="10" t="s">
        <v>45</v>
      </c>
      <c r="B7" s="10"/>
      <c r="C7" s="37" t="s">
        <v>46</v>
      </c>
      <c r="D7" s="588">
        <f>IF($E7="bajo",0,IF($E7="medio",0.5,IF($E7="alto",1,"falta riesgo")))</f>
        <v>0</v>
      </c>
      <c r="E7" s="4" t="s">
        <v>336</v>
      </c>
    </row>
    <row r="8" spans="1:5" ht="18" customHeight="1">
      <c r="A8" s="10"/>
      <c r="B8" s="10"/>
      <c r="C8" s="37" t="s">
        <v>47</v>
      </c>
      <c r="D8" s="588">
        <f t="shared" ref="D8:D11" si="1">IF($E8="bajo",0,IF($E8="medio",0.5,IF($E8="alto",1,"falta riesgo")))</f>
        <v>0</v>
      </c>
      <c r="E8" s="4" t="s">
        <v>336</v>
      </c>
    </row>
    <row r="9" spans="1:5" ht="18" customHeight="1">
      <c r="A9" s="10"/>
      <c r="B9" s="10"/>
      <c r="C9" s="37" t="s">
        <v>48</v>
      </c>
      <c r="D9" s="588">
        <f t="shared" si="1"/>
        <v>0</v>
      </c>
      <c r="E9" s="4" t="s">
        <v>336</v>
      </c>
    </row>
    <row r="10" spans="1:5" ht="18" customHeight="1">
      <c r="A10" s="10"/>
      <c r="B10" s="10"/>
      <c r="C10" s="37" t="s">
        <v>49</v>
      </c>
      <c r="D10" s="588">
        <f t="shared" si="1"/>
        <v>0</v>
      </c>
      <c r="E10" s="4" t="s">
        <v>336</v>
      </c>
    </row>
    <row r="11" spans="1:5" ht="18" customHeight="1">
      <c r="A11" s="10"/>
      <c r="B11" s="10"/>
      <c r="C11" s="37" t="s">
        <v>206</v>
      </c>
      <c r="D11" s="588">
        <f t="shared" si="1"/>
        <v>0</v>
      </c>
      <c r="E11" s="4" t="s">
        <v>336</v>
      </c>
    </row>
    <row r="12" spans="1:5" ht="18" customHeight="1">
      <c r="A12" s="10"/>
      <c r="B12" s="10"/>
      <c r="C12" s="37"/>
      <c r="D12" s="588"/>
    </row>
    <row r="13" spans="1:5" ht="18" customHeight="1">
      <c r="A13" s="10" t="s">
        <v>18</v>
      </c>
      <c r="B13" s="10"/>
      <c r="C13" s="37" t="s">
        <v>207</v>
      </c>
      <c r="D13" s="588">
        <f t="shared" ref="D13:D53" si="2">IF($E13="bajo",0,IF($E13="medio",0.5,IF($E13="alto",1,"falta riesgo")))</f>
        <v>0</v>
      </c>
      <c r="E13" s="4" t="s">
        <v>336</v>
      </c>
    </row>
    <row r="14" spans="1:5" ht="18" customHeight="1">
      <c r="A14" s="10"/>
      <c r="B14" s="10"/>
      <c r="C14" s="37" t="s">
        <v>208</v>
      </c>
      <c r="D14" s="588">
        <f t="shared" si="2"/>
        <v>0</v>
      </c>
      <c r="E14" s="4" t="s">
        <v>336</v>
      </c>
    </row>
    <row r="15" spans="1:5" ht="18" customHeight="1">
      <c r="A15" s="10"/>
      <c r="B15" s="10"/>
      <c r="C15" s="37" t="s">
        <v>209</v>
      </c>
      <c r="D15" s="588">
        <f t="shared" si="2"/>
        <v>0</v>
      </c>
      <c r="E15" s="4" t="s">
        <v>336</v>
      </c>
    </row>
    <row r="16" spans="1:5" ht="21">
      <c r="A16" s="10"/>
      <c r="B16" s="10"/>
      <c r="C16" s="37" t="s">
        <v>50</v>
      </c>
      <c r="D16" s="588">
        <f t="shared" si="2"/>
        <v>0</v>
      </c>
      <c r="E16" s="4" t="s">
        <v>336</v>
      </c>
    </row>
    <row r="17" spans="1:5" ht="18" customHeight="1">
      <c r="A17" s="10"/>
      <c r="B17" s="10"/>
      <c r="C17" s="37"/>
      <c r="D17" s="588"/>
    </row>
    <row r="18" spans="1:5" ht="18" customHeight="1">
      <c r="A18" s="10" t="s">
        <v>19</v>
      </c>
      <c r="B18" s="10"/>
      <c r="C18" s="37" t="s">
        <v>51</v>
      </c>
      <c r="D18" s="588">
        <f t="shared" si="2"/>
        <v>0</v>
      </c>
      <c r="E18" s="4" t="s">
        <v>336</v>
      </c>
    </row>
    <row r="19" spans="1:5" ht="18" customHeight="1">
      <c r="A19" s="10"/>
      <c r="B19" s="10"/>
      <c r="C19" s="37" t="s">
        <v>52</v>
      </c>
      <c r="D19" s="588">
        <f t="shared" si="2"/>
        <v>0</v>
      </c>
      <c r="E19" s="4" t="s">
        <v>336</v>
      </c>
    </row>
    <row r="20" spans="1:5" ht="18" customHeight="1">
      <c r="A20" s="10"/>
      <c r="B20" s="10"/>
      <c r="C20" s="37" t="s">
        <v>53</v>
      </c>
      <c r="D20" s="588">
        <f t="shared" si="2"/>
        <v>0</v>
      </c>
      <c r="E20" s="4" t="s">
        <v>336</v>
      </c>
    </row>
    <row r="21" spans="1:5" ht="18" customHeight="1">
      <c r="A21" s="10"/>
      <c r="B21" s="10"/>
      <c r="C21" s="37" t="s">
        <v>211</v>
      </c>
      <c r="D21" s="588">
        <f t="shared" si="2"/>
        <v>0</v>
      </c>
      <c r="E21" s="4" t="s">
        <v>336</v>
      </c>
    </row>
    <row r="22" spans="1:5" ht="18" customHeight="1">
      <c r="A22" s="10"/>
      <c r="B22" s="10"/>
      <c r="C22" s="37"/>
      <c r="D22" s="588"/>
    </row>
    <row r="23" spans="1:5" ht="18" customHeight="1">
      <c r="A23" s="10" t="s">
        <v>17</v>
      </c>
      <c r="B23" s="10"/>
      <c r="C23" s="37" t="s">
        <v>54</v>
      </c>
      <c r="D23" s="588">
        <f t="shared" si="2"/>
        <v>0</v>
      </c>
      <c r="E23" s="4" t="s">
        <v>336</v>
      </c>
    </row>
    <row r="24" spans="1:5" ht="22.5" customHeight="1">
      <c r="A24" s="10"/>
      <c r="B24" s="10"/>
      <c r="C24" s="37" t="s">
        <v>55</v>
      </c>
      <c r="D24" s="588">
        <f t="shared" si="2"/>
        <v>0</v>
      </c>
      <c r="E24" s="4" t="s">
        <v>336</v>
      </c>
    </row>
    <row r="25" spans="1:5" ht="18" customHeight="1">
      <c r="A25" s="10"/>
      <c r="B25" s="10"/>
      <c r="C25" s="37" t="s">
        <v>56</v>
      </c>
      <c r="D25" s="588">
        <f t="shared" si="2"/>
        <v>0</v>
      </c>
      <c r="E25" s="4" t="s">
        <v>336</v>
      </c>
    </row>
    <row r="26" spans="1:5" ht="18" customHeight="1">
      <c r="A26" s="10"/>
      <c r="B26" s="10"/>
      <c r="C26" s="37" t="s">
        <v>57</v>
      </c>
      <c r="D26" s="588">
        <f t="shared" si="2"/>
        <v>0</v>
      </c>
      <c r="E26" s="4" t="s">
        <v>336</v>
      </c>
    </row>
    <row r="27" spans="1:5" ht="18" customHeight="1">
      <c r="A27" s="10"/>
      <c r="B27" s="10"/>
      <c r="C27" s="37" t="s">
        <v>58</v>
      </c>
      <c r="D27" s="588">
        <f t="shared" si="2"/>
        <v>0</v>
      </c>
      <c r="E27" s="4" t="s">
        <v>336</v>
      </c>
    </row>
    <row r="28" spans="1:5" ht="18" customHeight="1">
      <c r="A28" s="10"/>
      <c r="B28" s="10"/>
      <c r="C28" s="37" t="s">
        <v>59</v>
      </c>
      <c r="D28" s="588">
        <f t="shared" si="2"/>
        <v>0</v>
      </c>
      <c r="E28" s="4" t="s">
        <v>336</v>
      </c>
    </row>
    <row r="29" spans="1:5" ht="18" customHeight="1">
      <c r="A29" s="10"/>
      <c r="B29" s="10"/>
      <c r="C29" s="37" t="s">
        <v>60</v>
      </c>
      <c r="D29" s="588">
        <f t="shared" si="2"/>
        <v>0</v>
      </c>
      <c r="E29" s="4" t="s">
        <v>336</v>
      </c>
    </row>
    <row r="30" spans="1:5" ht="18" customHeight="1">
      <c r="A30" s="10"/>
      <c r="B30" s="10"/>
      <c r="C30" s="37" t="s">
        <v>61</v>
      </c>
      <c r="D30" s="588">
        <f t="shared" si="2"/>
        <v>0</v>
      </c>
      <c r="E30" s="4" t="s">
        <v>336</v>
      </c>
    </row>
    <row r="31" spans="1:5" ht="18" customHeight="1">
      <c r="A31" s="10"/>
      <c r="B31" s="10"/>
      <c r="C31" s="37"/>
      <c r="D31" s="588"/>
    </row>
    <row r="32" spans="1:5" ht="18" customHeight="1">
      <c r="A32" s="10" t="s">
        <v>16</v>
      </c>
      <c r="B32" s="10"/>
      <c r="C32" s="37" t="s">
        <v>62</v>
      </c>
      <c r="D32" s="588">
        <f t="shared" si="2"/>
        <v>0</v>
      </c>
      <c r="E32" s="4" t="s">
        <v>336</v>
      </c>
    </row>
    <row r="33" spans="1:5" ht="18" customHeight="1">
      <c r="A33" s="10"/>
      <c r="B33" s="10"/>
      <c r="C33" s="37" t="s">
        <v>63</v>
      </c>
      <c r="D33" s="588">
        <f t="shared" si="2"/>
        <v>0</v>
      </c>
      <c r="E33" s="4" t="s">
        <v>336</v>
      </c>
    </row>
    <row r="34" spans="1:5" ht="18" customHeight="1">
      <c r="A34" s="10"/>
      <c r="B34" s="10"/>
      <c r="C34" s="37" t="s">
        <v>64</v>
      </c>
      <c r="D34" s="588">
        <f t="shared" si="2"/>
        <v>0</v>
      </c>
      <c r="E34" s="4" t="s">
        <v>336</v>
      </c>
    </row>
    <row r="35" spans="1:5" ht="18" customHeight="1">
      <c r="A35" s="10"/>
      <c r="B35" s="10"/>
      <c r="C35" s="37" t="s">
        <v>65</v>
      </c>
      <c r="D35" s="588">
        <f t="shared" si="2"/>
        <v>0</v>
      </c>
      <c r="E35" s="4" t="s">
        <v>336</v>
      </c>
    </row>
    <row r="36" spans="1:5" ht="18" customHeight="1">
      <c r="A36" s="10"/>
      <c r="B36" s="10"/>
      <c r="C36" s="37" t="s">
        <v>66</v>
      </c>
      <c r="D36" s="588">
        <f t="shared" si="2"/>
        <v>0</v>
      </c>
      <c r="E36" s="4" t="s">
        <v>336</v>
      </c>
    </row>
    <row r="37" spans="1:5" ht="21" customHeight="1">
      <c r="A37" s="10"/>
      <c r="B37" s="10"/>
      <c r="C37" s="37" t="s">
        <v>210</v>
      </c>
      <c r="D37" s="588">
        <f t="shared" si="2"/>
        <v>0</v>
      </c>
      <c r="E37" s="4" t="s">
        <v>336</v>
      </c>
    </row>
    <row r="38" spans="1:5" ht="21" customHeight="1">
      <c r="A38" s="10"/>
      <c r="B38" s="10"/>
      <c r="C38" s="37"/>
      <c r="D38" s="588"/>
    </row>
    <row r="39" spans="1:5" ht="18" customHeight="1">
      <c r="A39" s="10" t="s">
        <v>20</v>
      </c>
      <c r="B39" s="10"/>
      <c r="C39" s="37" t="s">
        <v>67</v>
      </c>
      <c r="D39" s="588">
        <f t="shared" si="2"/>
        <v>0</v>
      </c>
      <c r="E39" s="4" t="s">
        <v>336</v>
      </c>
    </row>
    <row r="40" spans="1:5" ht="18" customHeight="1">
      <c r="A40" s="10"/>
      <c r="B40" s="10"/>
      <c r="C40" s="37" t="s">
        <v>68</v>
      </c>
      <c r="D40" s="588">
        <f t="shared" si="2"/>
        <v>0</v>
      </c>
      <c r="E40" s="4" t="s">
        <v>336</v>
      </c>
    </row>
    <row r="41" spans="1:5" ht="18" customHeight="1">
      <c r="A41" s="10"/>
      <c r="B41" s="10"/>
      <c r="C41" s="37" t="s">
        <v>69</v>
      </c>
      <c r="D41" s="588">
        <f t="shared" si="2"/>
        <v>0</v>
      </c>
      <c r="E41" s="4" t="s">
        <v>336</v>
      </c>
    </row>
    <row r="42" spans="1:5" ht="18" customHeight="1">
      <c r="A42" s="10"/>
      <c r="B42" s="10"/>
      <c r="C42" s="37" t="s">
        <v>70</v>
      </c>
      <c r="D42" s="588">
        <f t="shared" si="2"/>
        <v>0</v>
      </c>
      <c r="E42" s="4" t="s">
        <v>336</v>
      </c>
    </row>
    <row r="43" spans="1:5" ht="18" customHeight="1">
      <c r="A43" s="10"/>
      <c r="B43" s="10"/>
      <c r="C43" s="37" t="s">
        <v>71</v>
      </c>
      <c r="D43" s="588">
        <f t="shared" si="2"/>
        <v>0</v>
      </c>
      <c r="E43" s="4" t="s">
        <v>336</v>
      </c>
    </row>
    <row r="44" spans="1:5" ht="18" customHeight="1">
      <c r="A44" s="10"/>
      <c r="B44" s="10"/>
      <c r="C44" s="37" t="s">
        <v>212</v>
      </c>
      <c r="D44" s="588">
        <f t="shared" si="2"/>
        <v>0</v>
      </c>
      <c r="E44" s="4" t="s">
        <v>336</v>
      </c>
    </row>
    <row r="45" spans="1:5" ht="20.25" customHeight="1">
      <c r="A45" s="10"/>
      <c r="B45" s="10"/>
      <c r="C45" s="37" t="s">
        <v>72</v>
      </c>
      <c r="D45" s="588">
        <f t="shared" si="2"/>
        <v>0</v>
      </c>
      <c r="E45" s="4" t="s">
        <v>336</v>
      </c>
    </row>
    <row r="46" spans="1:5" ht="18" customHeight="1">
      <c r="A46" s="10"/>
      <c r="B46" s="10"/>
      <c r="C46" s="37"/>
      <c r="D46" s="588"/>
    </row>
    <row r="47" spans="1:5" ht="18" customHeight="1">
      <c r="A47" s="10" t="s">
        <v>22</v>
      </c>
      <c r="B47" s="10"/>
      <c r="C47" s="37" t="s">
        <v>73</v>
      </c>
      <c r="D47" s="588">
        <f t="shared" si="2"/>
        <v>0</v>
      </c>
      <c r="E47" s="4" t="s">
        <v>336</v>
      </c>
    </row>
    <row r="48" spans="1:5" ht="18" customHeight="1">
      <c r="A48" s="10"/>
      <c r="B48" s="10"/>
      <c r="C48" s="37" t="s">
        <v>74</v>
      </c>
      <c r="D48" s="588">
        <f t="shared" si="2"/>
        <v>0</v>
      </c>
      <c r="E48" s="4" t="s">
        <v>336</v>
      </c>
    </row>
    <row r="49" spans="1:5" ht="18" customHeight="1">
      <c r="A49" s="10"/>
      <c r="B49" s="10"/>
      <c r="C49" s="37" t="s">
        <v>75</v>
      </c>
      <c r="D49" s="588">
        <f t="shared" si="2"/>
        <v>0</v>
      </c>
      <c r="E49" s="4" t="s">
        <v>336</v>
      </c>
    </row>
    <row r="50" spans="1:5" ht="18" customHeight="1">
      <c r="A50" s="10"/>
      <c r="B50" s="10"/>
      <c r="C50" s="37" t="s">
        <v>76</v>
      </c>
      <c r="D50" s="588">
        <f t="shared" si="2"/>
        <v>0</v>
      </c>
      <c r="E50" s="4" t="s">
        <v>336</v>
      </c>
    </row>
    <row r="51" spans="1:5" ht="18" customHeight="1">
      <c r="A51" s="10"/>
      <c r="B51" s="10"/>
      <c r="C51" s="37" t="s">
        <v>77</v>
      </c>
      <c r="D51" s="588">
        <f t="shared" si="2"/>
        <v>0</v>
      </c>
      <c r="E51" s="4" t="s">
        <v>336</v>
      </c>
    </row>
    <row r="52" spans="1:5" ht="18" customHeight="1">
      <c r="A52" s="10"/>
      <c r="B52" s="10"/>
      <c r="C52" s="37" t="s">
        <v>78</v>
      </c>
      <c r="D52" s="588">
        <f t="shared" si="2"/>
        <v>0</v>
      </c>
      <c r="E52" s="4" t="s">
        <v>336</v>
      </c>
    </row>
    <row r="53" spans="1:5" ht="18" customHeight="1">
      <c r="A53" s="10"/>
      <c r="B53" s="10"/>
      <c r="C53" s="37" t="s">
        <v>79</v>
      </c>
      <c r="D53" s="588">
        <f t="shared" si="2"/>
        <v>0</v>
      </c>
      <c r="E53" s="4" t="s">
        <v>336</v>
      </c>
    </row>
    <row r="54" spans="1:5">
      <c r="D54" s="589"/>
    </row>
    <row r="55" spans="1:5">
      <c r="D55" s="589"/>
    </row>
    <row r="56" spans="1:5">
      <c r="D56" s="589"/>
    </row>
    <row r="57" spans="1:5">
      <c r="D57" s="589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4" id="{289D36AF-E676-49E1-BECF-6CC4B8AAC096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D3:D53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5CA2-3C0C-49EC-93D2-60B7FC0752B3}">
  <dimension ref="B3:E83"/>
  <sheetViews>
    <sheetView workbookViewId="0">
      <selection activeCell="E4" sqref="E4:E83"/>
    </sheetView>
  </sheetViews>
  <sheetFormatPr baseColWidth="10" defaultRowHeight="15"/>
  <cols>
    <col min="2" max="2" width="14" customWidth="1"/>
    <col min="3" max="3" width="22.85546875" customWidth="1"/>
    <col min="4" max="4" width="17.5703125" customWidth="1"/>
  </cols>
  <sheetData>
    <row r="3" spans="2:5" ht="18.75" customHeight="1">
      <c r="B3" s="75" t="s">
        <v>86</v>
      </c>
      <c r="C3" s="75" t="s">
        <v>39</v>
      </c>
      <c r="D3" s="75" t="s">
        <v>110</v>
      </c>
      <c r="E3" s="75" t="s">
        <v>111</v>
      </c>
    </row>
    <row r="4" spans="2:5">
      <c r="B4" s="2" t="s">
        <v>217</v>
      </c>
      <c r="C4" s="2" t="s">
        <v>222</v>
      </c>
      <c r="D4" s="2" t="s">
        <v>23</v>
      </c>
      <c r="E4" s="76" t="s">
        <v>13</v>
      </c>
    </row>
    <row r="5" spans="2:5">
      <c r="B5" s="2" t="s">
        <v>217</v>
      </c>
      <c r="C5" s="2" t="s">
        <v>223</v>
      </c>
      <c r="D5" s="2" t="s">
        <v>24</v>
      </c>
      <c r="E5" s="76" t="s">
        <v>13</v>
      </c>
    </row>
    <row r="6" spans="2:5">
      <c r="B6" s="2" t="s">
        <v>217</v>
      </c>
      <c r="C6" s="2" t="s">
        <v>224</v>
      </c>
      <c r="D6" s="2" t="s">
        <v>25</v>
      </c>
      <c r="E6" s="76" t="s">
        <v>13</v>
      </c>
    </row>
    <row r="7" spans="2:5">
      <c r="B7" s="2" t="s">
        <v>217</v>
      </c>
      <c r="C7" s="2" t="s">
        <v>225</v>
      </c>
      <c r="D7" s="2" t="s">
        <v>26</v>
      </c>
      <c r="E7" s="76" t="s">
        <v>13</v>
      </c>
    </row>
    <row r="8" spans="2:5">
      <c r="B8" s="2" t="s">
        <v>217</v>
      </c>
      <c r="C8" s="2" t="s">
        <v>226</v>
      </c>
      <c r="D8" s="2" t="s">
        <v>27</v>
      </c>
      <c r="E8" s="76" t="s">
        <v>13</v>
      </c>
    </row>
    <row r="9" spans="2:5">
      <c r="B9" s="2" t="s">
        <v>217</v>
      </c>
      <c r="C9" s="2" t="s">
        <v>227</v>
      </c>
      <c r="D9" s="2" t="s">
        <v>28</v>
      </c>
      <c r="E9" s="76" t="s">
        <v>13</v>
      </c>
    </row>
    <row r="10" spans="2:5">
      <c r="B10" s="2" t="s">
        <v>217</v>
      </c>
      <c r="C10" s="2" t="s">
        <v>228</v>
      </c>
      <c r="D10" s="2" t="s">
        <v>29</v>
      </c>
      <c r="E10" s="76" t="s">
        <v>13</v>
      </c>
    </row>
    <row r="11" spans="2:5">
      <c r="B11" s="2" t="s">
        <v>217</v>
      </c>
      <c r="C11" s="2" t="s">
        <v>229</v>
      </c>
      <c r="D11" s="2" t="s">
        <v>30</v>
      </c>
      <c r="E11" s="76" t="s">
        <v>13</v>
      </c>
    </row>
    <row r="12" spans="2:5">
      <c r="B12" s="2" t="s">
        <v>217</v>
      </c>
      <c r="C12" s="2" t="s">
        <v>230</v>
      </c>
      <c r="D12" s="2" t="s">
        <v>216</v>
      </c>
      <c r="E12" s="76" t="s">
        <v>13</v>
      </c>
    </row>
    <row r="13" spans="2:5">
      <c r="B13" s="2" t="s">
        <v>217</v>
      </c>
      <c r="C13" s="2" t="s">
        <v>231</v>
      </c>
      <c r="D13" s="2" t="s">
        <v>32</v>
      </c>
      <c r="E13" s="76" t="s">
        <v>13</v>
      </c>
    </row>
    <row r="14" spans="2:5">
      <c r="B14" s="2" t="s">
        <v>217</v>
      </c>
      <c r="C14" s="2" t="s">
        <v>232</v>
      </c>
      <c r="D14" s="2" t="s">
        <v>33</v>
      </c>
      <c r="E14" s="76" t="s">
        <v>13</v>
      </c>
    </row>
    <row r="15" spans="2:5">
      <c r="B15" s="2" t="s">
        <v>217</v>
      </c>
      <c r="C15" s="2" t="s">
        <v>233</v>
      </c>
      <c r="D15" s="2" t="s">
        <v>34</v>
      </c>
      <c r="E15" s="76" t="s">
        <v>13</v>
      </c>
    </row>
    <row r="16" spans="2:5">
      <c r="B16" s="2" t="s">
        <v>217</v>
      </c>
      <c r="C16" s="2" t="s">
        <v>234</v>
      </c>
      <c r="D16" s="2" t="s">
        <v>35</v>
      </c>
      <c r="E16" s="76" t="s">
        <v>13</v>
      </c>
    </row>
    <row r="17" spans="2:5">
      <c r="B17" s="2" t="s">
        <v>217</v>
      </c>
      <c r="C17" s="2" t="s">
        <v>235</v>
      </c>
      <c r="D17" s="2" t="s">
        <v>36</v>
      </c>
      <c r="E17" s="76" t="s">
        <v>13</v>
      </c>
    </row>
    <row r="18" spans="2:5">
      <c r="B18" s="2" t="s">
        <v>217</v>
      </c>
      <c r="C18" s="2" t="s">
        <v>236</v>
      </c>
      <c r="D18" s="2" t="s">
        <v>37</v>
      </c>
      <c r="E18" s="76" t="s">
        <v>13</v>
      </c>
    </row>
    <row r="19" spans="2:5">
      <c r="B19" s="2" t="s">
        <v>217</v>
      </c>
      <c r="C19" s="2" t="s">
        <v>237</v>
      </c>
      <c r="D19" s="2" t="s">
        <v>38</v>
      </c>
      <c r="E19" s="76" t="s">
        <v>13</v>
      </c>
    </row>
    <row r="20" spans="2:5">
      <c r="B20" s="77" t="s">
        <v>218</v>
      </c>
      <c r="C20" s="77" t="s">
        <v>238</v>
      </c>
      <c r="D20" s="77" t="s">
        <v>23</v>
      </c>
      <c r="E20" s="76" t="s">
        <v>13</v>
      </c>
    </row>
    <row r="21" spans="2:5">
      <c r="B21" s="77" t="s">
        <v>218</v>
      </c>
      <c r="C21" s="77" t="s">
        <v>239</v>
      </c>
      <c r="D21" s="77" t="s">
        <v>24</v>
      </c>
      <c r="E21" s="76" t="s">
        <v>13</v>
      </c>
    </row>
    <row r="22" spans="2:5">
      <c r="B22" s="77" t="s">
        <v>218</v>
      </c>
      <c r="C22" s="77" t="s">
        <v>240</v>
      </c>
      <c r="D22" s="77" t="s">
        <v>25</v>
      </c>
      <c r="E22" s="76" t="s">
        <v>13</v>
      </c>
    </row>
    <row r="23" spans="2:5">
      <c r="B23" s="77" t="s">
        <v>218</v>
      </c>
      <c r="C23" s="77" t="s">
        <v>241</v>
      </c>
      <c r="D23" s="77" t="s">
        <v>26</v>
      </c>
      <c r="E23" s="76" t="s">
        <v>13</v>
      </c>
    </row>
    <row r="24" spans="2:5">
      <c r="B24" s="77" t="s">
        <v>218</v>
      </c>
      <c r="C24" s="77" t="s">
        <v>242</v>
      </c>
      <c r="D24" s="77" t="s">
        <v>27</v>
      </c>
      <c r="E24" s="76" t="s">
        <v>13</v>
      </c>
    </row>
    <row r="25" spans="2:5">
      <c r="B25" s="77" t="s">
        <v>218</v>
      </c>
      <c r="C25" s="77" t="s">
        <v>243</v>
      </c>
      <c r="D25" s="77" t="s">
        <v>28</v>
      </c>
      <c r="E25" s="76" t="s">
        <v>13</v>
      </c>
    </row>
    <row r="26" spans="2:5">
      <c r="B26" s="77" t="s">
        <v>218</v>
      </c>
      <c r="C26" s="77" t="s">
        <v>244</v>
      </c>
      <c r="D26" s="77" t="s">
        <v>29</v>
      </c>
      <c r="E26" s="76" t="s">
        <v>13</v>
      </c>
    </row>
    <row r="27" spans="2:5">
      <c r="B27" s="77" t="s">
        <v>218</v>
      </c>
      <c r="C27" s="77" t="s">
        <v>245</v>
      </c>
      <c r="D27" s="77" t="s">
        <v>30</v>
      </c>
      <c r="E27" s="76" t="s">
        <v>13</v>
      </c>
    </row>
    <row r="28" spans="2:5">
      <c r="B28" s="77" t="s">
        <v>218</v>
      </c>
      <c r="C28" s="77" t="s">
        <v>246</v>
      </c>
      <c r="D28" s="77" t="s">
        <v>216</v>
      </c>
      <c r="E28" s="76" t="s">
        <v>13</v>
      </c>
    </row>
    <row r="29" spans="2:5">
      <c r="B29" s="77" t="s">
        <v>218</v>
      </c>
      <c r="C29" s="77" t="s">
        <v>247</v>
      </c>
      <c r="D29" s="77" t="s">
        <v>32</v>
      </c>
      <c r="E29" s="76" t="s">
        <v>13</v>
      </c>
    </row>
    <row r="30" spans="2:5">
      <c r="B30" s="77" t="s">
        <v>218</v>
      </c>
      <c r="C30" s="77" t="s">
        <v>248</v>
      </c>
      <c r="D30" s="77" t="s">
        <v>33</v>
      </c>
      <c r="E30" s="76" t="s">
        <v>13</v>
      </c>
    </row>
    <row r="31" spans="2:5">
      <c r="B31" s="77" t="s">
        <v>218</v>
      </c>
      <c r="C31" s="77" t="s">
        <v>249</v>
      </c>
      <c r="D31" s="77" t="s">
        <v>34</v>
      </c>
      <c r="E31" s="76" t="s">
        <v>13</v>
      </c>
    </row>
    <row r="32" spans="2:5">
      <c r="B32" s="77" t="s">
        <v>218</v>
      </c>
      <c r="C32" s="77" t="s">
        <v>250</v>
      </c>
      <c r="D32" s="77" t="s">
        <v>35</v>
      </c>
      <c r="E32" s="76" t="s">
        <v>85</v>
      </c>
    </row>
    <row r="33" spans="2:5">
      <c r="B33" s="77" t="s">
        <v>218</v>
      </c>
      <c r="C33" s="77" t="s">
        <v>251</v>
      </c>
      <c r="D33" s="77" t="s">
        <v>36</v>
      </c>
      <c r="E33" s="76" t="s">
        <v>13</v>
      </c>
    </row>
    <row r="34" spans="2:5">
      <c r="B34" s="77" t="s">
        <v>218</v>
      </c>
      <c r="C34" s="77" t="s">
        <v>252</v>
      </c>
      <c r="D34" s="77" t="s">
        <v>37</v>
      </c>
      <c r="E34" s="76" t="s">
        <v>13</v>
      </c>
    </row>
    <row r="35" spans="2:5">
      <c r="B35" s="77" t="s">
        <v>218</v>
      </c>
      <c r="C35" s="77" t="s">
        <v>253</v>
      </c>
      <c r="D35" s="77" t="s">
        <v>38</v>
      </c>
      <c r="E35" s="76" t="s">
        <v>85</v>
      </c>
    </row>
    <row r="36" spans="2:5">
      <c r="B36" s="74" t="s">
        <v>219</v>
      </c>
      <c r="C36" s="2" t="s">
        <v>254</v>
      </c>
      <c r="D36" s="2" t="s">
        <v>23</v>
      </c>
      <c r="E36" s="76" t="s">
        <v>13</v>
      </c>
    </row>
    <row r="37" spans="2:5">
      <c r="B37" s="74" t="s">
        <v>219</v>
      </c>
      <c r="C37" s="2" t="s">
        <v>255</v>
      </c>
      <c r="D37" s="2" t="s">
        <v>24</v>
      </c>
      <c r="E37" s="76" t="s">
        <v>13</v>
      </c>
    </row>
    <row r="38" spans="2:5">
      <c r="B38" s="74" t="s">
        <v>219</v>
      </c>
      <c r="C38" s="2" t="s">
        <v>256</v>
      </c>
      <c r="D38" s="2" t="s">
        <v>25</v>
      </c>
      <c r="E38" s="76" t="s">
        <v>13</v>
      </c>
    </row>
    <row r="39" spans="2:5">
      <c r="B39" s="74" t="s">
        <v>219</v>
      </c>
      <c r="C39" s="2" t="s">
        <v>257</v>
      </c>
      <c r="D39" s="2" t="s">
        <v>26</v>
      </c>
      <c r="E39" s="76" t="s">
        <v>13</v>
      </c>
    </row>
    <row r="40" spans="2:5">
      <c r="B40" s="74" t="s">
        <v>219</v>
      </c>
      <c r="C40" s="2" t="s">
        <v>258</v>
      </c>
      <c r="D40" s="2" t="s">
        <v>27</v>
      </c>
      <c r="E40" s="76" t="s">
        <v>13</v>
      </c>
    </row>
    <row r="41" spans="2:5">
      <c r="B41" s="74" t="s">
        <v>219</v>
      </c>
      <c r="C41" s="2" t="s">
        <v>259</v>
      </c>
      <c r="D41" s="2" t="s">
        <v>28</v>
      </c>
      <c r="E41" s="76" t="s">
        <v>13</v>
      </c>
    </row>
    <row r="42" spans="2:5">
      <c r="B42" s="74" t="s">
        <v>219</v>
      </c>
      <c r="C42" s="2" t="s">
        <v>260</v>
      </c>
      <c r="D42" s="2" t="s">
        <v>29</v>
      </c>
      <c r="E42" s="76" t="s">
        <v>13</v>
      </c>
    </row>
    <row r="43" spans="2:5">
      <c r="B43" s="74" t="s">
        <v>219</v>
      </c>
      <c r="C43" s="2" t="s">
        <v>261</v>
      </c>
      <c r="D43" s="2" t="s">
        <v>30</v>
      </c>
      <c r="E43" s="76" t="s">
        <v>13</v>
      </c>
    </row>
    <row r="44" spans="2:5">
      <c r="B44" s="74" t="s">
        <v>219</v>
      </c>
      <c r="C44" s="2" t="s">
        <v>262</v>
      </c>
      <c r="D44" s="2" t="s">
        <v>216</v>
      </c>
      <c r="E44" s="76" t="s">
        <v>13</v>
      </c>
    </row>
    <row r="45" spans="2:5">
      <c r="B45" s="74" t="s">
        <v>219</v>
      </c>
      <c r="C45" s="2" t="s">
        <v>263</v>
      </c>
      <c r="D45" s="2" t="s">
        <v>32</v>
      </c>
      <c r="E45" s="76" t="s">
        <v>13</v>
      </c>
    </row>
    <row r="46" spans="2:5">
      <c r="B46" s="74" t="s">
        <v>219</v>
      </c>
      <c r="C46" s="2" t="s">
        <v>264</v>
      </c>
      <c r="D46" s="2" t="s">
        <v>33</v>
      </c>
      <c r="E46" s="76" t="s">
        <v>13</v>
      </c>
    </row>
    <row r="47" spans="2:5">
      <c r="B47" s="74" t="s">
        <v>219</v>
      </c>
      <c r="C47" s="2" t="s">
        <v>265</v>
      </c>
      <c r="D47" s="2" t="s">
        <v>34</v>
      </c>
      <c r="E47" s="76" t="s">
        <v>13</v>
      </c>
    </row>
    <row r="48" spans="2:5">
      <c r="B48" s="74" t="s">
        <v>219</v>
      </c>
      <c r="C48" s="2" t="s">
        <v>266</v>
      </c>
      <c r="D48" s="2" t="s">
        <v>35</v>
      </c>
      <c r="E48" s="76" t="s">
        <v>13</v>
      </c>
    </row>
    <row r="49" spans="2:5">
      <c r="B49" s="74" t="s">
        <v>219</v>
      </c>
      <c r="C49" s="2" t="s">
        <v>267</v>
      </c>
      <c r="D49" s="2" t="s">
        <v>36</v>
      </c>
      <c r="E49" s="76" t="s">
        <v>13</v>
      </c>
    </row>
    <row r="50" spans="2:5">
      <c r="B50" s="74" t="s">
        <v>219</v>
      </c>
      <c r="C50" s="2" t="s">
        <v>268</v>
      </c>
      <c r="D50" s="2" t="s">
        <v>37</v>
      </c>
      <c r="E50" s="76" t="s">
        <v>13</v>
      </c>
    </row>
    <row r="51" spans="2:5">
      <c r="B51" s="74" t="s">
        <v>219</v>
      </c>
      <c r="C51" s="2" t="s">
        <v>269</v>
      </c>
      <c r="D51" s="2" t="s">
        <v>38</v>
      </c>
      <c r="E51" s="76" t="s">
        <v>13</v>
      </c>
    </row>
    <row r="52" spans="2:5">
      <c r="B52" s="74" t="s">
        <v>220</v>
      </c>
      <c r="C52" s="2" t="s">
        <v>270</v>
      </c>
      <c r="D52" s="78" t="s">
        <v>23</v>
      </c>
      <c r="E52" s="76" t="s">
        <v>13</v>
      </c>
    </row>
    <row r="53" spans="2:5">
      <c r="B53" s="74" t="s">
        <v>220</v>
      </c>
      <c r="C53" s="2" t="s">
        <v>271</v>
      </c>
      <c r="D53" s="78" t="s">
        <v>24</v>
      </c>
      <c r="E53" s="76" t="s">
        <v>13</v>
      </c>
    </row>
    <row r="54" spans="2:5">
      <c r="B54" s="74" t="s">
        <v>220</v>
      </c>
      <c r="C54" s="2" t="s">
        <v>272</v>
      </c>
      <c r="D54" s="78" t="s">
        <v>25</v>
      </c>
      <c r="E54" s="76" t="s">
        <v>13</v>
      </c>
    </row>
    <row r="55" spans="2:5">
      <c r="B55" s="74" t="s">
        <v>220</v>
      </c>
      <c r="C55" s="2" t="s">
        <v>273</v>
      </c>
      <c r="D55" s="78" t="s">
        <v>26</v>
      </c>
      <c r="E55" s="76" t="s">
        <v>13</v>
      </c>
    </row>
    <row r="56" spans="2:5">
      <c r="B56" s="74" t="s">
        <v>220</v>
      </c>
      <c r="C56" s="2" t="s">
        <v>274</v>
      </c>
      <c r="D56" s="78" t="s">
        <v>27</v>
      </c>
      <c r="E56" s="76" t="s">
        <v>13</v>
      </c>
    </row>
    <row r="57" spans="2:5">
      <c r="B57" s="74" t="s">
        <v>220</v>
      </c>
      <c r="C57" s="2" t="s">
        <v>275</v>
      </c>
      <c r="D57" s="78" t="s">
        <v>28</v>
      </c>
      <c r="E57" s="76" t="s">
        <v>13</v>
      </c>
    </row>
    <row r="58" spans="2:5">
      <c r="B58" s="74" t="s">
        <v>220</v>
      </c>
      <c r="C58" s="2" t="s">
        <v>276</v>
      </c>
      <c r="D58" s="78" t="s">
        <v>29</v>
      </c>
      <c r="E58" s="76" t="s">
        <v>13</v>
      </c>
    </row>
    <row r="59" spans="2:5">
      <c r="B59" s="74" t="s">
        <v>220</v>
      </c>
      <c r="C59" s="2" t="s">
        <v>277</v>
      </c>
      <c r="D59" s="78" t="s">
        <v>30</v>
      </c>
      <c r="E59" s="76" t="s">
        <v>13</v>
      </c>
    </row>
    <row r="60" spans="2:5">
      <c r="B60" s="74" t="s">
        <v>220</v>
      </c>
      <c r="C60" s="2" t="s">
        <v>278</v>
      </c>
      <c r="D60" s="78" t="s">
        <v>216</v>
      </c>
      <c r="E60" s="76" t="s">
        <v>13</v>
      </c>
    </row>
    <row r="61" spans="2:5">
      <c r="B61" s="74" t="s">
        <v>220</v>
      </c>
      <c r="C61" s="2" t="s">
        <v>279</v>
      </c>
      <c r="D61" s="78" t="s">
        <v>32</v>
      </c>
      <c r="E61" s="76" t="s">
        <v>13</v>
      </c>
    </row>
    <row r="62" spans="2:5">
      <c r="B62" s="74" t="s">
        <v>220</v>
      </c>
      <c r="C62" s="2" t="s">
        <v>280</v>
      </c>
      <c r="D62" s="78" t="s">
        <v>33</v>
      </c>
      <c r="E62" s="76" t="s">
        <v>13</v>
      </c>
    </row>
    <row r="63" spans="2:5">
      <c r="B63" s="74" t="s">
        <v>220</v>
      </c>
      <c r="C63" s="2" t="s">
        <v>281</v>
      </c>
      <c r="D63" s="78" t="s">
        <v>34</v>
      </c>
      <c r="E63" s="76" t="s">
        <v>13</v>
      </c>
    </row>
    <row r="64" spans="2:5">
      <c r="B64" s="74" t="s">
        <v>220</v>
      </c>
      <c r="C64" s="2" t="s">
        <v>282</v>
      </c>
      <c r="D64" s="78" t="s">
        <v>35</v>
      </c>
      <c r="E64" s="76" t="s">
        <v>13</v>
      </c>
    </row>
    <row r="65" spans="2:5">
      <c r="B65" s="74" t="s">
        <v>220</v>
      </c>
      <c r="C65" s="2" t="s">
        <v>283</v>
      </c>
      <c r="D65" s="78" t="s">
        <v>36</v>
      </c>
      <c r="E65" s="76" t="s">
        <v>13</v>
      </c>
    </row>
    <row r="66" spans="2:5">
      <c r="B66" s="74" t="s">
        <v>220</v>
      </c>
      <c r="C66" s="2" t="s">
        <v>284</v>
      </c>
      <c r="D66" s="78" t="s">
        <v>37</v>
      </c>
      <c r="E66" s="76" t="s">
        <v>13</v>
      </c>
    </row>
    <row r="67" spans="2:5">
      <c r="B67" s="74" t="s">
        <v>220</v>
      </c>
      <c r="C67" s="2" t="s">
        <v>285</v>
      </c>
      <c r="D67" s="78" t="s">
        <v>38</v>
      </c>
      <c r="E67" s="76" t="s">
        <v>13</v>
      </c>
    </row>
    <row r="68" spans="2:5">
      <c r="B68" s="74" t="s">
        <v>221</v>
      </c>
      <c r="C68" s="2" t="s">
        <v>286</v>
      </c>
      <c r="D68" s="78" t="s">
        <v>23</v>
      </c>
      <c r="E68" s="76" t="s">
        <v>13</v>
      </c>
    </row>
    <row r="69" spans="2:5">
      <c r="B69" s="74" t="s">
        <v>221</v>
      </c>
      <c r="C69" s="2" t="s">
        <v>287</v>
      </c>
      <c r="D69" s="78" t="s">
        <v>24</v>
      </c>
      <c r="E69" s="76" t="s">
        <v>13</v>
      </c>
    </row>
    <row r="70" spans="2:5">
      <c r="B70" s="74" t="s">
        <v>221</v>
      </c>
      <c r="C70" s="2" t="s">
        <v>288</v>
      </c>
      <c r="D70" s="78" t="s">
        <v>25</v>
      </c>
      <c r="E70" s="76" t="s">
        <v>13</v>
      </c>
    </row>
    <row r="71" spans="2:5">
      <c r="B71" s="74" t="s">
        <v>221</v>
      </c>
      <c r="C71" s="2" t="s">
        <v>289</v>
      </c>
      <c r="D71" s="78" t="s">
        <v>26</v>
      </c>
      <c r="E71" s="76" t="s">
        <v>13</v>
      </c>
    </row>
    <row r="72" spans="2:5">
      <c r="B72" s="74" t="s">
        <v>221</v>
      </c>
      <c r="C72" s="2" t="s">
        <v>290</v>
      </c>
      <c r="D72" s="78" t="s">
        <v>27</v>
      </c>
      <c r="E72" s="76" t="s">
        <v>13</v>
      </c>
    </row>
    <row r="73" spans="2:5">
      <c r="B73" s="74" t="s">
        <v>221</v>
      </c>
      <c r="C73" s="2" t="s">
        <v>291</v>
      </c>
      <c r="D73" s="78" t="s">
        <v>28</v>
      </c>
      <c r="E73" s="76" t="s">
        <v>13</v>
      </c>
    </row>
    <row r="74" spans="2:5">
      <c r="B74" s="74" t="s">
        <v>221</v>
      </c>
      <c r="C74" s="2" t="s">
        <v>292</v>
      </c>
      <c r="D74" s="78" t="s">
        <v>29</v>
      </c>
      <c r="E74" s="76" t="s">
        <v>13</v>
      </c>
    </row>
    <row r="75" spans="2:5">
      <c r="B75" s="74" t="s">
        <v>221</v>
      </c>
      <c r="C75" s="2" t="s">
        <v>293</v>
      </c>
      <c r="D75" s="78" t="s">
        <v>30</v>
      </c>
      <c r="E75" s="76" t="s">
        <v>13</v>
      </c>
    </row>
    <row r="76" spans="2:5">
      <c r="B76" s="74" t="s">
        <v>221</v>
      </c>
      <c r="C76" s="2" t="s">
        <v>294</v>
      </c>
      <c r="D76" s="78" t="s">
        <v>216</v>
      </c>
      <c r="E76" s="76" t="s">
        <v>13</v>
      </c>
    </row>
    <row r="77" spans="2:5">
      <c r="B77" s="74" t="s">
        <v>221</v>
      </c>
      <c r="C77" s="2" t="s">
        <v>295</v>
      </c>
      <c r="D77" s="78" t="s">
        <v>32</v>
      </c>
      <c r="E77" s="76" t="s">
        <v>13</v>
      </c>
    </row>
    <row r="78" spans="2:5">
      <c r="B78" s="74" t="s">
        <v>221</v>
      </c>
      <c r="C78" s="2" t="s">
        <v>296</v>
      </c>
      <c r="D78" s="78" t="s">
        <v>33</v>
      </c>
      <c r="E78" s="76" t="s">
        <v>13</v>
      </c>
    </row>
    <row r="79" spans="2:5">
      <c r="B79" s="74" t="s">
        <v>221</v>
      </c>
      <c r="C79" s="2" t="s">
        <v>297</v>
      </c>
      <c r="D79" s="78" t="s">
        <v>34</v>
      </c>
      <c r="E79" s="76" t="s">
        <v>13</v>
      </c>
    </row>
    <row r="80" spans="2:5">
      <c r="B80" s="74" t="s">
        <v>221</v>
      </c>
      <c r="C80" s="2" t="s">
        <v>298</v>
      </c>
      <c r="D80" s="78" t="s">
        <v>35</v>
      </c>
      <c r="E80" s="76" t="s">
        <v>13</v>
      </c>
    </row>
    <row r="81" spans="2:5">
      <c r="B81" s="74" t="s">
        <v>221</v>
      </c>
      <c r="C81" s="2" t="s">
        <v>299</v>
      </c>
      <c r="D81" s="78" t="s">
        <v>36</v>
      </c>
      <c r="E81" s="76" t="s">
        <v>13</v>
      </c>
    </row>
    <row r="82" spans="2:5">
      <c r="B82" s="74" t="s">
        <v>221</v>
      </c>
      <c r="C82" s="2" t="s">
        <v>300</v>
      </c>
      <c r="D82" s="78" t="s">
        <v>37</v>
      </c>
      <c r="E82" s="76" t="s">
        <v>13</v>
      </c>
    </row>
    <row r="83" spans="2:5">
      <c r="B83" s="74" t="s">
        <v>221</v>
      </c>
      <c r="C83" s="2" t="s">
        <v>301</v>
      </c>
      <c r="D83" s="78" t="s">
        <v>38</v>
      </c>
      <c r="E83" s="76" t="s">
        <v>13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8057-0BAB-4991-96C2-F6A2F1350595}">
  <dimension ref="A1:P38"/>
  <sheetViews>
    <sheetView view="pageBreakPreview" topLeftCell="A8" zoomScale="70" zoomScaleNormal="85" zoomScaleSheetLayoutView="70" workbookViewId="0">
      <selection activeCell="I11" sqref="I11:M26"/>
    </sheetView>
  </sheetViews>
  <sheetFormatPr baseColWidth="10" defaultColWidth="11.42578125" defaultRowHeight="15"/>
  <cols>
    <col min="1" max="1" width="3.5703125" style="31" customWidth="1"/>
    <col min="2" max="2" width="7.42578125" style="31" customWidth="1"/>
    <col min="3" max="3" width="28.7109375" style="31" bestFit="1" customWidth="1"/>
    <col min="4" max="4" width="16.28515625" style="31" customWidth="1"/>
    <col min="5" max="6" width="20.28515625" style="31" customWidth="1"/>
    <col min="7" max="7" width="19.7109375" style="31" customWidth="1"/>
    <col min="8" max="8" width="11.140625" style="31" customWidth="1"/>
    <col min="9" max="9" width="21.28515625" style="31" customWidth="1"/>
    <col min="10" max="10" width="15.42578125" style="31" customWidth="1"/>
    <col min="11" max="11" width="20.28515625" style="31" customWidth="1"/>
    <col min="12" max="12" width="21.140625" style="31" customWidth="1"/>
    <col min="13" max="13" width="18.28515625" style="31" customWidth="1"/>
    <col min="14" max="14" width="7.140625" style="31" customWidth="1"/>
    <col min="15" max="15" width="1" style="31" customWidth="1"/>
    <col min="16" max="16384" width="11.42578125" style="31"/>
  </cols>
  <sheetData>
    <row r="1" spans="1:16">
      <c r="A1" s="244"/>
      <c r="B1" s="264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3.5" customHeight="1">
      <c r="A2" s="262"/>
      <c r="B2" s="263"/>
      <c r="N2" s="260"/>
      <c r="O2" s="265"/>
      <c r="P2" s="263"/>
    </row>
    <row r="3" spans="1:16" ht="37.35" customHeight="1">
      <c r="A3" s="32"/>
      <c r="B3" s="638" t="s">
        <v>87</v>
      </c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40"/>
    </row>
    <row r="4" spans="1:16" ht="7.35" customHeight="1">
      <c r="A4" s="33"/>
      <c r="B4" s="645" t="s">
        <v>88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259"/>
    </row>
    <row r="5" spans="1:16" ht="43.5" customHeight="1">
      <c r="A5" s="33"/>
      <c r="B5" s="645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259"/>
    </row>
    <row r="6" spans="1:16" ht="43.5" customHeight="1">
      <c r="A6" s="33"/>
      <c r="B6" s="645"/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259"/>
    </row>
    <row r="7" spans="1:16" ht="8.1" customHeight="1">
      <c r="A7" s="33"/>
      <c r="B7" s="249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59"/>
    </row>
    <row r="8" spans="1:16" ht="32.25" customHeight="1" thickBot="1">
      <c r="A8" s="248"/>
      <c r="B8" s="250"/>
      <c r="O8" s="259"/>
    </row>
    <row r="9" spans="1:16" ht="17.25" customHeight="1" thickBot="1">
      <c r="A9" s="243"/>
      <c r="B9" s="250"/>
      <c r="C9" s="241"/>
      <c r="D9" s="649" t="s">
        <v>89</v>
      </c>
      <c r="E9" s="647"/>
      <c r="F9" s="647"/>
      <c r="G9" s="648"/>
      <c r="I9" s="241"/>
      <c r="J9" s="654" t="s">
        <v>89</v>
      </c>
      <c r="K9" s="651"/>
      <c r="L9" s="652"/>
      <c r="M9" s="653"/>
      <c r="O9" s="259"/>
    </row>
    <row r="10" spans="1:16" ht="37.5" customHeight="1" thickBot="1">
      <c r="A10" s="243"/>
      <c r="B10" s="252"/>
      <c r="C10" s="65" t="s">
        <v>90</v>
      </c>
      <c r="D10" s="650"/>
      <c r="E10" s="66" t="s">
        <v>91</v>
      </c>
      <c r="F10" s="66" t="s">
        <v>92</v>
      </c>
      <c r="G10" s="67" t="s">
        <v>93</v>
      </c>
      <c r="I10" s="69" t="s">
        <v>90</v>
      </c>
      <c r="J10" s="655"/>
      <c r="K10" s="70" t="s">
        <v>91</v>
      </c>
      <c r="L10" s="70" t="s">
        <v>92</v>
      </c>
      <c r="M10" s="71" t="s">
        <v>93</v>
      </c>
      <c r="O10" s="259"/>
    </row>
    <row r="11" spans="1:16" ht="18.75">
      <c r="A11" s="245"/>
      <c r="B11" s="250"/>
      <c r="C11" s="68"/>
      <c r="D11" s="348"/>
      <c r="E11" s="348"/>
      <c r="F11" s="348"/>
      <c r="G11" s="349"/>
      <c r="I11" s="354"/>
      <c r="J11" s="348"/>
      <c r="K11" s="348"/>
      <c r="L11" s="348"/>
      <c r="M11" s="349"/>
      <c r="O11" s="259"/>
    </row>
    <row r="12" spans="1:16" ht="18.75">
      <c r="A12" s="33"/>
      <c r="B12" s="250"/>
      <c r="C12" s="35"/>
      <c r="D12" s="350"/>
      <c r="E12" s="350"/>
      <c r="F12" s="350"/>
      <c r="G12" s="351"/>
      <c r="I12" s="355"/>
      <c r="J12" s="350"/>
      <c r="K12" s="350"/>
      <c r="L12" s="350"/>
      <c r="M12" s="351"/>
      <c r="N12" s="260"/>
      <c r="O12" s="251"/>
    </row>
    <row r="13" spans="1:16" ht="18.75">
      <c r="A13" s="33"/>
      <c r="B13" s="250"/>
      <c r="C13" s="35"/>
      <c r="D13" s="350"/>
      <c r="E13" s="350"/>
      <c r="F13" s="350"/>
      <c r="G13" s="351"/>
      <c r="I13" s="355"/>
      <c r="J13" s="350"/>
      <c r="K13" s="350"/>
      <c r="L13" s="350"/>
      <c r="M13" s="351"/>
      <c r="N13" s="260"/>
      <c r="O13" s="251"/>
    </row>
    <row r="14" spans="1:16" ht="18.75">
      <c r="A14" s="246"/>
      <c r="B14" s="250"/>
      <c r="C14" s="35"/>
      <c r="D14" s="350"/>
      <c r="E14" s="350"/>
      <c r="F14" s="350"/>
      <c r="G14" s="351"/>
      <c r="I14" s="355"/>
      <c r="J14" s="350"/>
      <c r="K14" s="350"/>
      <c r="L14" s="350"/>
      <c r="M14" s="351"/>
      <c r="N14" s="260"/>
      <c r="O14" s="251"/>
    </row>
    <row r="15" spans="1:16" ht="18.75">
      <c r="A15" s="33"/>
      <c r="B15" s="250"/>
      <c r="C15" s="60"/>
      <c r="D15" s="350"/>
      <c r="E15" s="350"/>
      <c r="F15" s="350"/>
      <c r="G15" s="351"/>
      <c r="I15" s="355"/>
      <c r="J15" s="350"/>
      <c r="K15" s="350"/>
      <c r="L15" s="350"/>
      <c r="M15" s="351"/>
      <c r="N15" s="260"/>
      <c r="O15" s="251"/>
    </row>
    <row r="16" spans="1:16" ht="18.75">
      <c r="A16" s="33"/>
      <c r="B16" s="250"/>
      <c r="C16" s="60"/>
      <c r="D16" s="350"/>
      <c r="E16" s="350"/>
      <c r="F16" s="350"/>
      <c r="G16" s="351"/>
      <c r="I16" s="355"/>
      <c r="J16" s="350"/>
      <c r="K16" s="350"/>
      <c r="L16" s="350"/>
      <c r="M16" s="351"/>
      <c r="N16" s="260"/>
      <c r="O16" s="251"/>
    </row>
    <row r="17" spans="1:15" ht="18.75">
      <c r="A17" s="33"/>
      <c r="B17" s="250"/>
      <c r="C17" s="60"/>
      <c r="D17" s="350"/>
      <c r="E17" s="350"/>
      <c r="F17" s="350"/>
      <c r="G17" s="351"/>
      <c r="I17" s="355"/>
      <c r="J17" s="350"/>
      <c r="K17" s="350"/>
      <c r="L17" s="350"/>
      <c r="M17" s="351"/>
      <c r="N17" s="260"/>
      <c r="O17" s="251"/>
    </row>
    <row r="18" spans="1:15" ht="18.75">
      <c r="A18" s="33"/>
      <c r="B18" s="250"/>
      <c r="C18" s="60"/>
      <c r="D18" s="350"/>
      <c r="E18" s="350"/>
      <c r="F18" s="350"/>
      <c r="G18" s="351"/>
      <c r="I18" s="355"/>
      <c r="J18" s="350"/>
      <c r="K18" s="350"/>
      <c r="L18" s="350"/>
      <c r="M18" s="351"/>
      <c r="N18" s="260"/>
      <c r="O18" s="251"/>
    </row>
    <row r="19" spans="1:15" ht="18.75">
      <c r="A19" s="33"/>
      <c r="B19" s="250"/>
      <c r="C19" s="35"/>
      <c r="D19" s="350"/>
      <c r="E19" s="350"/>
      <c r="F19" s="350"/>
      <c r="G19" s="351"/>
      <c r="I19" s="355"/>
      <c r="J19" s="350"/>
      <c r="K19" s="350"/>
      <c r="L19" s="350"/>
      <c r="M19" s="351"/>
      <c r="N19" s="260"/>
      <c r="O19" s="251"/>
    </row>
    <row r="20" spans="1:15" ht="18.75">
      <c r="A20" s="33"/>
      <c r="B20" s="250"/>
      <c r="C20" s="35"/>
      <c r="D20" s="350"/>
      <c r="E20" s="350"/>
      <c r="F20" s="350"/>
      <c r="G20" s="351"/>
      <c r="I20" s="355"/>
      <c r="J20" s="350"/>
      <c r="K20" s="350"/>
      <c r="L20" s="350"/>
      <c r="M20" s="351"/>
      <c r="N20" s="260"/>
      <c r="O20" s="251"/>
    </row>
    <row r="21" spans="1:15" ht="18.75">
      <c r="A21" s="33"/>
      <c r="B21" s="250"/>
      <c r="C21" s="34"/>
      <c r="D21" s="350"/>
      <c r="E21" s="350"/>
      <c r="F21" s="350"/>
      <c r="G21" s="351"/>
      <c r="I21" s="355"/>
      <c r="J21" s="350"/>
      <c r="K21" s="350"/>
      <c r="L21" s="350"/>
      <c r="M21" s="351"/>
      <c r="N21" s="260"/>
      <c r="O21" s="251"/>
    </row>
    <row r="22" spans="1:15" ht="18.75">
      <c r="A22" s="33"/>
      <c r="B22" s="250"/>
      <c r="C22" s="34"/>
      <c r="D22" s="350"/>
      <c r="E22" s="350"/>
      <c r="F22" s="350"/>
      <c r="G22" s="351"/>
      <c r="I22" s="355"/>
      <c r="J22" s="350"/>
      <c r="K22" s="350"/>
      <c r="L22" s="350"/>
      <c r="M22" s="351"/>
      <c r="N22" s="260"/>
      <c r="O22" s="251"/>
    </row>
    <row r="23" spans="1:15" ht="18.75">
      <c r="A23" s="33"/>
      <c r="B23" s="250"/>
      <c r="C23" s="35"/>
      <c r="D23" s="350"/>
      <c r="E23" s="350"/>
      <c r="F23" s="350"/>
      <c r="G23" s="351"/>
      <c r="I23" s="355"/>
      <c r="J23" s="350"/>
      <c r="K23" s="350"/>
      <c r="L23" s="350"/>
      <c r="M23" s="351"/>
      <c r="N23" s="260"/>
      <c r="O23" s="251"/>
    </row>
    <row r="24" spans="1:15" ht="18.75">
      <c r="A24" s="33"/>
      <c r="B24" s="250"/>
      <c r="C24" s="34"/>
      <c r="D24" s="350"/>
      <c r="E24" s="350"/>
      <c r="F24" s="350"/>
      <c r="G24" s="351"/>
      <c r="I24" s="355"/>
      <c r="J24" s="350"/>
      <c r="K24" s="350"/>
      <c r="L24" s="350"/>
      <c r="M24" s="351"/>
      <c r="N24" s="260"/>
      <c r="O24" s="251"/>
    </row>
    <row r="25" spans="1:15" ht="18.75">
      <c r="A25" s="33"/>
      <c r="B25" s="250"/>
      <c r="C25" s="34"/>
      <c r="D25" s="350"/>
      <c r="E25" s="350"/>
      <c r="F25" s="350"/>
      <c r="G25" s="351"/>
      <c r="I25" s="355"/>
      <c r="J25" s="350"/>
      <c r="K25" s="350"/>
      <c r="L25" s="350"/>
      <c r="M25" s="351"/>
      <c r="N25" s="260"/>
      <c r="O25" s="251"/>
    </row>
    <row r="26" spans="1:15" ht="19.5" thickBot="1">
      <c r="A26" s="33"/>
      <c r="B26" s="250"/>
      <c r="C26" s="34"/>
      <c r="D26" s="350"/>
      <c r="E26" s="350"/>
      <c r="F26" s="350"/>
      <c r="G26" s="351"/>
      <c r="I26" s="356"/>
      <c r="J26" s="352"/>
      <c r="K26" s="352"/>
      <c r="L26" s="352"/>
      <c r="M26" s="353"/>
      <c r="N26" s="260"/>
      <c r="O26" s="251"/>
    </row>
    <row r="27" spans="1:15" ht="23.25" customHeight="1">
      <c r="A27" s="33"/>
      <c r="B27" s="250"/>
      <c r="C27" s="34"/>
      <c r="D27" s="350"/>
      <c r="E27" s="350"/>
      <c r="F27" s="350"/>
      <c r="G27" s="351"/>
      <c r="N27" s="260"/>
      <c r="O27" s="251"/>
    </row>
    <row r="28" spans="1:15" ht="23.25" customHeight="1" thickBot="1">
      <c r="A28" s="33"/>
      <c r="B28" s="250"/>
      <c r="C28" s="309"/>
      <c r="D28" s="352"/>
      <c r="E28" s="352"/>
      <c r="F28" s="352"/>
      <c r="G28" s="353"/>
      <c r="N28" s="260"/>
      <c r="O28" s="251"/>
    </row>
    <row r="29" spans="1:15" ht="28.5" customHeight="1" thickBot="1">
      <c r="B29" s="250"/>
      <c r="N29" s="260"/>
      <c r="O29" s="251"/>
    </row>
    <row r="30" spans="1:15" ht="42" customHeight="1" thickBot="1">
      <c r="A30" s="33"/>
      <c r="B30" s="252"/>
      <c r="C30" s="664" t="s">
        <v>94</v>
      </c>
      <c r="D30" s="665"/>
      <c r="E30" s="665"/>
      <c r="F30" s="665"/>
      <c r="G30" s="666"/>
      <c r="N30" s="260"/>
      <c r="O30" s="251"/>
    </row>
    <row r="31" spans="1:15" ht="49.5" customHeight="1">
      <c r="A31" s="33"/>
      <c r="B31" s="250"/>
      <c r="C31" s="656" t="s">
        <v>91</v>
      </c>
      <c r="D31" s="657"/>
      <c r="E31" s="658" t="s">
        <v>95</v>
      </c>
      <c r="F31" s="658"/>
      <c r="G31" s="659"/>
      <c r="N31" s="260"/>
      <c r="O31" s="251"/>
    </row>
    <row r="32" spans="1:15" ht="60" customHeight="1">
      <c r="A32" s="33"/>
      <c r="B32" s="250"/>
      <c r="C32" s="660" t="s">
        <v>92</v>
      </c>
      <c r="D32" s="661"/>
      <c r="E32" s="662" t="s">
        <v>96</v>
      </c>
      <c r="F32" s="662"/>
      <c r="G32" s="663"/>
      <c r="N32" s="260"/>
      <c r="O32" s="251"/>
    </row>
    <row r="33" spans="1:15" ht="66.75" customHeight="1" thickBot="1">
      <c r="A33" s="33"/>
      <c r="B33" s="252"/>
      <c r="C33" s="641" t="s">
        <v>93</v>
      </c>
      <c r="D33" s="642"/>
      <c r="E33" s="643" t="s">
        <v>97</v>
      </c>
      <c r="F33" s="643"/>
      <c r="G33" s="644"/>
      <c r="H33" s="256"/>
      <c r="J33" s="258"/>
      <c r="K33" s="258"/>
      <c r="L33" s="258"/>
      <c r="M33" s="258"/>
      <c r="N33" s="258"/>
      <c r="O33" s="259"/>
    </row>
    <row r="34" spans="1:15" ht="22.5" customHeight="1" thickBot="1">
      <c r="A34" s="255"/>
      <c r="B34" s="261"/>
      <c r="C34" s="253"/>
      <c r="D34" s="253"/>
      <c r="E34" s="253"/>
      <c r="F34" s="253"/>
      <c r="G34" s="253"/>
      <c r="H34" s="253"/>
      <c r="I34" s="257"/>
      <c r="J34" s="253"/>
      <c r="K34" s="253"/>
      <c r="L34" s="253"/>
      <c r="M34" s="253"/>
      <c r="N34" s="253"/>
      <c r="O34" s="254"/>
    </row>
    <row r="35" spans="1:15" ht="12" customHeight="1">
      <c r="A35" s="242"/>
    </row>
    <row r="36" spans="1:15" ht="8.25" customHeight="1"/>
    <row r="38" spans="1:15" ht="3" customHeight="1">
      <c r="C38" s="247"/>
      <c r="D38" s="247"/>
      <c r="E38" s="247"/>
      <c r="F38" s="247"/>
      <c r="G38" s="247"/>
      <c r="H38" s="247"/>
    </row>
  </sheetData>
  <mergeCells count="13">
    <mergeCell ref="B3:O3"/>
    <mergeCell ref="C33:D33"/>
    <mergeCell ref="E33:G33"/>
    <mergeCell ref="B4:N6"/>
    <mergeCell ref="E9:G9"/>
    <mergeCell ref="D9:D10"/>
    <mergeCell ref="K9:M9"/>
    <mergeCell ref="J9:J10"/>
    <mergeCell ref="C31:D31"/>
    <mergeCell ref="E31:G31"/>
    <mergeCell ref="C32:D32"/>
    <mergeCell ref="E32:G32"/>
    <mergeCell ref="C30:G30"/>
  </mergeCells>
  <conditionalFormatting sqref="D11:G28">
    <cfRule type="expression" dxfId="34" priority="2">
      <formula>D11&lt;100%</formula>
    </cfRule>
  </conditionalFormatting>
  <conditionalFormatting sqref="I11:M26">
    <cfRule type="expression" dxfId="33" priority="1">
      <formula>I11&lt;100%</formula>
    </cfRule>
  </conditionalFormatting>
  <printOptions horizontalCentered="1"/>
  <pageMargins left="0" right="0" top="0" bottom="0" header="0" footer="0"/>
  <pageSetup paperSize="5" scale="69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413-56DE-480C-BE6D-55109AB6AD80}">
  <sheetPr>
    <pageSetUpPr fitToPage="1"/>
  </sheetPr>
  <dimension ref="A1:Q50"/>
  <sheetViews>
    <sheetView zoomScale="55" zoomScaleNormal="55" workbookViewId="0">
      <selection activeCell="B6" sqref="B6:J7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101"/>
      <c r="B1" s="674"/>
      <c r="C1" s="675"/>
      <c r="D1" s="676"/>
      <c r="E1" s="82"/>
      <c r="F1" s="85"/>
      <c r="G1" s="83"/>
      <c r="I1" s="100"/>
      <c r="J1" s="99"/>
      <c r="K1" s="107"/>
      <c r="L1" s="107"/>
      <c r="M1" s="90"/>
      <c r="N1" s="84"/>
      <c r="O1" s="84"/>
      <c r="P1" s="93"/>
    </row>
    <row r="2" spans="1:17" ht="36">
      <c r="B2" s="123" t="s">
        <v>328</v>
      </c>
      <c r="C2" s="123"/>
      <c r="D2" s="85"/>
      <c r="E2" s="91"/>
      <c r="G2" s="93"/>
      <c r="H2" s="85"/>
      <c r="I2" s="670" t="s">
        <v>302</v>
      </c>
      <c r="J2" s="671"/>
      <c r="K2" s="96"/>
      <c r="L2" s="85"/>
      <c r="M2" s="93"/>
      <c r="N2" s="85"/>
      <c r="O2" s="82"/>
      <c r="P2" s="85"/>
      <c r="Q2" s="82"/>
    </row>
    <row r="3" spans="1:17" s="62" customFormat="1" ht="22.5" customHeight="1">
      <c r="A3" s="88"/>
      <c r="B3" s="62" t="s">
        <v>303</v>
      </c>
      <c r="D3" s="94"/>
      <c r="E3" s="87"/>
      <c r="F3" s="89"/>
      <c r="G3" s="94"/>
      <c r="H3" s="97"/>
      <c r="I3" s="98"/>
      <c r="J3" s="98"/>
      <c r="K3" s="89"/>
      <c r="L3" s="89"/>
      <c r="M3" s="89"/>
      <c r="N3" s="87"/>
      <c r="O3" s="87"/>
      <c r="P3" s="89"/>
      <c r="Q3" s="122"/>
    </row>
    <row r="4" spans="1:17" s="63" customFormat="1" ht="25.5" customHeight="1" thickBot="1">
      <c r="B4" s="136" t="s">
        <v>105</v>
      </c>
      <c r="C4" s="302"/>
      <c r="D4" s="207"/>
      <c r="F4" s="206"/>
      <c r="G4" s="111"/>
      <c r="H4" s="111"/>
      <c r="I4" s="206"/>
      <c r="J4" s="206"/>
      <c r="K4" s="206"/>
      <c r="L4" s="96"/>
      <c r="M4" s="111"/>
      <c r="N4" s="112"/>
      <c r="O4" s="95"/>
      <c r="P4" s="96"/>
      <c r="Q4" s="121"/>
    </row>
    <row r="5" spans="1:17" ht="78" customHeight="1" thickBot="1">
      <c r="A5" s="92"/>
      <c r="B5" s="384" t="s">
        <v>98</v>
      </c>
      <c r="C5" s="677" t="s">
        <v>99</v>
      </c>
      <c r="D5" s="678"/>
      <c r="E5" s="381" t="s">
        <v>101</v>
      </c>
      <c r="F5" s="381" t="s">
        <v>100</v>
      </c>
      <c r="G5" s="381" t="s">
        <v>102</v>
      </c>
      <c r="H5" s="382" t="s">
        <v>159</v>
      </c>
      <c r="I5" s="382" t="s">
        <v>103</v>
      </c>
      <c r="J5" s="383" t="s">
        <v>104</v>
      </c>
      <c r="K5" s="208"/>
      <c r="L5" s="85"/>
      <c r="M5" s="85"/>
      <c r="N5" s="85"/>
      <c r="O5" s="84"/>
      <c r="P5" s="107"/>
    </row>
    <row r="6" spans="1:17" ht="51" customHeight="1">
      <c r="B6" s="218"/>
      <c r="C6" s="679"/>
      <c r="D6" s="680"/>
      <c r="E6" s="465"/>
      <c r="F6" s="465"/>
      <c r="G6" s="465"/>
      <c r="H6" s="465"/>
      <c r="I6" s="465"/>
      <c r="J6" s="468"/>
      <c r="K6" s="119"/>
      <c r="L6" s="85"/>
      <c r="M6" s="85"/>
      <c r="N6" s="93"/>
      <c r="O6" s="82"/>
      <c r="P6" s="107"/>
      <c r="Q6" s="82"/>
    </row>
    <row r="7" spans="1:17" ht="45.75" customHeight="1">
      <c r="A7" s="102"/>
      <c r="B7" s="219"/>
      <c r="C7" s="681"/>
      <c r="D7" s="682"/>
      <c r="E7" s="466"/>
      <c r="F7" s="466"/>
      <c r="G7" s="466"/>
      <c r="H7" s="466"/>
      <c r="I7" s="466"/>
      <c r="J7" s="469"/>
      <c r="L7" s="85"/>
      <c r="M7" s="85"/>
      <c r="N7" s="85"/>
      <c r="O7" s="84"/>
      <c r="P7" s="93"/>
    </row>
    <row r="8" spans="1:17" ht="44.25" customHeight="1">
      <c r="A8" s="103"/>
      <c r="B8" s="219"/>
      <c r="C8" s="681"/>
      <c r="D8" s="682"/>
      <c r="E8" s="466"/>
      <c r="F8" s="466"/>
      <c r="G8" s="466"/>
      <c r="H8" s="466"/>
      <c r="I8" s="466"/>
      <c r="J8" s="469"/>
      <c r="K8" s="209"/>
      <c r="L8" s="85"/>
      <c r="M8" s="85"/>
      <c r="N8" s="85"/>
      <c r="P8" s="85"/>
      <c r="Q8" s="85"/>
    </row>
    <row r="9" spans="1:17" ht="39.75" customHeight="1">
      <c r="A9" s="103"/>
      <c r="B9" s="219"/>
      <c r="C9" s="681"/>
      <c r="D9" s="682"/>
      <c r="E9" s="466"/>
      <c r="F9" s="466"/>
      <c r="G9" s="466"/>
      <c r="H9" s="466"/>
      <c r="I9" s="466"/>
      <c r="J9" s="469"/>
      <c r="K9" s="155"/>
      <c r="L9" s="85"/>
      <c r="M9" s="85"/>
      <c r="N9" s="91"/>
      <c r="O9" s="82"/>
      <c r="P9" s="107"/>
      <c r="Q9" s="108"/>
    </row>
    <row r="10" spans="1:17" ht="55.5" customHeight="1">
      <c r="A10" s="105"/>
      <c r="B10" s="219"/>
      <c r="C10" s="681"/>
      <c r="D10" s="682"/>
      <c r="E10" s="466"/>
      <c r="F10" s="466"/>
      <c r="G10" s="466"/>
      <c r="H10" s="466"/>
      <c r="I10" s="466"/>
      <c r="J10" s="469"/>
      <c r="K10" s="119"/>
      <c r="L10" s="85"/>
      <c r="M10" s="85"/>
      <c r="N10" s="93"/>
      <c r="O10" s="84"/>
      <c r="P10" s="85"/>
    </row>
    <row r="11" spans="1:17" ht="44.25" customHeight="1">
      <c r="A11" s="104"/>
      <c r="B11" s="219"/>
      <c r="C11" s="681"/>
      <c r="D11" s="682"/>
      <c r="E11" s="466"/>
      <c r="F11" s="466"/>
      <c r="G11" s="466"/>
      <c r="H11" s="466"/>
      <c r="I11" s="466"/>
      <c r="J11" s="469"/>
      <c r="L11" s="85"/>
      <c r="M11" s="93"/>
      <c r="N11" s="85"/>
      <c r="O11" s="92"/>
      <c r="P11" s="85"/>
      <c r="Q11" s="106"/>
    </row>
    <row r="12" spans="1:17" ht="66.75" customHeight="1" thickBot="1">
      <c r="A12" s="103"/>
      <c r="B12" s="220"/>
      <c r="C12" s="672"/>
      <c r="D12" s="673"/>
      <c r="E12" s="467"/>
      <c r="F12" s="467"/>
      <c r="G12" s="467"/>
      <c r="H12" s="467"/>
      <c r="I12" s="467"/>
      <c r="J12" s="470"/>
      <c r="K12" s="209"/>
      <c r="L12" s="85"/>
      <c r="M12" s="85"/>
      <c r="N12" s="107"/>
      <c r="O12" s="85"/>
      <c r="P12" s="85"/>
      <c r="Q12" s="106"/>
    </row>
    <row r="13" spans="1:17" ht="15.75" thickBot="1">
      <c r="A13" s="82"/>
      <c r="B13" s="127"/>
      <c r="C13" s="127"/>
      <c r="D13" s="110"/>
      <c r="F13" s="127"/>
      <c r="H13" s="128"/>
      <c r="I13" s="128"/>
      <c r="J13" s="128"/>
      <c r="K13" s="106"/>
      <c r="L13" s="85"/>
      <c r="M13" s="109"/>
      <c r="N13" s="85"/>
      <c r="O13" s="85"/>
      <c r="P13" s="82"/>
    </row>
    <row r="14" spans="1:17" ht="30.75" customHeight="1" thickBot="1">
      <c r="A14" s="82"/>
      <c r="B14" s="488" t="s">
        <v>108</v>
      </c>
      <c r="C14" s="486"/>
      <c r="D14" s="292" t="s">
        <v>109</v>
      </c>
      <c r="E14" s="129"/>
      <c r="F14" s="130"/>
      <c r="G14" s="131"/>
      <c r="H14" s="132"/>
      <c r="I14" s="133"/>
      <c r="J14" s="134"/>
      <c r="K14" s="304"/>
      <c r="L14" s="85"/>
      <c r="M14" s="85"/>
      <c r="N14" s="109"/>
      <c r="O14" s="85"/>
      <c r="P14" s="82"/>
    </row>
    <row r="15" spans="1:17" ht="8.25" customHeight="1" thickBot="1">
      <c r="A15" s="90"/>
      <c r="B15" s="487"/>
      <c r="C15" s="303"/>
      <c r="D15" s="293"/>
      <c r="E15" s="294"/>
      <c r="F15" s="294"/>
      <c r="G15" s="295"/>
      <c r="H15" s="294"/>
      <c r="I15" s="295"/>
      <c r="J15" s="296"/>
      <c r="L15" s="85"/>
      <c r="M15" s="107"/>
      <c r="N15" s="85"/>
      <c r="O15" s="82"/>
      <c r="P15" s="82"/>
    </row>
    <row r="16" spans="1:17" ht="74.25" customHeight="1" thickBot="1">
      <c r="A16" s="82"/>
      <c r="B16" s="490" t="s">
        <v>187</v>
      </c>
      <c r="C16" s="489"/>
      <c r="D16" s="297"/>
      <c r="E16" s="667"/>
      <c r="F16" s="668"/>
      <c r="G16" s="668"/>
      <c r="H16" s="668"/>
      <c r="I16" s="668"/>
      <c r="J16" s="669"/>
      <c r="K16" s="305"/>
      <c r="L16" s="118"/>
      <c r="M16" s="116"/>
      <c r="N16" s="115"/>
      <c r="P16" s="82"/>
    </row>
    <row r="17" spans="1:16" ht="108.75" customHeight="1" thickBot="1">
      <c r="A17" s="90"/>
      <c r="B17" s="492" t="s">
        <v>106</v>
      </c>
      <c r="C17" s="491"/>
      <c r="D17" s="297"/>
      <c r="E17" s="667"/>
      <c r="F17" s="668"/>
      <c r="G17" s="668"/>
      <c r="H17" s="668"/>
      <c r="I17" s="668"/>
      <c r="J17" s="669"/>
      <c r="K17" s="139"/>
      <c r="L17" s="126"/>
      <c r="M17" s="118"/>
      <c r="N17" s="118"/>
      <c r="O17" s="85"/>
      <c r="P17" s="82"/>
    </row>
    <row r="18" spans="1:16" ht="87" customHeight="1" thickBot="1">
      <c r="A18" s="81"/>
      <c r="B18" s="492" t="s">
        <v>107</v>
      </c>
      <c r="C18" s="491"/>
      <c r="D18" s="298"/>
      <c r="E18" s="667"/>
      <c r="F18" s="668"/>
      <c r="G18" s="668"/>
      <c r="H18" s="668"/>
      <c r="I18" s="668"/>
      <c r="J18" s="669"/>
      <c r="L18" s="118"/>
      <c r="M18" s="114"/>
      <c r="N18" s="113"/>
      <c r="O18" s="61"/>
      <c r="P18" s="90"/>
    </row>
    <row r="19" spans="1:16" ht="74.25" customHeight="1" thickBot="1">
      <c r="A19" s="85"/>
      <c r="B19" s="90"/>
      <c r="C19" s="90"/>
      <c r="D19" s="299"/>
      <c r="E19" s="667"/>
      <c r="F19" s="668"/>
      <c r="G19" s="668"/>
      <c r="H19" s="668"/>
      <c r="I19" s="668"/>
      <c r="J19" s="669"/>
      <c r="K19" s="139"/>
      <c r="L19" s="126"/>
      <c r="M19" s="114"/>
      <c r="N19" s="113"/>
      <c r="O19" s="115"/>
      <c r="P19" s="81"/>
    </row>
    <row r="20" spans="1:16" ht="108" customHeight="1" thickBot="1">
      <c r="A20" s="82"/>
      <c r="B20" s="93"/>
      <c r="D20" s="298"/>
      <c r="E20" s="667"/>
      <c r="F20" s="668"/>
      <c r="G20" s="668"/>
      <c r="H20" s="668"/>
      <c r="I20" s="668"/>
      <c r="J20" s="669"/>
      <c r="K20" s="306"/>
      <c r="L20" s="300"/>
      <c r="M20" s="117"/>
      <c r="N20" s="115"/>
      <c r="O20" s="113"/>
    </row>
    <row r="21" spans="1:16" s="229" customFormat="1" ht="81.75" customHeight="1" thickBot="1">
      <c r="B21" s="230"/>
      <c r="C21" s="231"/>
      <c r="D21" s="301"/>
      <c r="E21" s="667"/>
      <c r="F21" s="668"/>
      <c r="G21" s="668"/>
      <c r="H21" s="668"/>
      <c r="I21" s="668"/>
      <c r="J21" s="669"/>
      <c r="K21" s="307"/>
      <c r="L21" s="61"/>
      <c r="M21" s="115"/>
      <c r="N21" s="115"/>
      <c r="O21" s="120"/>
    </row>
    <row r="22" spans="1:16" ht="98.25" customHeight="1" thickBot="1">
      <c r="A22" s="86"/>
      <c r="B22" s="109"/>
      <c r="C22" s="90"/>
      <c r="D22" s="308"/>
      <c r="E22" s="667"/>
      <c r="F22" s="668"/>
      <c r="G22" s="668"/>
      <c r="H22" s="668"/>
      <c r="I22" s="668"/>
      <c r="J22" s="669"/>
      <c r="L22" s="115"/>
      <c r="M22" s="118"/>
      <c r="N22" s="118"/>
      <c r="O22" s="115"/>
      <c r="P22" s="61"/>
    </row>
    <row r="23" spans="1:16" ht="23.25" customHeight="1">
      <c r="A23" s="86"/>
      <c r="B23" s="106"/>
      <c r="C23" s="106"/>
      <c r="D23" s="85"/>
      <c r="F23" s="107"/>
      <c r="G23" s="84"/>
      <c r="H23" s="84"/>
      <c r="I23" s="107"/>
      <c r="K23" s="85"/>
      <c r="L23" s="85"/>
      <c r="M23" s="93"/>
      <c r="N23" s="107"/>
      <c r="O23" s="107"/>
    </row>
    <row r="24" spans="1:16" ht="22.5" customHeight="1">
      <c r="A24" s="86"/>
      <c r="B24" s="106"/>
      <c r="C24" s="106"/>
      <c r="D24" s="85"/>
      <c r="E24" s="81"/>
      <c r="F24" s="85"/>
      <c r="G24" s="92"/>
      <c r="H24" s="85"/>
      <c r="I24" s="85"/>
      <c r="J24" s="82"/>
      <c r="K24" s="82"/>
      <c r="L24" s="82"/>
      <c r="M24" s="85"/>
      <c r="N24" s="85"/>
      <c r="O24" s="109"/>
    </row>
    <row r="25" spans="1:16" ht="22.5" customHeight="1">
      <c r="A25" s="86"/>
      <c r="B25" s="85"/>
      <c r="C25" s="93"/>
      <c r="D25" s="93"/>
      <c r="E25" s="85"/>
      <c r="F25" s="85"/>
      <c r="G25" s="86"/>
      <c r="H25" s="85"/>
      <c r="I25" s="85"/>
      <c r="J25" s="84"/>
      <c r="K25" s="107"/>
      <c r="L25" s="101"/>
      <c r="M25" s="85"/>
      <c r="N25" s="107"/>
      <c r="O25" s="109"/>
    </row>
    <row r="26" spans="1:16">
      <c r="A26" s="83"/>
      <c r="B26" s="93"/>
      <c r="C26" s="93"/>
      <c r="D26" s="85"/>
      <c r="E26" s="106"/>
      <c r="F26" s="85"/>
      <c r="G26" s="93"/>
      <c r="H26" s="85"/>
      <c r="I26" s="108"/>
      <c r="J26" s="82"/>
      <c r="K26" s="82"/>
      <c r="L26" s="82"/>
      <c r="M26" s="85"/>
      <c r="N26" s="107"/>
      <c r="O26" s="107"/>
    </row>
    <row r="27" spans="1:16" ht="15.75" thickBot="1">
      <c r="A27" s="86"/>
      <c r="B27" s="85"/>
      <c r="C27" s="107"/>
      <c r="D27" s="107"/>
      <c r="E27" s="85"/>
      <c r="F27" s="109"/>
      <c r="G27" s="93"/>
      <c r="H27" s="93"/>
      <c r="I27" s="93"/>
      <c r="J27" s="93"/>
      <c r="K27" s="86"/>
      <c r="M27" s="93"/>
      <c r="N27" s="93"/>
      <c r="O27" s="109"/>
    </row>
    <row r="28" spans="1:16">
      <c r="A28" s="86"/>
      <c r="B28" s="107"/>
      <c r="C28" s="107"/>
      <c r="D28" s="107"/>
      <c r="E28" s="85"/>
      <c r="F28" s="93"/>
      <c r="G28" s="85"/>
      <c r="H28" s="93"/>
      <c r="I28" s="82"/>
      <c r="J28" s="124"/>
      <c r="K28" s="125"/>
      <c r="L28" s="81"/>
      <c r="M28" s="106"/>
      <c r="N28" s="93"/>
      <c r="O28" s="93"/>
    </row>
    <row r="29" spans="1:16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3"/>
      <c r="M29" s="85"/>
      <c r="N29" s="83"/>
      <c r="O29" s="85"/>
    </row>
    <row r="30" spans="1:16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92"/>
      <c r="M30" s="82"/>
      <c r="N30" s="83"/>
      <c r="O30" s="108"/>
    </row>
    <row r="31" spans="1:16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6"/>
      <c r="M31" s="85"/>
      <c r="N31" s="108"/>
    </row>
    <row r="32" spans="1:16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3"/>
      <c r="M32" s="107"/>
      <c r="N32" s="90"/>
    </row>
    <row r="33" spans="1:14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108"/>
      <c r="M33" s="107"/>
    </row>
    <row r="34" spans="1:1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101"/>
      <c r="M34" s="85"/>
    </row>
    <row r="35" spans="1:14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  <c r="M35" s="84"/>
      <c r="N35" s="101"/>
    </row>
    <row r="36" spans="1:14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1"/>
      <c r="M36" s="106"/>
      <c r="N36" s="81"/>
    </row>
    <row r="37" spans="1:14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</row>
    <row r="38" spans="1:14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</row>
    <row r="39" spans="1:14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</row>
    <row r="40" spans="1:14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</row>
    <row r="41" spans="1:14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spans="1:14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</row>
    <row r="43" spans="1:14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</row>
    <row r="44" spans="1:1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</row>
    <row r="45" spans="1:14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</row>
    <row r="46" spans="1:14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</row>
    <row r="47" spans="1:14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</row>
    <row r="48" spans="1:14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</row>
    <row r="49" spans="1:1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</row>
    <row r="50" spans="1:1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</row>
  </sheetData>
  <mergeCells count="17">
    <mergeCell ref="C12:D12"/>
    <mergeCell ref="E20:J20"/>
    <mergeCell ref="E19:J19"/>
    <mergeCell ref="B1:D1"/>
    <mergeCell ref="E18:J18"/>
    <mergeCell ref="C5:D5"/>
    <mergeCell ref="C6:D6"/>
    <mergeCell ref="C7:D7"/>
    <mergeCell ref="C8:D8"/>
    <mergeCell ref="C9:D9"/>
    <mergeCell ref="C10:D10"/>
    <mergeCell ref="C11:D11"/>
    <mergeCell ref="E22:J22"/>
    <mergeCell ref="E21:J21"/>
    <mergeCell ref="E16:J16"/>
    <mergeCell ref="E17:J17"/>
    <mergeCell ref="I2:J2"/>
  </mergeCells>
  <pageMargins left="0" right="0" top="0" bottom="0" header="0" footer="0"/>
  <pageSetup paperSize="5" scale="4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9304-2CFF-4E87-9F4C-58C052AC34D3}">
  <sheetPr>
    <pageSetUpPr fitToPage="1"/>
  </sheetPr>
  <dimension ref="A1:Q47"/>
  <sheetViews>
    <sheetView zoomScale="55" zoomScaleNormal="55" workbookViewId="0">
      <selection activeCell="E13" sqref="E13:J13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101"/>
      <c r="B1" s="674"/>
      <c r="C1" s="675"/>
      <c r="D1" s="676"/>
      <c r="E1" s="82"/>
      <c r="F1" s="85"/>
      <c r="G1" s="83"/>
      <c r="I1" s="100"/>
      <c r="J1" s="99"/>
      <c r="K1" s="107"/>
      <c r="L1" s="107"/>
      <c r="M1" s="90"/>
      <c r="N1" s="84"/>
      <c r="O1" s="84"/>
      <c r="P1" s="93"/>
    </row>
    <row r="2" spans="1:17" ht="36">
      <c r="B2" s="123" t="s">
        <v>329</v>
      </c>
      <c r="C2" s="123"/>
      <c r="D2" s="85"/>
      <c r="E2" s="91"/>
      <c r="G2" s="93"/>
      <c r="H2" s="85"/>
      <c r="I2" s="670" t="s">
        <v>302</v>
      </c>
      <c r="J2" s="671"/>
      <c r="K2" s="96"/>
      <c r="L2" s="85"/>
      <c r="M2" s="93"/>
      <c r="N2" s="85"/>
      <c r="O2" s="82"/>
      <c r="P2" s="85"/>
      <c r="Q2" s="82"/>
    </row>
    <row r="3" spans="1:17" s="62" customFormat="1" ht="22.5" customHeight="1">
      <c r="A3" s="88"/>
      <c r="B3" s="62" t="s">
        <v>303</v>
      </c>
      <c r="D3" s="94"/>
      <c r="E3" s="87"/>
      <c r="F3" s="89"/>
      <c r="G3" s="94"/>
      <c r="H3" s="97"/>
      <c r="I3" s="98"/>
      <c r="J3" s="98"/>
      <c r="K3" s="89"/>
      <c r="L3" s="89"/>
      <c r="M3" s="89"/>
      <c r="N3" s="87"/>
      <c r="O3" s="87"/>
      <c r="P3" s="89"/>
      <c r="Q3" s="122"/>
    </row>
    <row r="4" spans="1:17" s="63" customFormat="1" ht="25.5" customHeight="1" thickBot="1">
      <c r="B4" s="136" t="s">
        <v>105</v>
      </c>
      <c r="C4" s="302"/>
      <c r="D4" s="207"/>
      <c r="F4" s="206"/>
      <c r="G4" s="111"/>
      <c r="H4" s="111"/>
      <c r="I4" s="206"/>
      <c r="J4" s="206"/>
      <c r="K4" s="206"/>
      <c r="L4" s="96"/>
      <c r="M4" s="111"/>
      <c r="N4" s="112"/>
      <c r="O4" s="95"/>
      <c r="P4" s="96"/>
      <c r="Q4" s="121"/>
    </row>
    <row r="5" spans="1:17" ht="78" customHeight="1" thickBot="1">
      <c r="A5" s="92"/>
      <c r="B5" s="384" t="s">
        <v>98</v>
      </c>
      <c r="C5" s="677" t="s">
        <v>99</v>
      </c>
      <c r="D5" s="678"/>
      <c r="E5" s="381" t="s">
        <v>101</v>
      </c>
      <c r="F5" s="381" t="s">
        <v>100</v>
      </c>
      <c r="G5" s="381" t="s">
        <v>102</v>
      </c>
      <c r="H5" s="382" t="s">
        <v>159</v>
      </c>
      <c r="I5" s="382" t="s">
        <v>103</v>
      </c>
      <c r="J5" s="383" t="s">
        <v>104</v>
      </c>
      <c r="K5" s="208"/>
      <c r="L5" s="85"/>
      <c r="M5" s="85"/>
      <c r="N5" s="85"/>
      <c r="O5" s="84"/>
      <c r="P5" s="107"/>
    </row>
    <row r="6" spans="1:17" ht="28.5">
      <c r="A6" s="82"/>
      <c r="B6" s="218"/>
      <c r="C6" s="679"/>
      <c r="D6" s="680"/>
      <c r="E6" s="465"/>
      <c r="F6" s="465"/>
      <c r="G6" s="465"/>
      <c r="H6" s="465"/>
      <c r="I6" s="465"/>
      <c r="J6" s="468"/>
      <c r="K6" s="106"/>
      <c r="L6" s="85"/>
      <c r="M6" s="109"/>
      <c r="N6" s="85"/>
      <c r="O6" s="85"/>
      <c r="P6" s="82"/>
    </row>
    <row r="7" spans="1:17" ht="28.5">
      <c r="A7" s="82"/>
      <c r="B7" s="219"/>
      <c r="C7" s="681"/>
      <c r="D7" s="682"/>
      <c r="E7" s="466"/>
      <c r="F7" s="466"/>
      <c r="G7" s="466"/>
      <c r="H7" s="466"/>
      <c r="I7" s="466"/>
      <c r="J7" s="469"/>
      <c r="K7" s="81"/>
      <c r="L7" s="85"/>
      <c r="M7" s="109"/>
      <c r="N7" s="109"/>
      <c r="O7" s="85"/>
      <c r="P7" s="82"/>
    </row>
    <row r="8" spans="1:17">
      <c r="A8" s="82"/>
      <c r="B8" s="599"/>
      <c r="C8" s="602"/>
      <c r="E8" s="604"/>
      <c r="F8" s="602"/>
      <c r="H8" s="601"/>
      <c r="J8" s="90"/>
      <c r="K8" s="81"/>
      <c r="L8" s="85"/>
      <c r="M8" s="109"/>
      <c r="N8" s="109"/>
      <c r="O8" s="85"/>
      <c r="P8" s="82"/>
    </row>
    <row r="9" spans="1:17">
      <c r="A9" s="82"/>
      <c r="B9" s="85"/>
      <c r="C9" s="85"/>
      <c r="D9" s="81"/>
      <c r="E9" s="85"/>
      <c r="F9" s="85"/>
      <c r="G9" s="85"/>
      <c r="H9" s="84"/>
      <c r="I9" s="83"/>
      <c r="J9" s="82"/>
      <c r="K9" s="81"/>
      <c r="L9" s="85"/>
      <c r="M9" s="109"/>
      <c r="N9" s="109"/>
      <c r="O9" s="85"/>
      <c r="P9" s="82"/>
    </row>
    <row r="10" spans="1:17" ht="15.75" thickBot="1">
      <c r="A10" s="82"/>
      <c r="B10" s="600"/>
      <c r="C10" s="92"/>
      <c r="D10" s="603"/>
      <c r="E10" s="606"/>
      <c r="F10" s="606"/>
      <c r="G10" s="606"/>
      <c r="H10" s="90"/>
      <c r="I10" s="605"/>
      <c r="J10" s="90"/>
      <c r="K10" s="81"/>
      <c r="L10" s="85"/>
      <c r="M10" s="109"/>
      <c r="N10" s="109"/>
      <c r="O10" s="85"/>
      <c r="P10" s="82"/>
    </row>
    <row r="11" spans="1:17" ht="30.75" customHeight="1" thickBot="1">
      <c r="A11" s="82"/>
      <c r="B11" s="488" t="s">
        <v>108</v>
      </c>
      <c r="C11" s="500"/>
      <c r="D11" s="292" t="s">
        <v>109</v>
      </c>
      <c r="E11" s="129"/>
      <c r="F11" s="130"/>
      <c r="G11" s="131"/>
      <c r="H11" s="132"/>
      <c r="I11" s="133"/>
      <c r="J11" s="134"/>
      <c r="K11" s="304"/>
      <c r="L11" s="85"/>
      <c r="M11" s="85"/>
      <c r="N11" s="109"/>
      <c r="O11" s="85"/>
      <c r="P11" s="82"/>
    </row>
    <row r="12" spans="1:17" ht="8.25" customHeight="1" thickBot="1">
      <c r="A12" s="90"/>
      <c r="B12" s="487"/>
      <c r="C12" s="303"/>
      <c r="D12" s="293"/>
      <c r="E12" s="294"/>
      <c r="F12" s="294"/>
      <c r="G12" s="295"/>
      <c r="H12" s="294"/>
      <c r="I12" s="295"/>
      <c r="J12" s="296"/>
      <c r="L12" s="85"/>
      <c r="M12" s="107"/>
      <c r="N12" s="85"/>
      <c r="O12" s="82"/>
      <c r="P12" s="82"/>
    </row>
    <row r="13" spans="1:17" ht="74.25" customHeight="1" thickBot="1">
      <c r="A13" s="82"/>
      <c r="B13" s="490" t="s">
        <v>187</v>
      </c>
      <c r="C13" s="499"/>
      <c r="D13" s="297"/>
      <c r="E13" s="667"/>
      <c r="F13" s="668"/>
      <c r="G13" s="668"/>
      <c r="H13" s="668"/>
      <c r="I13" s="668"/>
      <c r="J13" s="669"/>
      <c r="K13" s="305"/>
      <c r="L13" s="118"/>
      <c r="M13" s="116"/>
      <c r="N13" s="115"/>
      <c r="P13" s="82"/>
    </row>
    <row r="14" spans="1:17" ht="108.75" customHeight="1" thickBot="1">
      <c r="A14" s="90"/>
      <c r="B14" s="492" t="s">
        <v>106</v>
      </c>
      <c r="C14" s="498"/>
      <c r="D14" s="297"/>
      <c r="E14" s="667"/>
      <c r="F14" s="668"/>
      <c r="G14" s="668"/>
      <c r="H14" s="668"/>
      <c r="I14" s="668"/>
      <c r="J14" s="669"/>
      <c r="K14" s="139"/>
      <c r="L14" s="126"/>
      <c r="M14" s="118"/>
      <c r="N14" s="118"/>
      <c r="O14" s="85"/>
      <c r="P14" s="82"/>
    </row>
    <row r="15" spans="1:17" ht="87" customHeight="1" thickBot="1">
      <c r="A15" s="81"/>
      <c r="B15" s="492" t="s">
        <v>107</v>
      </c>
      <c r="C15" s="491"/>
      <c r="D15" s="497"/>
      <c r="E15" s="683"/>
      <c r="F15" s="683"/>
      <c r="G15" s="683"/>
      <c r="H15" s="683"/>
      <c r="I15" s="683"/>
      <c r="J15" s="683"/>
      <c r="K15" s="85"/>
      <c r="L15" s="118"/>
      <c r="M15" s="114"/>
      <c r="N15" s="113"/>
      <c r="O15" s="61"/>
      <c r="P15" s="90"/>
    </row>
    <row r="16" spans="1:17" ht="74.25" customHeight="1">
      <c r="A16" s="85"/>
      <c r="B16" s="90"/>
      <c r="C16" s="85"/>
      <c r="D16" s="494"/>
      <c r="E16" s="85"/>
      <c r="F16" s="85"/>
      <c r="G16" s="85"/>
      <c r="H16" s="85"/>
      <c r="I16" s="85"/>
      <c r="J16" s="85"/>
      <c r="K16" s="83"/>
      <c r="L16" s="126"/>
      <c r="M16" s="114"/>
      <c r="N16" s="113"/>
      <c r="O16" s="115"/>
      <c r="P16" s="81"/>
    </row>
    <row r="17" spans="1:16" ht="108" customHeight="1">
      <c r="A17" s="82"/>
      <c r="B17" s="93"/>
      <c r="C17" s="107"/>
      <c r="D17" s="501"/>
      <c r="E17" s="683"/>
      <c r="F17" s="683"/>
      <c r="G17" s="683"/>
      <c r="H17" s="683"/>
      <c r="I17" s="683"/>
      <c r="J17" s="683"/>
      <c r="K17" s="86"/>
      <c r="L17" s="300"/>
      <c r="M17" s="117"/>
      <c r="N17" s="115"/>
      <c r="O17" s="113"/>
    </row>
    <row r="18" spans="1:16" s="229" customFormat="1" ht="81.75" customHeight="1">
      <c r="B18" s="230"/>
      <c r="C18" s="231"/>
      <c r="D18" s="496"/>
      <c r="E18" s="683"/>
      <c r="F18" s="683"/>
      <c r="G18" s="683"/>
      <c r="H18" s="683"/>
      <c r="I18" s="683"/>
      <c r="J18" s="683"/>
      <c r="K18" s="493"/>
      <c r="L18" s="61"/>
      <c r="M18" s="115"/>
      <c r="N18" s="115"/>
      <c r="O18" s="120"/>
    </row>
    <row r="19" spans="1:16" ht="98.25" customHeight="1">
      <c r="A19" s="86"/>
      <c r="B19" s="109"/>
      <c r="C19" s="90"/>
      <c r="D19" s="495"/>
      <c r="E19" s="683"/>
      <c r="F19" s="683"/>
      <c r="G19" s="683"/>
      <c r="H19" s="683"/>
      <c r="I19" s="683"/>
      <c r="J19" s="683"/>
      <c r="L19" s="115"/>
      <c r="M19" s="118"/>
      <c r="N19" s="118"/>
      <c r="O19" s="115"/>
      <c r="P19" s="61"/>
    </row>
    <row r="20" spans="1:16" ht="23.25" customHeight="1">
      <c r="A20" s="86"/>
      <c r="B20" s="106"/>
      <c r="C20" s="106"/>
      <c r="D20" s="107"/>
      <c r="F20" s="107"/>
      <c r="G20" s="84"/>
      <c r="H20" s="84"/>
      <c r="I20" s="107"/>
      <c r="K20" s="85"/>
      <c r="L20" s="85"/>
      <c r="M20" s="93"/>
      <c r="N20" s="107"/>
      <c r="O20" s="107"/>
    </row>
    <row r="21" spans="1:16" ht="22.5" customHeight="1">
      <c r="A21" s="86"/>
      <c r="B21" s="106"/>
      <c r="C21" s="106"/>
      <c r="D21" s="85"/>
      <c r="E21" s="81"/>
      <c r="F21" s="85"/>
      <c r="G21" s="92"/>
      <c r="H21" s="85"/>
      <c r="I21" s="85"/>
      <c r="J21" s="82"/>
      <c r="K21" s="82"/>
      <c r="L21" s="82"/>
      <c r="M21" s="85"/>
      <c r="N21" s="85"/>
      <c r="O21" s="109"/>
    </row>
    <row r="22" spans="1:16" ht="22.5" customHeight="1">
      <c r="A22" s="86"/>
      <c r="B22" s="85"/>
      <c r="C22" s="93"/>
      <c r="D22" s="93"/>
      <c r="E22" s="85"/>
      <c r="F22" s="85"/>
      <c r="G22" s="86"/>
      <c r="H22" s="85"/>
      <c r="I22" s="85"/>
      <c r="J22" s="84"/>
      <c r="K22" s="107"/>
      <c r="L22" s="101"/>
      <c r="M22" s="85"/>
      <c r="N22" s="107"/>
      <c r="O22" s="109"/>
    </row>
    <row r="23" spans="1:16">
      <c r="A23" s="83"/>
      <c r="B23" s="93"/>
      <c r="C23" s="93"/>
      <c r="D23" s="85"/>
      <c r="E23" s="106"/>
      <c r="F23" s="85"/>
      <c r="G23" s="93"/>
      <c r="H23" s="85"/>
      <c r="I23" s="108"/>
      <c r="J23" s="82"/>
      <c r="K23" s="82"/>
      <c r="L23" s="82"/>
      <c r="M23" s="85"/>
      <c r="N23" s="107"/>
      <c r="O23" s="107"/>
    </row>
    <row r="24" spans="1:16" ht="15.75" thickBot="1">
      <c r="A24" s="86"/>
      <c r="B24" s="85"/>
      <c r="C24" s="107"/>
      <c r="D24" s="107"/>
      <c r="E24" s="85"/>
      <c r="F24" s="109"/>
      <c r="G24" s="93"/>
      <c r="H24" s="93"/>
      <c r="I24" s="93"/>
      <c r="J24" s="93"/>
      <c r="K24" s="86"/>
      <c r="M24" s="93"/>
      <c r="N24" s="93"/>
      <c r="O24" s="109"/>
    </row>
    <row r="25" spans="1:16">
      <c r="A25" s="86"/>
      <c r="B25" s="107"/>
      <c r="C25" s="107"/>
      <c r="D25" s="107"/>
      <c r="E25" s="85"/>
      <c r="F25" s="93"/>
      <c r="G25" s="85"/>
      <c r="H25" s="93"/>
      <c r="I25" s="82"/>
      <c r="J25" s="124"/>
      <c r="K25" s="125"/>
      <c r="L25" s="81"/>
      <c r="M25" s="106"/>
      <c r="N25" s="93"/>
      <c r="O25" s="93"/>
    </row>
    <row r="26" spans="1:1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3"/>
      <c r="M26" s="85"/>
      <c r="N26" s="83"/>
      <c r="O26" s="85"/>
    </row>
    <row r="27" spans="1:16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92"/>
      <c r="M27" s="82"/>
      <c r="N27" s="83"/>
      <c r="O27" s="108"/>
    </row>
    <row r="28" spans="1:16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6"/>
      <c r="M28" s="85"/>
      <c r="N28" s="108"/>
    </row>
    <row r="29" spans="1:16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3"/>
      <c r="M29" s="107"/>
      <c r="N29" s="90"/>
    </row>
    <row r="30" spans="1:16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108"/>
      <c r="M30" s="107"/>
    </row>
    <row r="31" spans="1:16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101"/>
      <c r="M31" s="85"/>
    </row>
    <row r="32" spans="1:16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6"/>
      <c r="M32" s="84"/>
      <c r="N32" s="101"/>
    </row>
    <row r="33" spans="1:14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1"/>
      <c r="M33" s="106"/>
      <c r="N33" s="81"/>
    </row>
    <row r="34" spans="1:1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</row>
    <row r="35" spans="1:14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</row>
    <row r="36" spans="1:14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</row>
    <row r="37" spans="1:14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</row>
    <row r="38" spans="1:14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</row>
    <row r="39" spans="1:14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</row>
    <row r="40" spans="1:14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</row>
    <row r="41" spans="1:14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spans="1:14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</row>
    <row r="43" spans="1:14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</row>
    <row r="44" spans="1:1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</row>
    <row r="45" spans="1:14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</row>
    <row r="46" spans="1:14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</row>
    <row r="47" spans="1:14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</row>
  </sheetData>
  <mergeCells count="11">
    <mergeCell ref="E18:J18"/>
    <mergeCell ref="E19:J19"/>
    <mergeCell ref="E13:J13"/>
    <mergeCell ref="E14:J14"/>
    <mergeCell ref="B1:D1"/>
    <mergeCell ref="I2:J2"/>
    <mergeCell ref="C5:D5"/>
    <mergeCell ref="E15:J15"/>
    <mergeCell ref="E17:J17"/>
    <mergeCell ref="C6:D6"/>
    <mergeCell ref="C7:D7"/>
  </mergeCells>
  <pageMargins left="0" right="0" top="0" bottom="0" header="0" footer="0"/>
  <pageSetup paperSize="5" scale="4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16E-6E49-4668-BE0E-44A00D54EB66}">
  <sheetPr>
    <pageSetUpPr fitToPage="1"/>
  </sheetPr>
  <dimension ref="A1:AB80"/>
  <sheetViews>
    <sheetView topLeftCell="A18" zoomScale="70" zoomScaleNormal="70" workbookViewId="0">
      <selection activeCell="AA11" sqref="AA11"/>
    </sheetView>
  </sheetViews>
  <sheetFormatPr baseColWidth="10" defaultRowHeight="15"/>
  <cols>
    <col min="1" max="1" width="3.5703125" customWidth="1"/>
    <col min="2" max="2" width="39" customWidth="1"/>
    <col min="3" max="3" width="20.85546875" customWidth="1"/>
    <col min="4" max="4" width="22" customWidth="1"/>
    <col min="5" max="5" width="12" customWidth="1"/>
    <col min="6" max="6" width="2.85546875" customWidth="1"/>
    <col min="7" max="7" width="10.5703125" customWidth="1"/>
    <col min="8" max="8" width="13" customWidth="1"/>
    <col min="9" max="9" width="3.140625" customWidth="1"/>
    <col min="10" max="10" width="5" customWidth="1"/>
    <col min="11" max="11" width="6.7109375" customWidth="1"/>
    <col min="12" max="12" width="2.85546875" customWidth="1"/>
    <col min="13" max="13" width="6" customWidth="1"/>
    <col min="14" max="14" width="8.85546875" customWidth="1"/>
    <col min="15" max="15" width="8.5703125" customWidth="1"/>
    <col min="16" max="16" width="11.42578125" customWidth="1"/>
    <col min="17" max="17" width="5.5703125" customWidth="1"/>
    <col min="18" max="18" width="17.140625" customWidth="1"/>
    <col min="19" max="19" width="21" customWidth="1"/>
    <col min="20" max="20" width="13.140625" customWidth="1"/>
    <col min="21" max="21" width="3.85546875" customWidth="1"/>
    <col min="22" max="22" width="11" customWidth="1"/>
    <col min="23" max="23" width="5.140625" customWidth="1"/>
    <col min="24" max="24" width="12.85546875" customWidth="1"/>
    <col min="25" max="25" width="17.140625" customWidth="1"/>
    <col min="26" max="26" width="0.140625" customWidth="1"/>
    <col min="27" max="27" width="7.85546875" customWidth="1"/>
  </cols>
  <sheetData>
    <row r="1" spans="1:28" ht="29.25" customHeight="1" thickBot="1">
      <c r="A1" s="181"/>
      <c r="B1" s="775" t="s">
        <v>0</v>
      </c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  <c r="V1" s="776"/>
      <c r="W1" s="776"/>
      <c r="X1" s="776"/>
      <c r="Y1" s="777"/>
      <c r="Z1" s="176"/>
    </row>
    <row r="2" spans="1:28" ht="9" customHeight="1" thickBot="1">
      <c r="A2" s="179"/>
      <c r="B2" s="9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90"/>
      <c r="R2" s="109"/>
      <c r="S2" s="109"/>
      <c r="T2" s="109"/>
      <c r="U2" s="90"/>
      <c r="V2" s="109"/>
      <c r="W2" s="109"/>
      <c r="X2" s="109"/>
      <c r="Y2" s="90"/>
      <c r="Z2" s="85"/>
      <c r="AA2" s="106"/>
    </row>
    <row r="3" spans="1:28" ht="24.75" customHeight="1" thickBot="1">
      <c r="A3" s="182" t="s">
        <v>155</v>
      </c>
      <c r="B3" s="778" t="s">
        <v>185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80"/>
      <c r="Z3" s="177"/>
      <c r="AA3" s="106"/>
    </row>
    <row r="4" spans="1:28" ht="23.25" customHeight="1" thickBot="1">
      <c r="A4" s="183" t="s">
        <v>156</v>
      </c>
      <c r="B4" s="781" t="s">
        <v>213</v>
      </c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782"/>
      <c r="O4" s="782"/>
      <c r="P4" s="782"/>
      <c r="Q4" s="782"/>
      <c r="R4" s="782"/>
      <c r="S4" s="782"/>
      <c r="T4" s="782"/>
      <c r="U4" s="782"/>
      <c r="V4" s="782"/>
      <c r="W4" s="782"/>
      <c r="X4" s="782"/>
      <c r="Y4" s="783"/>
      <c r="Z4" s="178"/>
      <c r="AA4" s="106"/>
    </row>
    <row r="5" spans="1:28" ht="15.75" thickBot="1">
      <c r="A5" s="180"/>
      <c r="B5" s="91"/>
      <c r="C5" s="109"/>
      <c r="D5" s="109"/>
      <c r="E5" s="109"/>
      <c r="F5" s="107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90"/>
      <c r="R5" s="90"/>
      <c r="S5" s="109"/>
      <c r="T5" s="109"/>
      <c r="U5" s="90"/>
      <c r="V5" s="109"/>
      <c r="W5" s="109"/>
      <c r="X5" s="109"/>
      <c r="Y5" s="90"/>
      <c r="Z5" s="85"/>
      <c r="AA5" s="106"/>
    </row>
    <row r="6" spans="1:28" ht="24.75" customHeight="1" thickBot="1">
      <c r="A6" s="184"/>
      <c r="B6" s="787" t="s">
        <v>112</v>
      </c>
      <c r="C6" s="788"/>
      <c r="D6" s="788"/>
      <c r="E6" s="789"/>
      <c r="F6" s="92"/>
      <c r="G6" s="145"/>
      <c r="H6" s="753" t="s">
        <v>117</v>
      </c>
      <c r="I6" s="754"/>
      <c r="J6" s="754"/>
      <c r="K6" s="755"/>
      <c r="L6" s="92"/>
      <c r="M6" s="145"/>
      <c r="N6" s="765" t="s">
        <v>136</v>
      </c>
      <c r="O6" s="766"/>
      <c r="P6" s="767"/>
      <c r="Q6" s="152"/>
      <c r="R6" s="154"/>
      <c r="S6" s="760" t="s">
        <v>118</v>
      </c>
      <c r="T6" s="761"/>
      <c r="U6" s="155"/>
      <c r="V6" s="159"/>
      <c r="W6" s="146"/>
      <c r="X6" s="760" t="s">
        <v>119</v>
      </c>
      <c r="Y6" s="761"/>
      <c r="Z6" s="83"/>
      <c r="AA6" s="106"/>
    </row>
    <row r="7" spans="1:28" ht="30.75" customHeight="1" thickBot="1">
      <c r="A7" s="184"/>
      <c r="B7" s="373" t="s">
        <v>113</v>
      </c>
      <c r="C7" s="374" t="s">
        <v>114</v>
      </c>
      <c r="D7" s="375" t="s">
        <v>115</v>
      </c>
      <c r="E7" s="376" t="s">
        <v>116</v>
      </c>
      <c r="F7" s="92"/>
      <c r="G7" s="119"/>
      <c r="H7" s="762">
        <f>I23</f>
        <v>68</v>
      </c>
      <c r="I7" s="764"/>
      <c r="J7" s="764"/>
      <c r="K7" s="763"/>
      <c r="L7" s="92"/>
      <c r="M7" s="119"/>
      <c r="N7" s="768">
        <f>L23</f>
        <v>187</v>
      </c>
      <c r="O7" s="769"/>
      <c r="P7" s="770"/>
      <c r="Q7" s="153"/>
      <c r="R7" s="155"/>
      <c r="S7" s="762">
        <f>O23</f>
        <v>473</v>
      </c>
      <c r="T7" s="763"/>
      <c r="U7" s="92"/>
      <c r="V7" s="158"/>
      <c r="W7" s="85"/>
      <c r="X7" s="762">
        <f>R23</f>
        <v>526</v>
      </c>
      <c r="Y7" s="763"/>
      <c r="Z7" s="144"/>
      <c r="AA7" s="106"/>
    </row>
    <row r="8" spans="1:28" ht="21.75" customHeight="1" thickBot="1">
      <c r="A8" s="184"/>
      <c r="B8" s="192" t="s">
        <v>304</v>
      </c>
      <c r="C8" s="187" t="s">
        <v>312</v>
      </c>
      <c r="D8" s="185">
        <v>2019</v>
      </c>
      <c r="E8" s="201"/>
      <c r="F8" s="92"/>
      <c r="G8" s="147"/>
      <c r="H8" s="148"/>
      <c r="I8" s="149"/>
      <c r="J8" s="157"/>
      <c r="K8" s="150"/>
      <c r="L8" s="92"/>
      <c r="M8" s="147"/>
      <c r="N8" s="151"/>
      <c r="O8" s="151"/>
      <c r="P8" s="150"/>
      <c r="Q8" s="92"/>
      <c r="R8" s="156"/>
      <c r="S8" s="151"/>
      <c r="T8" s="150"/>
      <c r="U8" s="81"/>
      <c r="V8" s="147"/>
      <c r="W8" s="151"/>
      <c r="X8" s="151"/>
      <c r="Y8" s="150"/>
      <c r="Z8" s="83"/>
      <c r="AA8" s="106"/>
    </row>
    <row r="9" spans="1:28" ht="18" customHeight="1" thickBot="1">
      <c r="A9" s="186"/>
      <c r="B9" s="192" t="s">
        <v>305</v>
      </c>
      <c r="C9" s="188" t="s">
        <v>313</v>
      </c>
      <c r="D9" s="137">
        <v>2024</v>
      </c>
      <c r="E9" s="202"/>
      <c r="F9" s="83"/>
      <c r="G9" s="109"/>
      <c r="H9" s="109"/>
      <c r="I9" s="109"/>
      <c r="J9" s="109"/>
      <c r="K9" s="109"/>
      <c r="L9" s="109"/>
      <c r="M9" s="109"/>
      <c r="N9" s="109"/>
      <c r="O9" s="163"/>
      <c r="P9" s="109"/>
      <c r="Q9" s="90"/>
      <c r="R9" s="90"/>
      <c r="S9" s="109"/>
      <c r="T9" s="109"/>
      <c r="U9" s="93"/>
      <c r="V9" s="109"/>
      <c r="W9" s="109"/>
      <c r="X9" s="109"/>
      <c r="Y9" s="90"/>
      <c r="Z9" s="85"/>
      <c r="AA9" s="106"/>
    </row>
    <row r="10" spans="1:28" ht="21" customHeight="1">
      <c r="A10" s="84"/>
      <c r="B10" s="192" t="s">
        <v>306</v>
      </c>
      <c r="C10" s="188" t="s">
        <v>313</v>
      </c>
      <c r="D10" s="137">
        <v>2024</v>
      </c>
      <c r="E10" s="202"/>
      <c r="F10" s="92"/>
      <c r="G10" s="794" t="s">
        <v>120</v>
      </c>
      <c r="H10" s="795"/>
      <c r="I10" s="795"/>
      <c r="J10" s="795"/>
      <c r="K10" s="795"/>
      <c r="L10" s="795"/>
      <c r="M10" s="795"/>
      <c r="N10" s="795"/>
      <c r="O10" s="795"/>
      <c r="P10" s="795"/>
      <c r="Q10" s="795"/>
      <c r="R10" s="795"/>
      <c r="S10" s="795"/>
      <c r="T10" s="795"/>
      <c r="U10" s="795"/>
      <c r="V10" s="795"/>
      <c r="W10" s="795"/>
      <c r="X10" s="795"/>
      <c r="Y10" s="796"/>
      <c r="Z10" s="83"/>
      <c r="AA10" s="106"/>
    </row>
    <row r="11" spans="1:28" ht="19.5" customHeight="1">
      <c r="A11" s="82"/>
      <c r="B11" s="192" t="s">
        <v>307</v>
      </c>
      <c r="C11" s="191" t="s">
        <v>313</v>
      </c>
      <c r="D11" s="137">
        <v>2024</v>
      </c>
      <c r="E11" s="202"/>
      <c r="F11" s="92"/>
      <c r="G11" s="797" t="s">
        <v>121</v>
      </c>
      <c r="H11" s="792"/>
      <c r="I11" s="792" t="s">
        <v>122</v>
      </c>
      <c r="J11" s="792"/>
      <c r="K11" s="792"/>
      <c r="L11" s="792" t="s">
        <v>123</v>
      </c>
      <c r="M11" s="792"/>
      <c r="N11" s="792"/>
      <c r="O11" s="792" t="s">
        <v>124</v>
      </c>
      <c r="P11" s="792"/>
      <c r="Q11" s="792"/>
      <c r="R11" s="792" t="s">
        <v>119</v>
      </c>
      <c r="S11" s="792"/>
      <c r="T11" s="792"/>
      <c r="U11" s="792"/>
      <c r="V11" s="792"/>
      <c r="W11" s="792"/>
      <c r="X11" s="792"/>
      <c r="Y11" s="793"/>
      <c r="Z11" s="83"/>
      <c r="AA11" s="106"/>
    </row>
    <row r="12" spans="1:28" ht="17.25" customHeight="1">
      <c r="A12" s="82"/>
      <c r="B12" s="193" t="s">
        <v>308</v>
      </c>
      <c r="C12" s="195" t="s">
        <v>313</v>
      </c>
      <c r="D12" s="188">
        <v>2024</v>
      </c>
      <c r="E12" s="202"/>
      <c r="F12" s="92"/>
      <c r="G12" s="797"/>
      <c r="H12" s="792"/>
      <c r="I12" s="792"/>
      <c r="J12" s="792"/>
      <c r="K12" s="792"/>
      <c r="L12" s="792"/>
      <c r="M12" s="792"/>
      <c r="N12" s="792"/>
      <c r="O12" s="792"/>
      <c r="P12" s="792"/>
      <c r="Q12" s="792"/>
      <c r="R12" s="719" t="s">
        <v>125</v>
      </c>
      <c r="S12" s="719"/>
      <c r="T12" s="719" t="s">
        <v>126</v>
      </c>
      <c r="U12" s="719"/>
      <c r="V12" s="719" t="s">
        <v>127</v>
      </c>
      <c r="W12" s="719"/>
      <c r="X12" s="719" t="s">
        <v>128</v>
      </c>
      <c r="Y12" s="750"/>
      <c r="Z12" s="83"/>
      <c r="AA12" s="82"/>
    </row>
    <row r="13" spans="1:28" ht="18.75" customHeight="1">
      <c r="A13" s="82"/>
      <c r="B13" s="192" t="s">
        <v>309</v>
      </c>
      <c r="C13" s="187" t="s">
        <v>313</v>
      </c>
      <c r="D13" s="137">
        <v>2024</v>
      </c>
      <c r="E13" s="202"/>
      <c r="F13" s="92"/>
      <c r="G13" s="797"/>
      <c r="H13" s="792"/>
      <c r="I13" s="792"/>
      <c r="J13" s="792"/>
      <c r="K13" s="792"/>
      <c r="L13" s="792"/>
      <c r="M13" s="792"/>
      <c r="N13" s="792"/>
      <c r="O13" s="792"/>
      <c r="P13" s="792"/>
      <c r="Q13" s="792"/>
      <c r="R13" s="719"/>
      <c r="S13" s="719"/>
      <c r="T13" s="719"/>
      <c r="U13" s="719"/>
      <c r="V13" s="719"/>
      <c r="W13" s="719"/>
      <c r="X13" s="790"/>
      <c r="Y13" s="791"/>
      <c r="Z13" s="83"/>
      <c r="AA13" s="84"/>
    </row>
    <row r="14" spans="1:28" ht="18.75" customHeight="1">
      <c r="A14" s="82"/>
      <c r="B14" s="192" t="s">
        <v>310</v>
      </c>
      <c r="C14" s="188" t="s">
        <v>313</v>
      </c>
      <c r="D14" s="137">
        <v>2024</v>
      </c>
      <c r="E14" s="202"/>
      <c r="F14" s="92"/>
      <c r="G14" s="771" t="s">
        <v>18</v>
      </c>
      <c r="H14" s="772"/>
      <c r="I14" s="749">
        <v>4</v>
      </c>
      <c r="J14" s="773"/>
      <c r="K14" s="774"/>
      <c r="L14" s="747">
        <v>8</v>
      </c>
      <c r="M14" s="747"/>
      <c r="N14" s="747"/>
      <c r="O14" s="747">
        <v>30</v>
      </c>
      <c r="P14" s="747"/>
      <c r="Q14" s="747"/>
      <c r="R14" s="747">
        <v>53</v>
      </c>
      <c r="S14" s="747"/>
      <c r="T14" s="747">
        <v>0</v>
      </c>
      <c r="U14" s="747"/>
      <c r="V14" s="747">
        <v>8</v>
      </c>
      <c r="W14" s="749"/>
      <c r="X14" s="747">
        <v>2</v>
      </c>
      <c r="Y14" s="748"/>
      <c r="Z14" s="83"/>
    </row>
    <row r="15" spans="1:28" ht="19.5" customHeight="1" thickBot="1">
      <c r="A15" s="82"/>
      <c r="B15" s="194" t="s">
        <v>311</v>
      </c>
      <c r="C15" s="190" t="s">
        <v>313</v>
      </c>
      <c r="D15" s="189">
        <v>2024</v>
      </c>
      <c r="E15" s="203"/>
      <c r="F15" s="92"/>
      <c r="G15" s="771" t="s">
        <v>16</v>
      </c>
      <c r="H15" s="772"/>
      <c r="I15" s="749">
        <v>11</v>
      </c>
      <c r="J15" s="773"/>
      <c r="K15" s="774"/>
      <c r="L15" s="747">
        <v>30</v>
      </c>
      <c r="M15" s="747"/>
      <c r="N15" s="747"/>
      <c r="O15" s="747">
        <v>105</v>
      </c>
      <c r="P15" s="747"/>
      <c r="Q15" s="747"/>
      <c r="R15" s="747">
        <v>105</v>
      </c>
      <c r="S15" s="747"/>
      <c r="T15" s="747">
        <v>8</v>
      </c>
      <c r="U15" s="747"/>
      <c r="V15" s="747">
        <v>0</v>
      </c>
      <c r="W15" s="749"/>
      <c r="X15" s="747">
        <v>4</v>
      </c>
      <c r="Y15" s="748"/>
      <c r="Z15" s="83"/>
      <c r="AA15" s="106"/>
    </row>
    <row r="16" spans="1:28" ht="24" customHeight="1" thickBot="1">
      <c r="A16" s="85"/>
      <c r="B16" s="109"/>
      <c r="C16" s="109"/>
      <c r="D16" s="109"/>
      <c r="E16" s="109"/>
      <c r="F16" s="82"/>
      <c r="G16" s="771" t="s">
        <v>19</v>
      </c>
      <c r="H16" s="772"/>
      <c r="I16" s="749">
        <v>19</v>
      </c>
      <c r="J16" s="773"/>
      <c r="K16" s="774"/>
      <c r="L16" s="747">
        <v>58</v>
      </c>
      <c r="M16" s="747"/>
      <c r="N16" s="747"/>
      <c r="O16" s="747">
        <v>99</v>
      </c>
      <c r="P16" s="747"/>
      <c r="Q16" s="747"/>
      <c r="R16" s="747">
        <v>107</v>
      </c>
      <c r="S16" s="747"/>
      <c r="T16" s="747">
        <v>8</v>
      </c>
      <c r="U16" s="747"/>
      <c r="V16" s="747">
        <v>6</v>
      </c>
      <c r="W16" s="749"/>
      <c r="X16" s="747">
        <v>7</v>
      </c>
      <c r="Y16" s="748"/>
      <c r="Z16" s="83"/>
      <c r="AA16" s="106"/>
      <c r="AB16" s="197"/>
    </row>
    <row r="17" spans="1:27" ht="21" customHeight="1">
      <c r="A17" s="82"/>
      <c r="B17" s="784" t="s">
        <v>130</v>
      </c>
      <c r="C17" s="785"/>
      <c r="D17" s="785"/>
      <c r="E17" s="786"/>
      <c r="F17" s="92"/>
      <c r="G17" s="771" t="s">
        <v>17</v>
      </c>
      <c r="H17" s="772"/>
      <c r="I17" s="749">
        <v>15</v>
      </c>
      <c r="J17" s="773"/>
      <c r="K17" s="774"/>
      <c r="L17" s="747">
        <v>49</v>
      </c>
      <c r="M17" s="747"/>
      <c r="N17" s="747"/>
      <c r="O17" s="747">
        <v>127</v>
      </c>
      <c r="P17" s="747"/>
      <c r="Q17" s="747"/>
      <c r="R17" s="747">
        <v>134</v>
      </c>
      <c r="S17" s="747"/>
      <c r="T17" s="747">
        <v>12</v>
      </c>
      <c r="U17" s="747"/>
      <c r="V17" s="747">
        <v>5</v>
      </c>
      <c r="W17" s="749"/>
      <c r="X17" s="747">
        <v>7</v>
      </c>
      <c r="Y17" s="748"/>
      <c r="Z17" s="83"/>
      <c r="AA17" s="106"/>
    </row>
    <row r="18" spans="1:27" ht="34.5" customHeight="1">
      <c r="A18" s="82"/>
      <c r="B18" s="377" t="s">
        <v>131</v>
      </c>
      <c r="C18" s="378" t="s">
        <v>125</v>
      </c>
      <c r="D18" s="379" t="s">
        <v>111</v>
      </c>
      <c r="E18" s="380" t="s">
        <v>132</v>
      </c>
      <c r="F18" s="92"/>
      <c r="G18" s="771" t="s">
        <v>317</v>
      </c>
      <c r="H18" s="772"/>
      <c r="I18" s="749">
        <v>1</v>
      </c>
      <c r="J18" s="773"/>
      <c r="K18" s="774"/>
      <c r="L18" s="747">
        <v>2</v>
      </c>
      <c r="M18" s="747"/>
      <c r="N18" s="747"/>
      <c r="O18" s="747">
        <v>4</v>
      </c>
      <c r="P18" s="747"/>
      <c r="Q18" s="747"/>
      <c r="R18" s="747">
        <v>4</v>
      </c>
      <c r="S18" s="747"/>
      <c r="T18" s="747">
        <v>0</v>
      </c>
      <c r="U18" s="747"/>
      <c r="V18" s="747">
        <v>2</v>
      </c>
      <c r="W18" s="749"/>
      <c r="X18" s="747">
        <v>2</v>
      </c>
      <c r="Y18" s="748"/>
      <c r="Z18" s="83"/>
      <c r="AA18" s="106"/>
    </row>
    <row r="19" spans="1:27" ht="30.75" customHeight="1">
      <c r="A19" s="82"/>
      <c r="B19" s="160" t="s">
        <v>133</v>
      </c>
      <c r="C19" s="137">
        <v>16</v>
      </c>
      <c r="D19" s="142" t="s">
        <v>316</v>
      </c>
      <c r="E19" s="204"/>
      <c r="F19" s="92"/>
      <c r="G19" s="771" t="s">
        <v>318</v>
      </c>
      <c r="H19" s="772"/>
      <c r="I19" s="749">
        <v>5</v>
      </c>
      <c r="J19" s="773"/>
      <c r="K19" s="774"/>
      <c r="L19" s="747">
        <v>8</v>
      </c>
      <c r="M19" s="747"/>
      <c r="N19" s="747"/>
      <c r="O19" s="747">
        <v>22</v>
      </c>
      <c r="P19" s="747"/>
      <c r="Q19" s="747"/>
      <c r="R19" s="747">
        <v>22</v>
      </c>
      <c r="S19" s="747"/>
      <c r="T19" s="747">
        <v>0</v>
      </c>
      <c r="U19" s="747"/>
      <c r="V19" s="747">
        <v>2</v>
      </c>
      <c r="W19" s="749"/>
      <c r="X19" s="747">
        <v>0</v>
      </c>
      <c r="Y19" s="748"/>
      <c r="Z19" s="83"/>
      <c r="AA19" s="106"/>
    </row>
    <row r="20" spans="1:27" ht="30" customHeight="1">
      <c r="A20" s="82"/>
      <c r="B20" s="160" t="s">
        <v>134</v>
      </c>
      <c r="C20" s="142">
        <v>13</v>
      </c>
      <c r="D20" s="142" t="s">
        <v>316</v>
      </c>
      <c r="E20" s="204"/>
      <c r="F20" s="92"/>
      <c r="G20" s="771" t="s">
        <v>22</v>
      </c>
      <c r="H20" s="772"/>
      <c r="I20" s="749">
        <v>9</v>
      </c>
      <c r="J20" s="773"/>
      <c r="K20" s="774"/>
      <c r="L20" s="747">
        <v>22</v>
      </c>
      <c r="M20" s="747"/>
      <c r="N20" s="747"/>
      <c r="O20" s="747">
        <v>32</v>
      </c>
      <c r="P20" s="747"/>
      <c r="Q20" s="747"/>
      <c r="R20" s="747">
        <v>33</v>
      </c>
      <c r="S20" s="747"/>
      <c r="T20" s="747">
        <v>0</v>
      </c>
      <c r="U20" s="747"/>
      <c r="V20" s="747">
        <v>0</v>
      </c>
      <c r="W20" s="749"/>
      <c r="X20" s="747">
        <v>0</v>
      </c>
      <c r="Y20" s="748"/>
      <c r="Z20" s="83"/>
      <c r="AA20" s="106"/>
    </row>
    <row r="21" spans="1:27" ht="30" customHeight="1">
      <c r="A21" s="82"/>
      <c r="B21" s="160" t="s">
        <v>314</v>
      </c>
      <c r="C21" s="142">
        <v>35</v>
      </c>
      <c r="D21" s="142" t="s">
        <v>316</v>
      </c>
      <c r="E21" s="204"/>
      <c r="F21" s="92"/>
      <c r="G21" s="771" t="s">
        <v>20</v>
      </c>
      <c r="H21" s="772"/>
      <c r="I21" s="749">
        <v>3</v>
      </c>
      <c r="J21" s="773"/>
      <c r="K21" s="774"/>
      <c r="L21" s="747">
        <v>8</v>
      </c>
      <c r="M21" s="747"/>
      <c r="N21" s="747"/>
      <c r="O21" s="747">
        <v>50</v>
      </c>
      <c r="P21" s="747"/>
      <c r="Q21" s="747"/>
      <c r="R21" s="747">
        <v>62</v>
      </c>
      <c r="S21" s="747"/>
      <c r="T21" s="747">
        <v>0</v>
      </c>
      <c r="U21" s="747"/>
      <c r="V21" s="747">
        <v>10</v>
      </c>
      <c r="W21" s="749"/>
      <c r="X21" s="747">
        <v>11</v>
      </c>
      <c r="Y21" s="748"/>
      <c r="Z21" s="83"/>
      <c r="AA21" s="106"/>
    </row>
    <row r="22" spans="1:27" ht="32.25" customHeight="1">
      <c r="A22" s="82"/>
      <c r="B22" s="160" t="s">
        <v>135</v>
      </c>
      <c r="C22" s="142">
        <v>21</v>
      </c>
      <c r="D22" s="142" t="s">
        <v>316</v>
      </c>
      <c r="E22" s="204"/>
      <c r="F22" s="92"/>
      <c r="G22" s="771" t="s">
        <v>319</v>
      </c>
      <c r="H22" s="772"/>
      <c r="I22" s="749">
        <v>1</v>
      </c>
      <c r="J22" s="773"/>
      <c r="K22" s="774"/>
      <c r="L22" s="747">
        <v>2</v>
      </c>
      <c r="M22" s="747"/>
      <c r="N22" s="747"/>
      <c r="O22" s="747">
        <v>4</v>
      </c>
      <c r="P22" s="747"/>
      <c r="Q22" s="747"/>
      <c r="R22" s="747">
        <v>6</v>
      </c>
      <c r="S22" s="747"/>
      <c r="T22" s="747">
        <v>0</v>
      </c>
      <c r="U22" s="747"/>
      <c r="V22" s="747">
        <v>0</v>
      </c>
      <c r="W22" s="749"/>
      <c r="X22" s="747">
        <v>3</v>
      </c>
      <c r="Y22" s="748"/>
      <c r="Z22" s="83"/>
      <c r="AA22" s="106"/>
    </row>
    <row r="23" spans="1:27" ht="30.75" customHeight="1" thickBot="1">
      <c r="A23" s="82"/>
      <c r="B23" s="161" t="s">
        <v>315</v>
      </c>
      <c r="C23" s="162">
        <v>2</v>
      </c>
      <c r="D23" s="162" t="s">
        <v>316</v>
      </c>
      <c r="E23" s="205"/>
      <c r="F23" s="92"/>
      <c r="G23" s="759" t="s">
        <v>129</v>
      </c>
      <c r="H23" s="751"/>
      <c r="I23" s="751">
        <f>SUM(I14:K22)</f>
        <v>68</v>
      </c>
      <c r="J23" s="751"/>
      <c r="K23" s="751"/>
      <c r="L23" s="751">
        <f>SUM(L14:N22)</f>
        <v>187</v>
      </c>
      <c r="M23" s="751"/>
      <c r="N23" s="751"/>
      <c r="O23" s="756">
        <f>SUM(O14:Q22)</f>
        <v>473</v>
      </c>
      <c r="P23" s="757"/>
      <c r="Q23" s="758"/>
      <c r="R23" s="756">
        <f>SUM(R14:S22)</f>
        <v>526</v>
      </c>
      <c r="S23" s="758"/>
      <c r="T23" s="756">
        <f>SUM(T14:U22)</f>
        <v>28</v>
      </c>
      <c r="U23" s="758"/>
      <c r="V23" s="756">
        <f>SUM(V14:W22)</f>
        <v>33</v>
      </c>
      <c r="W23" s="757"/>
      <c r="X23" s="751">
        <f>SUM(X14:Y22)</f>
        <v>36</v>
      </c>
      <c r="Y23" s="752"/>
      <c r="Z23" s="83"/>
      <c r="AA23" s="106"/>
    </row>
    <row r="24" spans="1:27" ht="12" customHeight="1">
      <c r="A24" s="85"/>
      <c r="B24" s="107"/>
      <c r="C24" s="107"/>
      <c r="D24" s="107"/>
      <c r="E24" s="107"/>
      <c r="F24" s="85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84"/>
      <c r="R24" s="84"/>
      <c r="S24" s="107"/>
      <c r="T24" s="107"/>
      <c r="U24" s="84"/>
      <c r="V24" s="107"/>
      <c r="W24" s="107"/>
      <c r="X24" s="107"/>
      <c r="Y24" s="84"/>
      <c r="Z24" s="85"/>
      <c r="AA24" s="106"/>
    </row>
    <row r="25" spans="1:27" ht="9" customHeight="1" thickBot="1">
      <c r="A25" s="85"/>
      <c r="B25" s="85"/>
      <c r="C25" s="85"/>
      <c r="D25" s="85"/>
      <c r="E25" s="85"/>
      <c r="F25" s="85"/>
      <c r="G25" s="93"/>
      <c r="H25" s="93"/>
      <c r="I25" s="93"/>
      <c r="J25" s="93"/>
      <c r="K25" s="85"/>
      <c r="L25" s="93"/>
      <c r="M25" s="93"/>
      <c r="N25" s="93"/>
      <c r="O25" s="93"/>
      <c r="P25" s="93"/>
      <c r="Q25" s="106"/>
      <c r="R25" s="106"/>
      <c r="S25" s="93"/>
      <c r="T25" s="93"/>
      <c r="U25" s="106"/>
      <c r="V25" s="93"/>
      <c r="W25" s="93"/>
      <c r="X25" s="93"/>
      <c r="Y25" s="106"/>
      <c r="Z25" s="85"/>
      <c r="AA25" s="106"/>
    </row>
    <row r="26" spans="1:27" ht="37.5" customHeight="1">
      <c r="A26" s="85"/>
      <c r="B26" s="85"/>
      <c r="C26" s="85"/>
      <c r="D26" s="85"/>
      <c r="E26" s="85"/>
      <c r="F26" s="82"/>
      <c r="G26" s="138"/>
      <c r="H26" s="714" t="s">
        <v>144</v>
      </c>
      <c r="I26" s="715"/>
      <c r="J26" s="716"/>
      <c r="K26" s="92"/>
      <c r="L26" s="723" t="s">
        <v>137</v>
      </c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5"/>
      <c r="Z26" s="83"/>
      <c r="AA26" s="106"/>
    </row>
    <row r="27" spans="1:27" ht="32.25" customHeight="1">
      <c r="A27" s="85"/>
      <c r="B27" s="85"/>
      <c r="C27" s="85"/>
      <c r="D27" s="85"/>
      <c r="E27" s="85"/>
      <c r="F27" s="82"/>
      <c r="G27" s="139"/>
      <c r="H27" s="696">
        <f>Y38</f>
        <v>64</v>
      </c>
      <c r="I27" s="697"/>
      <c r="J27" s="698"/>
      <c r="K27" s="92"/>
      <c r="L27" s="745" t="s">
        <v>121</v>
      </c>
      <c r="M27" s="719"/>
      <c r="N27" s="719"/>
      <c r="O27" s="719" t="s">
        <v>138</v>
      </c>
      <c r="P27" s="719"/>
      <c r="Q27" s="719" t="s">
        <v>139</v>
      </c>
      <c r="R27" s="719"/>
      <c r="S27" s="719" t="s">
        <v>140</v>
      </c>
      <c r="T27" s="719" t="s">
        <v>141</v>
      </c>
      <c r="U27" s="719"/>
      <c r="V27" s="719" t="s">
        <v>142</v>
      </c>
      <c r="W27" s="719" t="s">
        <v>143</v>
      </c>
      <c r="X27" s="719"/>
      <c r="Y27" s="750" t="s">
        <v>129</v>
      </c>
      <c r="Z27" s="83"/>
      <c r="AA27" s="82"/>
    </row>
    <row r="28" spans="1:27" ht="9.75" customHeight="1">
      <c r="A28" s="85"/>
      <c r="B28" s="85"/>
      <c r="C28" s="85"/>
      <c r="D28" s="85"/>
      <c r="E28" s="85"/>
      <c r="F28" s="82"/>
      <c r="G28" s="139"/>
      <c r="H28" s="85"/>
      <c r="I28" s="85"/>
      <c r="J28" s="168"/>
      <c r="K28" s="92"/>
      <c r="L28" s="745"/>
      <c r="M28" s="719"/>
      <c r="N28" s="719"/>
      <c r="O28" s="719"/>
      <c r="P28" s="719"/>
      <c r="Q28" s="719"/>
      <c r="R28" s="719"/>
      <c r="S28" s="719"/>
      <c r="T28" s="719"/>
      <c r="U28" s="719"/>
      <c r="V28" s="719"/>
      <c r="W28" s="719"/>
      <c r="X28" s="719"/>
      <c r="Y28" s="750"/>
      <c r="Z28" s="83"/>
      <c r="AA28" s="106"/>
    </row>
    <row r="29" spans="1:27" ht="17.25" customHeight="1" thickBot="1">
      <c r="A29" s="85"/>
      <c r="B29" s="85"/>
      <c r="C29" s="85"/>
      <c r="D29" s="85"/>
      <c r="E29" s="85"/>
      <c r="F29" s="82"/>
      <c r="G29" s="140"/>
      <c r="H29" s="169"/>
      <c r="I29" s="169"/>
      <c r="J29" s="141"/>
      <c r="K29" s="92"/>
      <c r="L29" s="731" t="s">
        <v>18</v>
      </c>
      <c r="M29" s="699"/>
      <c r="N29" s="699"/>
      <c r="O29" s="699">
        <v>3</v>
      </c>
      <c r="P29" s="699"/>
      <c r="Q29" s="699">
        <v>1</v>
      </c>
      <c r="R29" s="699"/>
      <c r="S29" s="74">
        <v>0</v>
      </c>
      <c r="T29" s="699">
        <v>0</v>
      </c>
      <c r="U29" s="699"/>
      <c r="V29" s="74">
        <v>3</v>
      </c>
      <c r="W29" s="699">
        <v>0</v>
      </c>
      <c r="X29" s="700"/>
      <c r="Y29" s="198">
        <v>6</v>
      </c>
      <c r="Z29" s="83"/>
      <c r="AA29" s="106"/>
    </row>
    <row r="30" spans="1:27" ht="15.75" thickBot="1">
      <c r="A30" s="85"/>
      <c r="B30" s="85"/>
      <c r="C30" s="85"/>
      <c r="D30" s="85"/>
      <c r="E30" s="85"/>
      <c r="F30" s="85"/>
      <c r="G30" s="109"/>
      <c r="H30" s="109"/>
      <c r="I30" s="109"/>
      <c r="J30" s="109"/>
      <c r="K30" s="82"/>
      <c r="L30" s="731" t="s">
        <v>16</v>
      </c>
      <c r="M30" s="699"/>
      <c r="N30" s="699"/>
      <c r="O30" s="699">
        <v>0</v>
      </c>
      <c r="P30" s="699"/>
      <c r="Q30" s="699">
        <v>0</v>
      </c>
      <c r="R30" s="699"/>
      <c r="S30" s="74">
        <v>9</v>
      </c>
      <c r="T30" s="699">
        <v>3</v>
      </c>
      <c r="U30" s="699"/>
      <c r="V30" s="74">
        <v>2</v>
      </c>
      <c r="W30" s="699">
        <v>1</v>
      </c>
      <c r="X30" s="700"/>
      <c r="Y30" s="198">
        <v>11</v>
      </c>
      <c r="Z30" s="83"/>
      <c r="AA30" s="82"/>
    </row>
    <row r="31" spans="1:27" ht="21">
      <c r="A31" s="85"/>
      <c r="B31" s="85"/>
      <c r="C31" s="85"/>
      <c r="D31" s="85"/>
      <c r="E31" s="85"/>
      <c r="F31" s="82"/>
      <c r="G31" s="138"/>
      <c r="H31" s="720" t="s">
        <v>134</v>
      </c>
      <c r="I31" s="721"/>
      <c r="J31" s="722"/>
      <c r="K31" s="92"/>
      <c r="L31" s="731" t="s">
        <v>19</v>
      </c>
      <c r="M31" s="699"/>
      <c r="N31" s="699"/>
      <c r="O31" s="699">
        <v>1</v>
      </c>
      <c r="P31" s="699"/>
      <c r="Q31" s="699">
        <v>0</v>
      </c>
      <c r="R31" s="699"/>
      <c r="S31" s="74">
        <v>3</v>
      </c>
      <c r="T31" s="699">
        <v>4</v>
      </c>
      <c r="U31" s="699"/>
      <c r="V31" s="74">
        <v>2</v>
      </c>
      <c r="W31" s="699">
        <v>0</v>
      </c>
      <c r="X31" s="700"/>
      <c r="Y31" s="198">
        <v>6</v>
      </c>
      <c r="Z31" s="83"/>
      <c r="AA31" s="82"/>
    </row>
    <row r="32" spans="1:27" ht="17.25" customHeight="1">
      <c r="A32" s="85"/>
      <c r="B32" s="85"/>
      <c r="C32" s="85"/>
      <c r="D32" s="85"/>
      <c r="E32" s="85"/>
      <c r="F32" s="82"/>
      <c r="G32" s="139"/>
      <c r="H32" s="85"/>
      <c r="I32" s="85"/>
      <c r="J32" s="168"/>
      <c r="K32" s="92"/>
      <c r="L32" s="731" t="s">
        <v>17</v>
      </c>
      <c r="M32" s="699"/>
      <c r="N32" s="699"/>
      <c r="O32" s="699">
        <v>2</v>
      </c>
      <c r="P32" s="699"/>
      <c r="Q32" s="699">
        <v>0</v>
      </c>
      <c r="R32" s="699"/>
      <c r="S32" s="74">
        <v>4</v>
      </c>
      <c r="T32" s="699">
        <v>2</v>
      </c>
      <c r="U32" s="699"/>
      <c r="V32" s="74">
        <v>9</v>
      </c>
      <c r="W32" s="699">
        <v>2</v>
      </c>
      <c r="X32" s="700"/>
      <c r="Y32" s="198">
        <v>15</v>
      </c>
      <c r="Z32" s="83"/>
      <c r="AA32" s="82"/>
    </row>
    <row r="33" spans="1:27" ht="31.5" customHeight="1">
      <c r="A33" s="85"/>
      <c r="B33" s="85"/>
      <c r="C33" s="85"/>
      <c r="D33" s="85"/>
      <c r="E33" s="85"/>
      <c r="F33" s="82"/>
      <c r="G33" s="139"/>
      <c r="H33" s="696">
        <f>O38</f>
        <v>13</v>
      </c>
      <c r="I33" s="697"/>
      <c r="J33" s="698"/>
      <c r="K33" s="92"/>
      <c r="L33" s="731" t="s">
        <v>317</v>
      </c>
      <c r="M33" s="699"/>
      <c r="N33" s="699"/>
      <c r="O33" s="699">
        <v>2</v>
      </c>
      <c r="P33" s="699"/>
      <c r="Q33" s="699">
        <v>2</v>
      </c>
      <c r="R33" s="699"/>
      <c r="S33" s="74">
        <v>0</v>
      </c>
      <c r="T33" s="699">
        <v>0</v>
      </c>
      <c r="U33" s="699"/>
      <c r="V33" s="74">
        <v>1</v>
      </c>
      <c r="W33" s="699">
        <v>1</v>
      </c>
      <c r="X33" s="700"/>
      <c r="Y33" s="198">
        <v>3</v>
      </c>
      <c r="Z33" s="83"/>
      <c r="AA33" s="196"/>
    </row>
    <row r="34" spans="1:27" ht="18" customHeight="1">
      <c r="A34" s="85"/>
      <c r="B34" s="85"/>
      <c r="C34" s="85"/>
      <c r="D34" s="85"/>
      <c r="E34" s="85"/>
      <c r="F34" s="82"/>
      <c r="G34" s="139"/>
      <c r="H34" s="85"/>
      <c r="I34" s="85"/>
      <c r="J34" s="168"/>
      <c r="K34" s="92"/>
      <c r="L34" s="731" t="s">
        <v>318</v>
      </c>
      <c r="M34" s="699"/>
      <c r="N34" s="699"/>
      <c r="O34" s="699">
        <v>1</v>
      </c>
      <c r="P34" s="699"/>
      <c r="Q34" s="699">
        <v>0</v>
      </c>
      <c r="R34" s="699"/>
      <c r="S34" s="74">
        <v>0</v>
      </c>
      <c r="T34" s="699">
        <v>0</v>
      </c>
      <c r="U34" s="699"/>
      <c r="V34" s="74">
        <v>4</v>
      </c>
      <c r="W34" s="699">
        <v>0</v>
      </c>
      <c r="X34" s="700"/>
      <c r="Y34" s="198">
        <v>5</v>
      </c>
      <c r="Z34" s="83"/>
      <c r="AA34" s="82"/>
    </row>
    <row r="35" spans="1:27" ht="15.75" customHeight="1" thickBot="1">
      <c r="A35" s="85"/>
      <c r="B35" s="85"/>
      <c r="C35" s="85"/>
      <c r="D35" s="85"/>
      <c r="E35" s="85"/>
      <c r="F35" s="82"/>
      <c r="G35" s="140"/>
      <c r="H35" s="169"/>
      <c r="I35" s="169"/>
      <c r="J35" s="141"/>
      <c r="K35" s="92"/>
      <c r="L35" s="731" t="s">
        <v>22</v>
      </c>
      <c r="M35" s="699"/>
      <c r="N35" s="699"/>
      <c r="O35" s="726">
        <v>0</v>
      </c>
      <c r="P35" s="726"/>
      <c r="Q35" s="726">
        <v>0</v>
      </c>
      <c r="R35" s="726"/>
      <c r="S35" s="165">
        <v>0</v>
      </c>
      <c r="T35" s="726">
        <v>0</v>
      </c>
      <c r="U35" s="726"/>
      <c r="V35" s="165">
        <v>5</v>
      </c>
      <c r="W35" s="726">
        <v>0</v>
      </c>
      <c r="X35" s="746"/>
      <c r="Y35" s="198">
        <v>5</v>
      </c>
      <c r="Z35" s="83"/>
      <c r="AA35" s="106"/>
    </row>
    <row r="36" spans="1:27" ht="21" customHeight="1" thickBot="1">
      <c r="A36" s="85"/>
      <c r="B36" s="85"/>
      <c r="C36" s="85"/>
      <c r="D36" s="85"/>
      <c r="E36" s="85"/>
      <c r="F36" s="85"/>
      <c r="G36" s="109"/>
      <c r="H36" s="109"/>
      <c r="I36" s="109"/>
      <c r="J36" s="109"/>
      <c r="K36" s="82"/>
      <c r="L36" s="731" t="s">
        <v>20</v>
      </c>
      <c r="M36" s="699"/>
      <c r="N36" s="700"/>
      <c r="O36" s="703">
        <v>4</v>
      </c>
      <c r="P36" s="703"/>
      <c r="Q36" s="703">
        <v>1</v>
      </c>
      <c r="R36" s="703"/>
      <c r="S36" s="166">
        <v>0</v>
      </c>
      <c r="T36" s="703">
        <v>0</v>
      </c>
      <c r="U36" s="703"/>
      <c r="V36" s="166">
        <v>6</v>
      </c>
      <c r="W36" s="703">
        <v>1</v>
      </c>
      <c r="X36" s="727"/>
      <c r="Y36" s="198">
        <v>10</v>
      </c>
      <c r="Z36" s="83"/>
      <c r="AA36" s="82"/>
    </row>
    <row r="37" spans="1:27" ht="19.5" customHeight="1">
      <c r="A37" s="85"/>
      <c r="B37" s="85"/>
      <c r="C37" s="85"/>
      <c r="D37" s="85"/>
      <c r="E37" s="85"/>
      <c r="F37" s="82"/>
      <c r="G37" s="138"/>
      <c r="H37" s="720" t="s">
        <v>133</v>
      </c>
      <c r="I37" s="721"/>
      <c r="J37" s="722"/>
      <c r="K37" s="92"/>
      <c r="L37" s="731" t="s">
        <v>319</v>
      </c>
      <c r="M37" s="699"/>
      <c r="N37" s="700"/>
      <c r="O37" s="703">
        <v>0</v>
      </c>
      <c r="P37" s="703"/>
      <c r="Q37" s="703">
        <v>0</v>
      </c>
      <c r="R37" s="703"/>
      <c r="S37" s="166">
        <v>0</v>
      </c>
      <c r="T37" s="703">
        <v>0</v>
      </c>
      <c r="U37" s="703"/>
      <c r="V37" s="166">
        <v>3</v>
      </c>
      <c r="W37" s="703">
        <v>3</v>
      </c>
      <c r="X37" s="727"/>
      <c r="Y37" s="198">
        <v>3</v>
      </c>
      <c r="Z37" s="83"/>
    </row>
    <row r="38" spans="1:27" ht="14.25" customHeight="1" thickBot="1">
      <c r="A38" s="85"/>
      <c r="B38" s="85"/>
      <c r="C38" s="85"/>
      <c r="D38" s="85"/>
      <c r="E38" s="85"/>
      <c r="F38" s="82"/>
      <c r="G38" s="139"/>
      <c r="H38" s="85"/>
      <c r="I38" s="85"/>
      <c r="J38" s="168"/>
      <c r="K38" s="92"/>
      <c r="L38" s="739" t="s">
        <v>129</v>
      </c>
      <c r="M38" s="740"/>
      <c r="N38" s="741"/>
      <c r="O38" s="704">
        <f>SUM(O29:P37)</f>
        <v>13</v>
      </c>
      <c r="P38" s="704"/>
      <c r="Q38" s="704">
        <f>SUM(Q29:R37)</f>
        <v>4</v>
      </c>
      <c r="R38" s="704"/>
      <c r="S38" s="199">
        <f>SUM(S29:S37)</f>
        <v>16</v>
      </c>
      <c r="T38" s="704">
        <f>SUM(T29:U37)</f>
        <v>9</v>
      </c>
      <c r="U38" s="704"/>
      <c r="V38" s="199">
        <f>SUM(V29:V37)</f>
        <v>35</v>
      </c>
      <c r="W38" s="704">
        <f>SUM(W29:X37)</f>
        <v>8</v>
      </c>
      <c r="X38" s="704"/>
      <c r="Y38" s="200">
        <f>SUM(Y29:Y37)</f>
        <v>64</v>
      </c>
      <c r="Z38" s="83"/>
      <c r="AA38" s="106"/>
    </row>
    <row r="39" spans="1:27" ht="25.5" customHeight="1">
      <c r="A39" s="85"/>
      <c r="B39" s="85"/>
      <c r="C39" s="85"/>
      <c r="D39" s="85"/>
      <c r="E39" s="85"/>
      <c r="F39" s="82"/>
      <c r="G39" s="139"/>
      <c r="H39" s="696">
        <f>S38</f>
        <v>16</v>
      </c>
      <c r="I39" s="697"/>
      <c r="J39" s="698"/>
      <c r="K39" s="92"/>
      <c r="L39" s="734"/>
      <c r="M39" s="742"/>
      <c r="N39" s="743"/>
      <c r="O39" s="734"/>
      <c r="P39" s="735"/>
      <c r="Q39" s="717"/>
      <c r="R39" s="718"/>
      <c r="S39" s="107"/>
      <c r="T39" s="705"/>
      <c r="U39" s="705"/>
      <c r="V39" s="107"/>
      <c r="W39" s="705"/>
      <c r="X39" s="705"/>
      <c r="Y39" s="135"/>
      <c r="Z39" s="85"/>
      <c r="AA39" s="82"/>
    </row>
    <row r="40" spans="1:27" ht="12" customHeight="1">
      <c r="A40" s="85"/>
      <c r="B40" s="85"/>
      <c r="C40" s="85"/>
      <c r="D40" s="85"/>
      <c r="E40" s="85"/>
      <c r="F40" s="82"/>
      <c r="G40" s="139"/>
      <c r="H40" s="85"/>
      <c r="I40" s="85"/>
      <c r="J40" s="168"/>
      <c r="K40" s="92"/>
      <c r="L40" s="707"/>
      <c r="M40" s="744"/>
      <c r="N40" s="708"/>
      <c r="O40" s="736"/>
      <c r="P40" s="733"/>
      <c r="Q40" s="732"/>
      <c r="R40" s="733"/>
      <c r="S40" s="85"/>
      <c r="T40" s="706"/>
      <c r="U40" s="706"/>
      <c r="V40" s="85"/>
      <c r="W40" s="706"/>
      <c r="X40" s="706"/>
      <c r="Y40" s="143"/>
      <c r="Z40" s="85"/>
    </row>
    <row r="41" spans="1:27" ht="9" customHeight="1" thickBot="1">
      <c r="A41" s="85"/>
      <c r="B41" s="85"/>
      <c r="C41" s="85"/>
      <c r="D41" s="85"/>
      <c r="E41" s="85"/>
      <c r="F41" s="82"/>
      <c r="G41" s="140"/>
      <c r="H41" s="169"/>
      <c r="I41" s="169"/>
      <c r="J41" s="141"/>
      <c r="K41" s="92"/>
      <c r="L41" s="707"/>
      <c r="M41" s="744"/>
      <c r="N41" s="708"/>
      <c r="O41" s="737"/>
      <c r="P41" s="738"/>
      <c r="Q41" s="707"/>
      <c r="R41" s="708"/>
      <c r="S41" s="85"/>
      <c r="T41" s="707"/>
      <c r="U41" s="708"/>
      <c r="V41" s="85"/>
      <c r="W41" s="707"/>
      <c r="X41" s="708"/>
      <c r="Y41" s="143"/>
      <c r="Z41" s="85"/>
      <c r="AA41" s="106"/>
    </row>
    <row r="42" spans="1:27" ht="24" thickBot="1">
      <c r="A42" s="85"/>
      <c r="B42" s="85"/>
      <c r="C42" s="85"/>
      <c r="D42" s="85"/>
      <c r="E42" s="85"/>
      <c r="F42" s="85"/>
      <c r="G42" s="109"/>
      <c r="H42" s="109"/>
      <c r="I42" s="109"/>
      <c r="J42" s="109"/>
      <c r="K42" s="82"/>
      <c r="L42" s="728"/>
      <c r="M42" s="729"/>
      <c r="N42" s="730"/>
      <c r="O42" s="717"/>
      <c r="P42" s="718"/>
      <c r="Q42" s="85"/>
      <c r="R42" s="701" t="s">
        <v>178</v>
      </c>
      <c r="S42" s="702"/>
      <c r="T42" s="108"/>
      <c r="U42" s="709"/>
      <c r="V42" s="710"/>
      <c r="W42" s="709"/>
      <c r="X42" s="710"/>
      <c r="Y42" s="143"/>
      <c r="Z42" s="85"/>
      <c r="AA42" s="82"/>
    </row>
    <row r="43" spans="1:27" ht="26.25" customHeight="1">
      <c r="A43" s="85"/>
      <c r="B43" s="85"/>
      <c r="C43" s="85"/>
      <c r="D43" s="85"/>
      <c r="E43" s="85"/>
      <c r="F43" s="82"/>
      <c r="G43" s="138"/>
      <c r="H43" s="712" t="s">
        <v>145</v>
      </c>
      <c r="I43" s="712"/>
      <c r="J43" s="713"/>
      <c r="K43" s="92"/>
      <c r="L43" s="138"/>
      <c r="M43" s="167"/>
      <c r="N43" s="687" t="s">
        <v>135</v>
      </c>
      <c r="O43" s="688"/>
      <c r="P43" s="689"/>
      <c r="Q43" s="139"/>
      <c r="R43" s="267" t="s">
        <v>179</v>
      </c>
      <c r="S43" s="280"/>
      <c r="T43" s="277" t="s">
        <v>182</v>
      </c>
      <c r="U43" s="268"/>
      <c r="V43" s="268"/>
      <c r="W43" s="268"/>
      <c r="X43" s="281"/>
      <c r="Y43" s="274"/>
      <c r="Z43" s="270"/>
      <c r="AA43" s="275"/>
    </row>
    <row r="44" spans="1:27" ht="12" customHeight="1">
      <c r="A44" s="85"/>
      <c r="B44" s="85"/>
      <c r="C44" s="85"/>
      <c r="D44" s="85"/>
      <c r="E44" s="85"/>
      <c r="F44" s="82"/>
      <c r="G44" s="139"/>
      <c r="H44" s="85"/>
      <c r="I44" s="85"/>
      <c r="J44" s="168"/>
      <c r="K44" s="92"/>
      <c r="L44" s="139"/>
      <c r="M44" s="85"/>
      <c r="N44" s="85"/>
      <c r="O44" s="85"/>
      <c r="P44" s="168"/>
      <c r="Q44" s="287"/>
      <c r="R44" s="269"/>
      <c r="S44" s="284"/>
      <c r="T44" s="285"/>
      <c r="U44" s="282"/>
      <c r="V44" s="283"/>
      <c r="W44" s="283"/>
      <c r="X44" s="283"/>
      <c r="Y44" s="289"/>
      <c r="Z44" s="283"/>
      <c r="AA44" s="284"/>
    </row>
    <row r="45" spans="1:27" ht="27" customHeight="1">
      <c r="A45" s="85"/>
      <c r="B45" s="85"/>
      <c r="C45" s="85"/>
      <c r="D45" s="85"/>
      <c r="E45" s="85"/>
      <c r="F45" s="82"/>
      <c r="G45" s="139"/>
      <c r="H45" s="696">
        <f>SUM(V38)</f>
        <v>35</v>
      </c>
      <c r="I45" s="697"/>
      <c r="J45" s="698"/>
      <c r="K45" s="92"/>
      <c r="L45" s="139"/>
      <c r="M45" s="85"/>
      <c r="N45" s="85"/>
      <c r="O45" s="690">
        <f>SUM(Q38,T38,W38)</f>
        <v>21</v>
      </c>
      <c r="P45" s="691"/>
      <c r="Q45" s="139"/>
      <c r="R45" s="268" t="s">
        <v>180</v>
      </c>
      <c r="S45" s="278"/>
      <c r="T45" s="276" t="s">
        <v>183</v>
      </c>
      <c r="U45" s="277"/>
      <c r="V45" s="270"/>
      <c r="W45" s="270"/>
      <c r="X45" s="275"/>
      <c r="Y45" s="288"/>
      <c r="Z45" s="270"/>
      <c r="AA45" s="275"/>
    </row>
    <row r="46" spans="1:27" ht="17.25" customHeight="1">
      <c r="A46" s="85"/>
      <c r="B46" s="85"/>
      <c r="C46" s="85"/>
      <c r="D46" s="85"/>
      <c r="E46" s="85"/>
      <c r="F46" s="82"/>
      <c r="G46" s="139"/>
      <c r="H46" s="85"/>
      <c r="I46" s="85"/>
      <c r="J46" s="168"/>
      <c r="K46" s="92"/>
      <c r="L46" s="139"/>
      <c r="M46" s="85"/>
      <c r="N46" s="85"/>
      <c r="O46" s="692"/>
      <c r="P46" s="693"/>
      <c r="Q46" s="139"/>
      <c r="R46" s="269"/>
      <c r="S46" s="284"/>
      <c r="T46" s="285"/>
      <c r="U46" s="282"/>
      <c r="V46" s="283"/>
      <c r="W46" s="283"/>
      <c r="X46" s="283"/>
      <c r="Y46" s="290"/>
      <c r="Z46" s="283"/>
      <c r="AA46" s="286"/>
    </row>
    <row r="47" spans="1:27" ht="19.5" customHeight="1" thickBot="1">
      <c r="A47" s="85"/>
      <c r="B47" s="85"/>
      <c r="C47" s="85"/>
      <c r="D47" s="85"/>
      <c r="E47" s="85"/>
      <c r="F47" s="82"/>
      <c r="G47" s="140"/>
      <c r="H47" s="169"/>
      <c r="I47" s="169"/>
      <c r="J47" s="141"/>
      <c r="K47" s="92"/>
      <c r="L47" s="140"/>
      <c r="M47" s="169"/>
      <c r="N47" s="169"/>
      <c r="O47" s="169"/>
      <c r="P47" s="141"/>
      <c r="R47" s="276" t="s">
        <v>181</v>
      </c>
      <c r="S47" s="275"/>
      <c r="T47" s="276" t="s">
        <v>184</v>
      </c>
      <c r="U47" s="277"/>
      <c r="V47" s="270"/>
      <c r="W47" s="270"/>
      <c r="X47" s="275"/>
      <c r="Y47" s="291"/>
      <c r="Z47" s="270"/>
      <c r="AA47" s="279"/>
    </row>
    <row r="48" spans="1:27" ht="18.75" customHeight="1">
      <c r="A48" s="85"/>
      <c r="B48" s="85"/>
      <c r="C48" s="85"/>
      <c r="D48" s="85"/>
      <c r="E48" s="93"/>
      <c r="F48" s="106"/>
      <c r="G48" s="107"/>
      <c r="H48" s="109"/>
      <c r="I48" s="109"/>
      <c r="J48" s="107"/>
      <c r="K48" s="81"/>
      <c r="L48" s="167"/>
      <c r="M48" s="167"/>
      <c r="N48" s="167"/>
      <c r="O48" s="167"/>
      <c r="P48" s="90"/>
      <c r="Q48" s="85"/>
      <c r="R48" s="82"/>
      <c r="S48" s="85"/>
      <c r="T48" s="85"/>
      <c r="U48" s="82"/>
      <c r="V48" s="85"/>
      <c r="W48" s="85"/>
      <c r="X48" s="85"/>
      <c r="Y48" s="82"/>
      <c r="Z48" s="85"/>
      <c r="AA48" s="106"/>
    </row>
    <row r="49" spans="1:28" ht="28.5" customHeight="1">
      <c r="A49" s="85"/>
      <c r="B49" s="85"/>
      <c r="C49" s="85"/>
      <c r="D49" s="85"/>
      <c r="E49" s="85"/>
      <c r="F49" s="82"/>
      <c r="G49" s="85"/>
      <c r="H49" s="93"/>
      <c r="I49" s="93"/>
      <c r="J49" s="85"/>
      <c r="K49" s="85"/>
      <c r="L49" s="107"/>
      <c r="M49" s="107"/>
      <c r="N49" s="107"/>
      <c r="O49" s="107"/>
      <c r="P49" s="85"/>
      <c r="Q49" s="85"/>
      <c r="R49" s="82"/>
      <c r="S49" s="85"/>
      <c r="T49" s="85"/>
      <c r="U49" s="82"/>
      <c r="V49" s="85"/>
      <c r="W49" s="85"/>
      <c r="X49" s="85"/>
      <c r="Y49" s="82"/>
      <c r="Z49" s="85"/>
      <c r="AA49" s="106"/>
    </row>
    <row r="50" spans="1:28" ht="16.5" thickBot="1">
      <c r="A50" s="85"/>
      <c r="B50" s="85"/>
      <c r="C50" s="85"/>
      <c r="D50" s="85"/>
      <c r="E50" s="85"/>
      <c r="F50" s="82"/>
      <c r="G50" s="170"/>
      <c r="H50" s="694"/>
      <c r="I50" s="694"/>
      <c r="J50" s="695"/>
      <c r="K50" s="83"/>
      <c r="L50" s="107"/>
      <c r="M50" s="107"/>
      <c r="N50" s="107"/>
      <c r="O50" s="107"/>
      <c r="P50" s="85"/>
      <c r="Q50" s="82"/>
      <c r="R50" s="82"/>
      <c r="S50" s="85"/>
      <c r="T50" s="85"/>
      <c r="U50" s="82"/>
      <c r="V50" s="85"/>
      <c r="W50" s="85"/>
      <c r="X50" s="85"/>
      <c r="Y50" s="82"/>
      <c r="Z50" s="85"/>
      <c r="AA50" s="106"/>
    </row>
    <row r="51" spans="1:28">
      <c r="A51" s="85"/>
      <c r="B51" s="85"/>
      <c r="C51" s="85"/>
      <c r="D51" s="85"/>
      <c r="E51" s="85"/>
      <c r="F51" s="85"/>
      <c r="G51" s="107"/>
      <c r="H51" s="107"/>
      <c r="I51" s="107"/>
      <c r="J51" s="107"/>
      <c r="K51" s="85"/>
      <c r="L51" s="85"/>
      <c r="M51" s="85"/>
      <c r="N51" s="85"/>
      <c r="O51" s="85"/>
      <c r="P51" s="85"/>
      <c r="Q51" s="82"/>
      <c r="R51" s="82"/>
      <c r="S51" s="85"/>
      <c r="T51" s="85"/>
      <c r="U51" s="82"/>
      <c r="V51" s="85"/>
      <c r="W51" s="85"/>
      <c r="X51" s="85"/>
      <c r="Y51" s="82"/>
      <c r="Z51" s="85"/>
    </row>
    <row r="52" spans="1:28" ht="36">
      <c r="A52" s="85"/>
      <c r="B52" s="85"/>
      <c r="C52" s="85"/>
      <c r="D52" s="85"/>
      <c r="E52" s="85"/>
      <c r="F52" s="85"/>
      <c r="G52" s="85"/>
      <c r="H52" s="711"/>
      <c r="I52" s="711"/>
      <c r="J52" s="711"/>
      <c r="K52" s="85"/>
      <c r="L52" s="85"/>
      <c r="M52" s="85"/>
      <c r="N52" s="85"/>
      <c r="O52" s="85"/>
      <c r="P52" s="85"/>
      <c r="Q52" s="82"/>
      <c r="R52" s="82"/>
      <c r="S52" s="85"/>
      <c r="T52" s="85"/>
      <c r="U52" s="82"/>
      <c r="V52" s="85"/>
      <c r="W52" s="85"/>
      <c r="X52" s="85"/>
      <c r="Y52" s="82"/>
      <c r="Z52" s="85"/>
      <c r="AA52" s="106"/>
    </row>
    <row r="53" spans="1:28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2"/>
      <c r="R53" s="82"/>
      <c r="S53" s="85"/>
      <c r="T53" s="85"/>
      <c r="U53" s="82"/>
      <c r="V53" s="85"/>
      <c r="W53" s="85"/>
      <c r="X53" s="85"/>
      <c r="Y53" s="82"/>
      <c r="Z53" s="85"/>
      <c r="AA53" s="106"/>
    </row>
    <row r="54" spans="1:28" ht="3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2"/>
      <c r="R54" s="82"/>
      <c r="S54" s="85"/>
      <c r="T54" s="85"/>
      <c r="U54" s="82"/>
      <c r="V54" s="85"/>
      <c r="W54" s="85"/>
      <c r="X54" s="85"/>
      <c r="Y54" s="82"/>
      <c r="Z54" s="85"/>
      <c r="AA54" s="106"/>
    </row>
    <row r="55" spans="1:28" ht="5.2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2"/>
      <c r="R55" s="82"/>
      <c r="S55" s="85"/>
      <c r="T55" s="85"/>
      <c r="U55" s="82"/>
      <c r="V55" s="85"/>
      <c r="W55" s="85"/>
      <c r="X55" s="684"/>
      <c r="Y55" s="685"/>
      <c r="Z55" s="685"/>
      <c r="AA55" s="685"/>
      <c r="AB55" s="686"/>
    </row>
    <row r="56" spans="1:28" ht="23.25" hidden="1">
      <c r="A56" s="85"/>
      <c r="B56" s="85"/>
      <c r="C56" s="85"/>
      <c r="D56" s="85"/>
      <c r="E56" s="107"/>
      <c r="F56" s="107"/>
      <c r="G56" s="107"/>
      <c r="H56" s="107"/>
      <c r="I56" s="107"/>
      <c r="J56" s="107"/>
      <c r="K56" s="107"/>
      <c r="L56" s="85"/>
      <c r="M56" s="85"/>
      <c r="N56" s="85"/>
      <c r="O56" s="85"/>
      <c r="P56" s="85"/>
      <c r="Q56" s="82"/>
      <c r="R56" s="82"/>
      <c r="S56" s="85"/>
      <c r="T56" s="85"/>
      <c r="U56" s="82"/>
      <c r="V56" s="85"/>
      <c r="W56" s="85"/>
      <c r="X56" s="271"/>
      <c r="Y56" s="272"/>
      <c r="Z56" s="85"/>
      <c r="AA56" s="85"/>
      <c r="AB56" s="82"/>
    </row>
    <row r="57" spans="1:28" ht="23.2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2"/>
      <c r="R57" s="82"/>
      <c r="S57" s="85"/>
      <c r="T57" s="85"/>
      <c r="U57" s="82"/>
      <c r="V57" s="85"/>
      <c r="W57" s="85"/>
      <c r="X57" s="273"/>
      <c r="Y57" s="272"/>
      <c r="Z57" s="85"/>
      <c r="AA57" s="85"/>
      <c r="AB57" s="82"/>
    </row>
    <row r="58" spans="1:28" ht="23.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2"/>
      <c r="R58" s="82"/>
      <c r="S58" s="85"/>
      <c r="T58" s="85"/>
      <c r="U58" s="82"/>
      <c r="V58" s="85"/>
      <c r="W58" s="85"/>
      <c r="X58" s="271"/>
      <c r="Y58" s="272"/>
      <c r="Z58" s="85"/>
      <c r="AA58" s="85"/>
      <c r="AB58" s="82"/>
    </row>
    <row r="59" spans="1:28" ht="23.2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2"/>
      <c r="R59" s="82"/>
      <c r="S59" s="85"/>
      <c r="T59" s="85"/>
      <c r="U59" s="82"/>
      <c r="V59" s="85"/>
      <c r="W59" s="85"/>
      <c r="X59" s="273"/>
      <c r="Y59" s="272"/>
      <c r="Z59" s="85"/>
      <c r="AA59" s="85"/>
      <c r="AB59" s="82"/>
    </row>
    <row r="60" spans="1:28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2"/>
      <c r="R60" s="82"/>
      <c r="S60" s="85"/>
      <c r="T60" s="85"/>
      <c r="U60" s="82"/>
      <c r="V60" s="85"/>
      <c r="W60" s="85"/>
      <c r="X60" s="85"/>
      <c r="Y60" s="82"/>
      <c r="Z60" s="85"/>
      <c r="AA60" s="106"/>
    </row>
    <row r="61" spans="1:28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2"/>
      <c r="R61" s="82"/>
      <c r="X61" s="85"/>
      <c r="Y61" s="82"/>
      <c r="Z61" s="85"/>
    </row>
    <row r="62" spans="1:28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2"/>
      <c r="R62" s="82"/>
      <c r="X62" s="85"/>
      <c r="Y62" s="82"/>
      <c r="Z62" s="85"/>
    </row>
    <row r="63" spans="1:28" ht="23.2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2"/>
      <c r="R63" s="82"/>
      <c r="U63" s="684"/>
      <c r="V63" s="685"/>
      <c r="W63" s="685"/>
      <c r="X63" s="685"/>
      <c r="Y63" s="686"/>
      <c r="Z63" s="85"/>
    </row>
    <row r="64" spans="1:28" ht="23.2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2"/>
      <c r="R64" s="82"/>
      <c r="U64" s="271"/>
      <c r="V64" s="272"/>
      <c r="W64" s="85"/>
      <c r="X64" s="85"/>
      <c r="Y64" s="82"/>
      <c r="Z64" s="85"/>
    </row>
    <row r="65" spans="1:26" ht="23.2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2"/>
      <c r="R65" s="82"/>
      <c r="U65" s="273"/>
      <c r="V65" s="272"/>
      <c r="W65" s="85"/>
      <c r="X65" s="85"/>
      <c r="Y65" s="82"/>
      <c r="Z65" s="85"/>
    </row>
    <row r="66" spans="1:26" ht="23.2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2"/>
      <c r="R66" s="82"/>
      <c r="U66" s="271"/>
      <c r="V66" s="272"/>
      <c r="W66" s="85"/>
      <c r="X66" s="85"/>
      <c r="Y66" s="82"/>
      <c r="Z66" s="85"/>
    </row>
    <row r="67" spans="1:26" ht="23.2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2"/>
      <c r="R67" s="82"/>
      <c r="S67" s="85"/>
      <c r="T67" s="85"/>
      <c r="U67" s="273"/>
      <c r="V67" s="272"/>
      <c r="W67" s="85"/>
      <c r="X67" s="85"/>
      <c r="Y67" s="82"/>
      <c r="Z67" s="85"/>
    </row>
    <row r="68" spans="1:26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2"/>
      <c r="R68" s="82"/>
      <c r="S68" s="85"/>
      <c r="T68" s="85"/>
      <c r="U68" s="82"/>
      <c r="V68" s="85"/>
      <c r="W68" s="85"/>
      <c r="X68" s="85"/>
      <c r="Y68" s="82"/>
      <c r="Z68" s="85"/>
    </row>
    <row r="69" spans="1:26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2"/>
      <c r="R69" s="82"/>
      <c r="S69" s="85"/>
      <c r="T69" s="85"/>
      <c r="U69" s="82"/>
      <c r="V69" s="85"/>
      <c r="W69" s="85"/>
      <c r="X69" s="85"/>
      <c r="Y69" s="82"/>
      <c r="Z69" s="85"/>
    </row>
    <row r="70" spans="1:26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2"/>
      <c r="R70" s="82"/>
      <c r="S70" s="85"/>
      <c r="T70" s="85"/>
      <c r="U70" s="82"/>
      <c r="V70" s="85"/>
      <c r="W70" s="85"/>
      <c r="X70" s="85"/>
      <c r="Y70" s="82"/>
      <c r="Z70" s="85"/>
    </row>
    <row r="71" spans="1:26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2"/>
      <c r="R71" s="82"/>
      <c r="S71" s="85"/>
      <c r="T71" s="85"/>
      <c r="U71" s="82"/>
      <c r="V71" s="85"/>
      <c r="W71" s="85"/>
      <c r="X71" s="85"/>
      <c r="Y71" s="82"/>
      <c r="Z71" s="85"/>
    </row>
    <row r="72" spans="1:26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2"/>
      <c r="R72" s="82"/>
      <c r="S72" s="85"/>
      <c r="T72" s="85"/>
      <c r="U72" s="82"/>
      <c r="V72" s="85"/>
      <c r="W72" s="85"/>
      <c r="X72" s="85"/>
      <c r="Y72" s="82"/>
      <c r="Z72" s="85"/>
    </row>
    <row r="73" spans="1:26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2"/>
      <c r="R73" s="82"/>
      <c r="S73" s="85"/>
      <c r="T73" s="85"/>
      <c r="U73" s="82"/>
      <c r="V73" s="85"/>
      <c r="W73" s="85"/>
      <c r="X73" s="85"/>
      <c r="Y73" s="82"/>
      <c r="Z73" s="85"/>
    </row>
    <row r="74" spans="1:26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2"/>
      <c r="R74" s="82"/>
      <c r="S74" s="85"/>
      <c r="T74" s="85"/>
      <c r="U74" s="82"/>
      <c r="V74" s="85"/>
      <c r="W74" s="85"/>
      <c r="X74" s="85"/>
      <c r="Y74" s="82"/>
      <c r="Z74" s="85"/>
    </row>
    <row r="75" spans="1:26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R75" s="82"/>
      <c r="S75" s="85"/>
      <c r="T75" s="85"/>
      <c r="U75" s="82"/>
      <c r="V75" s="85"/>
      <c r="W75" s="85"/>
      <c r="X75" s="85"/>
      <c r="Y75" s="82"/>
      <c r="Z75" s="85"/>
    </row>
    <row r="76" spans="1:2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2"/>
      <c r="R76" s="82"/>
      <c r="S76" s="85"/>
      <c r="T76" s="85"/>
      <c r="U76" s="82"/>
      <c r="V76" s="85"/>
      <c r="W76" s="85"/>
      <c r="X76" s="85"/>
      <c r="Y76" s="82"/>
      <c r="Z76" s="85"/>
    </row>
    <row r="77" spans="1:26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2"/>
      <c r="R77" s="82"/>
      <c r="S77" s="85"/>
      <c r="T77" s="85"/>
      <c r="U77" s="82"/>
      <c r="V77" s="85"/>
      <c r="W77" s="85"/>
      <c r="X77" s="85"/>
      <c r="Y77" s="82"/>
      <c r="Z77" s="85"/>
    </row>
    <row r="78" spans="1:26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2"/>
      <c r="R78" s="82"/>
      <c r="S78" s="85"/>
      <c r="T78" s="85"/>
      <c r="U78" s="82"/>
      <c r="V78" s="85"/>
      <c r="W78" s="85"/>
      <c r="X78" s="85"/>
      <c r="Y78" s="82"/>
      <c r="Z78" s="85"/>
    </row>
    <row r="79" spans="1:26">
      <c r="R79" s="82"/>
      <c r="S79" s="85"/>
      <c r="T79" s="85"/>
      <c r="U79" s="82"/>
      <c r="V79" s="85"/>
      <c r="W79" s="85"/>
      <c r="X79" s="85"/>
      <c r="Y79" s="82"/>
      <c r="Z79" s="85"/>
    </row>
    <row r="80" spans="1:26">
      <c r="V80" s="85"/>
      <c r="W80" s="85"/>
      <c r="X80" s="85"/>
      <c r="Y80" s="82"/>
      <c r="Z80" s="85"/>
    </row>
  </sheetData>
  <mergeCells count="196">
    <mergeCell ref="O19:Q19"/>
    <mergeCell ref="X6:Y6"/>
    <mergeCell ref="V12:W13"/>
    <mergeCell ref="G14:H14"/>
    <mergeCell ref="I14:K14"/>
    <mergeCell ref="I15:K15"/>
    <mergeCell ref="I16:K16"/>
    <mergeCell ref="I17:K17"/>
    <mergeCell ref="B1:Y1"/>
    <mergeCell ref="B3:Y3"/>
    <mergeCell ref="B4:Y4"/>
    <mergeCell ref="B17:E17"/>
    <mergeCell ref="B6:E6"/>
    <mergeCell ref="X12:Y13"/>
    <mergeCell ref="R11:Y11"/>
    <mergeCell ref="G10:Y10"/>
    <mergeCell ref="G11:H13"/>
    <mergeCell ref="I11:K13"/>
    <mergeCell ref="L11:N13"/>
    <mergeCell ref="O11:Q13"/>
    <mergeCell ref="R12:S13"/>
    <mergeCell ref="T12:U13"/>
    <mergeCell ref="T15:U15"/>
    <mergeCell ref="T16:U16"/>
    <mergeCell ref="G22:H22"/>
    <mergeCell ref="G15:H15"/>
    <mergeCell ref="G16:H16"/>
    <mergeCell ref="G17:H17"/>
    <mergeCell ref="G18:H18"/>
    <mergeCell ref="G19:H19"/>
    <mergeCell ref="G20:H20"/>
    <mergeCell ref="I21:K21"/>
    <mergeCell ref="I22:K22"/>
    <mergeCell ref="G21:H21"/>
    <mergeCell ref="I18:K18"/>
    <mergeCell ref="I19:K19"/>
    <mergeCell ref="I20:K20"/>
    <mergeCell ref="N7:P7"/>
    <mergeCell ref="X15:Y15"/>
    <mergeCell ref="X16:Y16"/>
    <mergeCell ref="X17:Y17"/>
    <mergeCell ref="X18:Y18"/>
    <mergeCell ref="X19:Y19"/>
    <mergeCell ref="X20:Y20"/>
    <mergeCell ref="X21:Y21"/>
    <mergeCell ref="X22:Y22"/>
    <mergeCell ref="O18:Q18"/>
    <mergeCell ref="R19:S19"/>
    <mergeCell ref="R20:S20"/>
    <mergeCell ref="O15:Q15"/>
    <mergeCell ref="O16:Q16"/>
    <mergeCell ref="O17:Q17"/>
    <mergeCell ref="X7:Y7"/>
    <mergeCell ref="O21:Q21"/>
    <mergeCell ref="O22:Q22"/>
    <mergeCell ref="L22:N22"/>
    <mergeCell ref="L20:N20"/>
    <mergeCell ref="L21:N21"/>
    <mergeCell ref="R14:S14"/>
    <mergeCell ref="R15:S15"/>
    <mergeCell ref="R16:S16"/>
    <mergeCell ref="O20:Q20"/>
    <mergeCell ref="W27:X28"/>
    <mergeCell ref="R18:S18"/>
    <mergeCell ref="X23:Y23"/>
    <mergeCell ref="H6:K6"/>
    <mergeCell ref="I23:K23"/>
    <mergeCell ref="L23:N23"/>
    <mergeCell ref="O23:Q23"/>
    <mergeCell ref="R23:S23"/>
    <mergeCell ref="T23:U23"/>
    <mergeCell ref="V23:W23"/>
    <mergeCell ref="G23:H23"/>
    <mergeCell ref="V22:W22"/>
    <mergeCell ref="L14:N14"/>
    <mergeCell ref="L15:N15"/>
    <mergeCell ref="L16:N16"/>
    <mergeCell ref="L17:N17"/>
    <mergeCell ref="L18:N18"/>
    <mergeCell ref="L19:N19"/>
    <mergeCell ref="S6:T6"/>
    <mergeCell ref="S7:T7"/>
    <mergeCell ref="O14:Q14"/>
    <mergeCell ref="H7:K7"/>
    <mergeCell ref="N6:P6"/>
    <mergeCell ref="R21:S21"/>
    <mergeCell ref="R22:S22"/>
    <mergeCell ref="T14:U14"/>
    <mergeCell ref="V27:V28"/>
    <mergeCell ref="T22:U22"/>
    <mergeCell ref="T18:U18"/>
    <mergeCell ref="T19:U19"/>
    <mergeCell ref="T20:U20"/>
    <mergeCell ref="T21:U21"/>
    <mergeCell ref="R17:S17"/>
    <mergeCell ref="T17:U17"/>
    <mergeCell ref="V14:W14"/>
    <mergeCell ref="X14:Y14"/>
    <mergeCell ref="V15:W15"/>
    <mergeCell ref="V16:W16"/>
    <mergeCell ref="V17:W17"/>
    <mergeCell ref="V18:W18"/>
    <mergeCell ref="V19:W19"/>
    <mergeCell ref="V20:W20"/>
    <mergeCell ref="V21:W21"/>
    <mergeCell ref="Y27:Y28"/>
    <mergeCell ref="L29:N29"/>
    <mergeCell ref="O29:P29"/>
    <mergeCell ref="W29:X29"/>
    <mergeCell ref="T27:U28"/>
    <mergeCell ref="L34:N34"/>
    <mergeCell ref="L35:N35"/>
    <mergeCell ref="O30:P30"/>
    <mergeCell ref="O31:P31"/>
    <mergeCell ref="O32:P32"/>
    <mergeCell ref="O33:P33"/>
    <mergeCell ref="O34:P34"/>
    <mergeCell ref="L27:N28"/>
    <mergeCell ref="W31:X31"/>
    <mergeCell ref="W32:X32"/>
    <mergeCell ref="W33:X33"/>
    <mergeCell ref="W34:X34"/>
    <mergeCell ref="W35:X35"/>
    <mergeCell ref="S27:S28"/>
    <mergeCell ref="L30:N30"/>
    <mergeCell ref="L31:N31"/>
    <mergeCell ref="L32:N32"/>
    <mergeCell ref="L33:N33"/>
    <mergeCell ref="W36:X36"/>
    <mergeCell ref="W37:X37"/>
    <mergeCell ref="W38:X38"/>
    <mergeCell ref="L42:N42"/>
    <mergeCell ref="O35:P35"/>
    <mergeCell ref="O36:P36"/>
    <mergeCell ref="O37:P37"/>
    <mergeCell ref="O38:P38"/>
    <mergeCell ref="L36:N36"/>
    <mergeCell ref="L37:N37"/>
    <mergeCell ref="Q40:R40"/>
    <mergeCell ref="O39:P39"/>
    <mergeCell ref="O40:P40"/>
    <mergeCell ref="O41:P41"/>
    <mergeCell ref="L38:N38"/>
    <mergeCell ref="L39:N39"/>
    <mergeCell ref="L40:N40"/>
    <mergeCell ref="L41:N41"/>
    <mergeCell ref="Q38:R38"/>
    <mergeCell ref="Q39:R39"/>
    <mergeCell ref="H27:J27"/>
    <mergeCell ref="H26:J26"/>
    <mergeCell ref="O42:P42"/>
    <mergeCell ref="Q29:R29"/>
    <mergeCell ref="Q30:R30"/>
    <mergeCell ref="Q31:R31"/>
    <mergeCell ref="Q32:R32"/>
    <mergeCell ref="Q33:R33"/>
    <mergeCell ref="Q34:R34"/>
    <mergeCell ref="O27:P28"/>
    <mergeCell ref="Q27:R28"/>
    <mergeCell ref="H31:J31"/>
    <mergeCell ref="H37:J37"/>
    <mergeCell ref="L26:Y26"/>
    <mergeCell ref="T29:U29"/>
    <mergeCell ref="T30:U30"/>
    <mergeCell ref="T31:U31"/>
    <mergeCell ref="T32:U32"/>
    <mergeCell ref="T33:U33"/>
    <mergeCell ref="T34:U34"/>
    <mergeCell ref="T35:U35"/>
    <mergeCell ref="T36:U36"/>
    <mergeCell ref="Q35:R35"/>
    <mergeCell ref="Q36:R36"/>
    <mergeCell ref="U63:Y63"/>
    <mergeCell ref="X55:AB55"/>
    <mergeCell ref="N43:P43"/>
    <mergeCell ref="O45:P46"/>
    <mergeCell ref="H50:J50"/>
    <mergeCell ref="H33:J33"/>
    <mergeCell ref="H39:J39"/>
    <mergeCell ref="H45:J45"/>
    <mergeCell ref="W30:X30"/>
    <mergeCell ref="R42:S42"/>
    <mergeCell ref="Q37:R37"/>
    <mergeCell ref="T37:U37"/>
    <mergeCell ref="T38:U38"/>
    <mergeCell ref="T39:U39"/>
    <mergeCell ref="T40:U40"/>
    <mergeCell ref="T41:U41"/>
    <mergeCell ref="U42:V42"/>
    <mergeCell ref="Q41:R41"/>
    <mergeCell ref="H52:J52"/>
    <mergeCell ref="W39:X39"/>
    <mergeCell ref="W40:X40"/>
    <mergeCell ref="W41:X41"/>
    <mergeCell ref="W42:X42"/>
    <mergeCell ref="H43:J43"/>
  </mergeCells>
  <conditionalFormatting sqref="E8:E15">
    <cfRule type="expression" dxfId="32" priority="10">
      <formula>SEARCH("No actualizado",$C8)&gt;0</formula>
    </cfRule>
    <cfRule type="expression" dxfId="31" priority="11">
      <formula>SEARCH("Actualizado",$C8)&gt;0</formula>
    </cfRule>
    <cfRule type="expression" dxfId="30" priority="12">
      <formula>SEARCH("Pendiente Actualizar",$C8)&gt;0</formula>
    </cfRule>
  </conditionalFormatting>
  <conditionalFormatting sqref="E19:E23">
    <cfRule type="expression" dxfId="29" priority="1">
      <formula>SEARCH("No monitoreado",$D19)&gt;0</formula>
    </cfRule>
    <cfRule type="expression" dxfId="28" priority="2">
      <formula>SEARCH("Monitoreo pendiente",$D19)&gt;0</formula>
    </cfRule>
    <cfRule type="expression" dxfId="27" priority="3">
      <formula>SEARCH("Monitoreado",$D19)&gt;0</formula>
    </cfRule>
  </conditionalFormatting>
  <pageMargins left="1.1811023622047245" right="0" top="0" bottom="0" header="0" footer="0"/>
  <pageSetup paperSize="5" scale="55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18F1-799D-476D-B08B-4464C9057C2B}">
  <dimension ref="A2:K94"/>
  <sheetViews>
    <sheetView topLeftCell="A13" zoomScale="85" zoomScaleNormal="85" workbookViewId="0">
      <selection activeCell="C15" sqref="C15:E39"/>
    </sheetView>
  </sheetViews>
  <sheetFormatPr baseColWidth="10" defaultRowHeight="15"/>
  <cols>
    <col min="2" max="2" width="14.7109375" customWidth="1"/>
    <col min="3" max="3" width="14.5703125" customWidth="1"/>
  </cols>
  <sheetData>
    <row r="2" spans="1:6">
      <c r="B2" s="800" t="s">
        <v>146</v>
      </c>
      <c r="C2" s="800"/>
      <c r="D2" s="800"/>
      <c r="E2" s="800"/>
      <c r="F2" s="800"/>
    </row>
    <row r="3" spans="1:6">
      <c r="B3" s="801" t="s">
        <v>147</v>
      </c>
      <c r="C3" s="801"/>
      <c r="D3" s="801"/>
      <c r="E3" s="801"/>
      <c r="F3" s="801"/>
    </row>
    <row r="4" spans="1:6">
      <c r="B4" s="76" t="s">
        <v>148</v>
      </c>
      <c r="C4" s="76" t="s">
        <v>149</v>
      </c>
      <c r="D4" s="76" t="s">
        <v>150</v>
      </c>
      <c r="E4" s="76" t="s">
        <v>151</v>
      </c>
      <c r="F4" s="76" t="s">
        <v>152</v>
      </c>
    </row>
    <row r="5" spans="1:6">
      <c r="A5" s="164"/>
      <c r="B5" s="76">
        <v>1</v>
      </c>
      <c r="C5" s="76">
        <v>2</v>
      </c>
      <c r="D5" s="76">
        <v>3</v>
      </c>
      <c r="E5" s="76">
        <v>4</v>
      </c>
      <c r="F5" s="76">
        <v>5</v>
      </c>
    </row>
    <row r="6" spans="1:6">
      <c r="A6" s="76">
        <v>5</v>
      </c>
      <c r="B6" s="171">
        <v>0</v>
      </c>
      <c r="C6" s="171">
        <v>0</v>
      </c>
      <c r="D6" s="172">
        <v>2</v>
      </c>
      <c r="E6" s="172">
        <v>0</v>
      </c>
      <c r="F6" s="172">
        <v>0</v>
      </c>
    </row>
    <row r="7" spans="1:6">
      <c r="A7" s="76">
        <v>4</v>
      </c>
      <c r="B7" s="173">
        <v>2</v>
      </c>
      <c r="C7" s="171">
        <v>12</v>
      </c>
      <c r="D7" s="171">
        <v>22</v>
      </c>
      <c r="E7" s="172">
        <v>19</v>
      </c>
      <c r="F7" s="172">
        <v>0</v>
      </c>
    </row>
    <row r="8" spans="1:6">
      <c r="A8" s="76">
        <v>3</v>
      </c>
      <c r="B8" s="174">
        <v>3</v>
      </c>
      <c r="C8" s="173">
        <v>32</v>
      </c>
      <c r="D8" s="171">
        <v>86</v>
      </c>
      <c r="E8" s="172">
        <v>48</v>
      </c>
      <c r="F8" s="172">
        <v>2</v>
      </c>
    </row>
    <row r="9" spans="1:6">
      <c r="A9" s="76">
        <v>2</v>
      </c>
      <c r="B9" s="174">
        <v>12</v>
      </c>
      <c r="C9" s="174">
        <v>58</v>
      </c>
      <c r="D9" s="173">
        <v>70</v>
      </c>
      <c r="E9" s="171">
        <v>31</v>
      </c>
      <c r="F9" s="172">
        <v>11</v>
      </c>
    </row>
    <row r="10" spans="1:6">
      <c r="A10" s="76">
        <v>1</v>
      </c>
      <c r="B10" s="174">
        <v>35</v>
      </c>
      <c r="C10" s="174">
        <v>19</v>
      </c>
      <c r="D10" s="173">
        <v>25</v>
      </c>
      <c r="E10" s="171">
        <v>21</v>
      </c>
      <c r="F10" s="171">
        <v>16</v>
      </c>
    </row>
    <row r="14" spans="1:6" ht="15.75">
      <c r="C14" s="216" t="s">
        <v>153</v>
      </c>
      <c r="D14" s="216" t="s">
        <v>147</v>
      </c>
      <c r="E14" s="217" t="s">
        <v>129</v>
      </c>
    </row>
    <row r="15" spans="1:6">
      <c r="C15" s="76">
        <v>1</v>
      </c>
      <c r="D15" s="76">
        <v>1</v>
      </c>
      <c r="E15" s="2">
        <v>29</v>
      </c>
    </row>
    <row r="16" spans="1:6">
      <c r="C16" s="76">
        <v>2</v>
      </c>
      <c r="D16" s="76">
        <v>1</v>
      </c>
      <c r="E16" s="2">
        <v>11</v>
      </c>
    </row>
    <row r="17" spans="3:8">
      <c r="C17" s="76">
        <v>3</v>
      </c>
      <c r="D17" s="76">
        <v>1</v>
      </c>
      <c r="E17" s="2">
        <v>3</v>
      </c>
    </row>
    <row r="18" spans="3:8">
      <c r="C18" s="76">
        <v>4</v>
      </c>
      <c r="D18" s="76">
        <v>1</v>
      </c>
      <c r="E18" s="2">
        <v>1</v>
      </c>
    </row>
    <row r="19" spans="3:8">
      <c r="C19" s="76">
        <v>5</v>
      </c>
      <c r="D19" s="76">
        <v>1</v>
      </c>
      <c r="E19" s="2">
        <v>0</v>
      </c>
    </row>
    <row r="20" spans="3:8">
      <c r="C20" s="76">
        <v>1</v>
      </c>
      <c r="D20" s="76">
        <v>2</v>
      </c>
      <c r="E20" s="2">
        <v>22</v>
      </c>
    </row>
    <row r="21" spans="3:8">
      <c r="C21" s="76">
        <v>2</v>
      </c>
      <c r="D21" s="76">
        <v>2</v>
      </c>
      <c r="E21" s="2">
        <v>55</v>
      </c>
    </row>
    <row r="22" spans="3:8">
      <c r="C22" s="76">
        <v>3</v>
      </c>
      <c r="D22" s="76">
        <v>2</v>
      </c>
      <c r="E22" s="2">
        <v>33</v>
      </c>
    </row>
    <row r="23" spans="3:8">
      <c r="C23" s="76">
        <v>4</v>
      </c>
      <c r="D23" s="76">
        <v>2</v>
      </c>
      <c r="E23" s="2">
        <v>14</v>
      </c>
    </row>
    <row r="24" spans="3:8">
      <c r="C24" s="76">
        <v>5</v>
      </c>
      <c r="D24" s="76">
        <v>2</v>
      </c>
      <c r="E24" s="2">
        <v>0</v>
      </c>
    </row>
    <row r="25" spans="3:8">
      <c r="C25" s="76">
        <v>1</v>
      </c>
      <c r="D25" s="76">
        <v>3</v>
      </c>
      <c r="E25" s="2">
        <v>25</v>
      </c>
    </row>
    <row r="26" spans="3:8">
      <c r="C26" s="76">
        <v>2</v>
      </c>
      <c r="D26" s="76">
        <v>3</v>
      </c>
      <c r="E26" s="2">
        <v>72</v>
      </c>
      <c r="G26" s="798" t="s">
        <v>153</v>
      </c>
      <c r="H26" s="799">
        <v>5</v>
      </c>
    </row>
    <row r="27" spans="3:8">
      <c r="C27" s="76">
        <v>3</v>
      </c>
      <c r="D27" s="76">
        <v>3</v>
      </c>
      <c r="E27" s="2">
        <v>96</v>
      </c>
      <c r="G27" s="798"/>
      <c r="H27" s="799"/>
    </row>
    <row r="28" spans="3:8">
      <c r="C28" s="76">
        <v>4</v>
      </c>
      <c r="D28" s="76">
        <v>3</v>
      </c>
      <c r="E28" s="2">
        <v>21</v>
      </c>
      <c r="G28" s="798"/>
      <c r="H28" s="799"/>
    </row>
    <row r="29" spans="3:8">
      <c r="C29" s="76">
        <v>5</v>
      </c>
      <c r="D29" s="76">
        <v>3</v>
      </c>
      <c r="E29" s="2">
        <v>2</v>
      </c>
      <c r="G29" s="798"/>
      <c r="H29" s="799"/>
    </row>
    <row r="30" spans="3:8">
      <c r="C30" s="76">
        <v>1</v>
      </c>
      <c r="D30" s="76">
        <v>4</v>
      </c>
      <c r="E30" s="2">
        <v>22</v>
      </c>
      <c r="G30" s="798"/>
      <c r="H30" s="799"/>
    </row>
    <row r="31" spans="3:8">
      <c r="C31" s="76">
        <v>2</v>
      </c>
      <c r="D31" s="76">
        <v>4</v>
      </c>
      <c r="E31" s="2">
        <v>31</v>
      </c>
      <c r="G31" s="798"/>
      <c r="H31" s="799">
        <v>4</v>
      </c>
    </row>
    <row r="32" spans="3:8">
      <c r="C32" s="76">
        <v>3</v>
      </c>
      <c r="D32" s="76">
        <v>4</v>
      </c>
      <c r="E32" s="2">
        <v>45</v>
      </c>
      <c r="G32" s="798"/>
      <c r="H32" s="799"/>
    </row>
    <row r="33" spans="3:8">
      <c r="C33" s="76">
        <v>4</v>
      </c>
      <c r="D33" s="76">
        <v>4</v>
      </c>
      <c r="E33" s="2">
        <v>18</v>
      </c>
      <c r="G33" s="798"/>
      <c r="H33" s="799"/>
    </row>
    <row r="34" spans="3:8">
      <c r="C34" s="76">
        <v>5</v>
      </c>
      <c r="D34" s="76">
        <v>4</v>
      </c>
      <c r="E34" s="2">
        <v>0</v>
      </c>
      <c r="G34" s="798"/>
      <c r="H34" s="799"/>
    </row>
    <row r="35" spans="3:8">
      <c r="C35" s="76">
        <v>1</v>
      </c>
      <c r="D35" s="76">
        <v>5</v>
      </c>
      <c r="E35" s="2">
        <v>14</v>
      </c>
      <c r="G35" s="798"/>
      <c r="H35" s="799"/>
    </row>
    <row r="36" spans="3:8">
      <c r="C36" s="76">
        <v>2</v>
      </c>
      <c r="D36" s="76">
        <v>5</v>
      </c>
      <c r="E36" s="2">
        <v>10</v>
      </c>
      <c r="G36" s="798"/>
      <c r="H36" s="799">
        <v>3</v>
      </c>
    </row>
    <row r="37" spans="3:8">
      <c r="C37" s="76">
        <v>3</v>
      </c>
      <c r="D37" s="76">
        <v>5</v>
      </c>
      <c r="E37" s="2">
        <v>2</v>
      </c>
      <c r="G37" s="798"/>
      <c r="H37" s="799"/>
    </row>
    <row r="38" spans="3:8">
      <c r="C38" s="76">
        <v>4</v>
      </c>
      <c r="D38" s="76">
        <v>5</v>
      </c>
      <c r="E38" s="2">
        <v>0</v>
      </c>
      <c r="G38" s="798"/>
      <c r="H38" s="799"/>
    </row>
    <row r="39" spans="3:8">
      <c r="C39" s="76">
        <v>5</v>
      </c>
      <c r="D39" s="76">
        <v>5</v>
      </c>
      <c r="E39" s="2">
        <v>0</v>
      </c>
      <c r="G39" s="798"/>
      <c r="H39" s="799"/>
    </row>
    <row r="40" spans="3:8">
      <c r="G40" s="798"/>
      <c r="H40" s="799"/>
    </row>
    <row r="41" spans="3:8">
      <c r="G41" s="798"/>
      <c r="H41" s="799">
        <v>2</v>
      </c>
    </row>
    <row r="42" spans="3:8">
      <c r="G42" s="798"/>
      <c r="H42" s="799"/>
    </row>
    <row r="43" spans="3:8">
      <c r="G43" s="798"/>
      <c r="H43" s="799"/>
    </row>
    <row r="44" spans="3:8">
      <c r="G44" s="798"/>
      <c r="H44" s="799"/>
    </row>
    <row r="45" spans="3:8">
      <c r="G45" s="798"/>
      <c r="H45" s="799"/>
    </row>
    <row r="46" spans="3:8">
      <c r="G46" s="798"/>
      <c r="H46" s="799">
        <v>1</v>
      </c>
    </row>
    <row r="47" spans="3:8">
      <c r="G47" s="798"/>
      <c r="H47" s="799"/>
    </row>
    <row r="48" spans="3:8">
      <c r="G48" s="798"/>
      <c r="H48" s="799"/>
    </row>
    <row r="49" spans="7:10">
      <c r="G49" s="798"/>
      <c r="H49" s="799"/>
    </row>
    <row r="50" spans="7:10">
      <c r="G50" s="798"/>
      <c r="H50" s="799"/>
    </row>
    <row r="55" spans="7:10">
      <c r="H55" s="175"/>
      <c r="I55" s="799"/>
      <c r="J55" s="798"/>
    </row>
    <row r="56" spans="7:10">
      <c r="H56" s="175"/>
      <c r="I56" s="799"/>
      <c r="J56" s="798"/>
    </row>
    <row r="57" spans="7:10">
      <c r="H57" s="175"/>
      <c r="I57" s="799"/>
      <c r="J57" s="798"/>
    </row>
    <row r="58" spans="7:10">
      <c r="H58" s="175"/>
      <c r="I58" s="799"/>
      <c r="J58" s="798"/>
    </row>
    <row r="59" spans="7:10">
      <c r="H59" s="175"/>
      <c r="I59" s="799"/>
      <c r="J59" s="798"/>
    </row>
    <row r="60" spans="7:10">
      <c r="H60" s="175"/>
      <c r="I60" s="799"/>
      <c r="J60" s="798"/>
    </row>
    <row r="61" spans="7:10">
      <c r="H61" s="175"/>
      <c r="I61" s="799"/>
      <c r="J61" s="798"/>
    </row>
    <row r="62" spans="7:10">
      <c r="H62" s="175"/>
      <c r="I62" s="799"/>
      <c r="J62" s="798"/>
    </row>
    <row r="63" spans="7:10">
      <c r="H63" s="175"/>
      <c r="I63" s="799"/>
      <c r="J63" s="798"/>
    </row>
    <row r="64" spans="7:10">
      <c r="H64" s="175"/>
      <c r="I64" s="799"/>
      <c r="J64" s="798"/>
    </row>
    <row r="65" spans="8:11">
      <c r="H65" s="175"/>
      <c r="I65" s="799"/>
      <c r="J65" s="798"/>
    </row>
    <row r="66" spans="8:11">
      <c r="H66" s="175"/>
      <c r="I66" s="799"/>
      <c r="J66" s="798"/>
    </row>
    <row r="67" spans="8:11">
      <c r="H67" s="175"/>
      <c r="I67" s="799"/>
      <c r="J67" s="798"/>
    </row>
    <row r="68" spans="8:11">
      <c r="H68" s="175"/>
      <c r="I68" s="799"/>
      <c r="J68" s="798"/>
    </row>
    <row r="69" spans="8:11">
      <c r="H69" s="175"/>
      <c r="I69" s="799"/>
      <c r="J69" s="798"/>
    </row>
    <row r="70" spans="8:11">
      <c r="H70" s="175"/>
      <c r="I70" s="799"/>
      <c r="J70" s="798"/>
      <c r="K70" s="798" t="s">
        <v>154</v>
      </c>
    </row>
    <row r="71" spans="8:11">
      <c r="H71" s="175"/>
      <c r="I71" s="799"/>
      <c r="J71" s="798"/>
      <c r="K71" s="798"/>
    </row>
    <row r="72" spans="8:11">
      <c r="H72" s="175"/>
      <c r="I72" s="799"/>
      <c r="J72" s="798"/>
      <c r="K72" s="798"/>
    </row>
    <row r="73" spans="8:11">
      <c r="H73" s="175"/>
      <c r="I73" s="799"/>
      <c r="J73" s="798"/>
      <c r="K73" s="798"/>
    </row>
    <row r="74" spans="8:11">
      <c r="H74" s="175"/>
      <c r="I74" s="799"/>
      <c r="J74" s="798"/>
      <c r="K74" s="798"/>
    </row>
    <row r="75" spans="8:11">
      <c r="H75" s="175"/>
      <c r="I75" s="799"/>
      <c r="J75" s="798"/>
      <c r="K75" s="798"/>
    </row>
    <row r="76" spans="8:11">
      <c r="H76" s="175"/>
      <c r="I76" s="799"/>
      <c r="J76" s="798"/>
      <c r="K76" s="798"/>
    </row>
    <row r="77" spans="8:11">
      <c r="H77" s="175"/>
      <c r="I77" s="799"/>
      <c r="J77" s="798"/>
      <c r="K77" s="798"/>
    </row>
    <row r="78" spans="8:11">
      <c r="H78" s="175"/>
      <c r="I78" s="799"/>
      <c r="J78" s="798"/>
      <c r="K78" s="798"/>
    </row>
    <row r="79" spans="8:11">
      <c r="H79" s="175"/>
      <c r="I79" s="799"/>
      <c r="J79" s="798"/>
      <c r="K79" s="798"/>
    </row>
    <row r="80" spans="8:11">
      <c r="K80" s="798"/>
    </row>
    <row r="81" spans="11:11">
      <c r="K81" s="798"/>
    </row>
    <row r="82" spans="11:11">
      <c r="K82" s="798"/>
    </row>
    <row r="83" spans="11:11">
      <c r="K83" s="798"/>
    </row>
    <row r="84" spans="11:11">
      <c r="K84" s="798"/>
    </row>
    <row r="85" spans="11:11">
      <c r="K85" s="798"/>
    </row>
    <row r="86" spans="11:11">
      <c r="K86" s="798"/>
    </row>
    <row r="87" spans="11:11">
      <c r="K87" s="798"/>
    </row>
    <row r="88" spans="11:11">
      <c r="K88" s="798"/>
    </row>
    <row r="89" spans="11:11">
      <c r="K89" s="798"/>
    </row>
    <row r="90" spans="11:11">
      <c r="K90" s="798"/>
    </row>
    <row r="91" spans="11:11">
      <c r="K91" s="798"/>
    </row>
    <row r="92" spans="11:11">
      <c r="K92" s="798"/>
    </row>
    <row r="93" spans="11:11">
      <c r="K93" s="798"/>
    </row>
    <row r="94" spans="11:11">
      <c r="K94" s="798"/>
    </row>
  </sheetData>
  <mergeCells count="15">
    <mergeCell ref="K70:K94"/>
    <mergeCell ref="I75:I79"/>
    <mergeCell ref="B2:F2"/>
    <mergeCell ref="B3:F3"/>
    <mergeCell ref="G26:G50"/>
    <mergeCell ref="H26:H30"/>
    <mergeCell ref="H31:H35"/>
    <mergeCell ref="H36:H40"/>
    <mergeCell ref="H41:H45"/>
    <mergeCell ref="H46:H50"/>
    <mergeCell ref="I55:I59"/>
    <mergeCell ref="J55:J79"/>
    <mergeCell ref="I60:I64"/>
    <mergeCell ref="I65:I69"/>
    <mergeCell ref="I70:I7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885C-585F-44F5-99E6-29EE0EF3D457}">
  <dimension ref="A1:T46"/>
  <sheetViews>
    <sheetView showGridLines="0" tabSelected="1" topLeftCell="A12" zoomScale="70" zoomScaleNormal="70" workbookViewId="0">
      <selection activeCell="K15" sqref="K15:L15"/>
    </sheetView>
  </sheetViews>
  <sheetFormatPr baseColWidth="10" defaultRowHeight="15"/>
  <cols>
    <col min="1" max="1" width="3.140625" customWidth="1"/>
    <col min="2" max="2" width="50.140625" customWidth="1"/>
    <col min="3" max="3" width="47.140625" customWidth="1"/>
    <col min="4" max="4" width="27.28515625" customWidth="1"/>
    <col min="5" max="5" width="21.5703125" customWidth="1"/>
    <col min="6" max="6" width="20.42578125" customWidth="1"/>
    <col min="7" max="7" width="6.42578125" customWidth="1"/>
    <col min="8" max="8" width="39.85546875" customWidth="1"/>
    <col min="9" max="9" width="0.5703125" customWidth="1"/>
    <col min="10" max="10" width="3.28515625" customWidth="1"/>
    <col min="11" max="11" width="31" customWidth="1"/>
    <col min="12" max="12" width="4.140625" customWidth="1"/>
    <col min="13" max="13" width="8.28515625" customWidth="1"/>
    <col min="14" max="14" width="32.28515625" customWidth="1"/>
    <col min="15" max="15" width="14.42578125" customWidth="1"/>
    <col min="16" max="16" width="4.28515625" customWidth="1"/>
    <col min="17" max="17" width="4.42578125" customWidth="1"/>
    <col min="18" max="18" width="2.42578125" customWidth="1"/>
  </cols>
  <sheetData>
    <row r="1" spans="1:20" ht="21">
      <c r="A1" s="85"/>
      <c r="B1" s="833" t="s">
        <v>160</v>
      </c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5"/>
      <c r="P1" s="85"/>
      <c r="Q1" s="85"/>
      <c r="R1" s="85"/>
      <c r="S1" s="85"/>
      <c r="T1" s="85"/>
    </row>
    <row r="2" spans="1:20" ht="18.75" customHeight="1">
      <c r="A2" s="85"/>
      <c r="B2" s="821" t="s">
        <v>161</v>
      </c>
      <c r="C2" s="822"/>
      <c r="D2" s="822"/>
      <c r="E2" s="822"/>
      <c r="F2" s="822"/>
      <c r="G2" s="823" t="s">
        <v>213</v>
      </c>
      <c r="H2" s="823"/>
      <c r="I2" s="823"/>
      <c r="J2" s="823"/>
      <c r="K2" s="823"/>
      <c r="L2" s="823"/>
      <c r="M2" s="823"/>
      <c r="N2" s="823"/>
      <c r="O2" s="824"/>
      <c r="P2" s="85"/>
      <c r="Q2" s="85"/>
      <c r="R2" s="85"/>
      <c r="S2" s="85"/>
      <c r="T2" s="85"/>
    </row>
    <row r="3" spans="1:20" ht="28.5" customHeight="1" thickBot="1">
      <c r="A3" s="85"/>
      <c r="B3" s="825" t="s">
        <v>325</v>
      </c>
      <c r="C3" s="826"/>
      <c r="D3" s="826"/>
      <c r="E3" s="826"/>
      <c r="F3" s="826"/>
      <c r="G3" s="826"/>
      <c r="H3" s="827"/>
      <c r="I3" s="211"/>
      <c r="J3" s="212"/>
      <c r="K3" s="485"/>
      <c r="L3" s="210"/>
      <c r="M3" s="210"/>
      <c r="N3" s="210"/>
      <c r="O3" s="212"/>
      <c r="P3" s="85"/>
      <c r="Q3" s="85"/>
      <c r="R3" s="85"/>
      <c r="S3" s="85"/>
      <c r="T3" s="85"/>
    </row>
    <row r="4" spans="1:20" ht="27.75" customHeight="1">
      <c r="A4" s="85"/>
      <c r="B4" s="106"/>
      <c r="C4" s="93"/>
      <c r="D4" s="93"/>
      <c r="E4" s="86"/>
      <c r="F4" s="86"/>
      <c r="G4" s="86"/>
      <c r="H4" s="83"/>
      <c r="I4" s="91"/>
      <c r="J4" s="106"/>
      <c r="K4" s="843" t="s">
        <v>327</v>
      </c>
      <c r="L4" s="844"/>
      <c r="M4" s="844"/>
      <c r="N4" s="844"/>
      <c r="O4" s="845"/>
      <c r="P4" s="83"/>
      <c r="Q4" s="85"/>
      <c r="R4" s="85"/>
      <c r="S4" s="85"/>
      <c r="T4" s="85"/>
    </row>
    <row r="5" spans="1:20" ht="36" customHeight="1" thickBot="1">
      <c r="A5" s="85"/>
      <c r="B5" s="106"/>
      <c r="H5" s="82"/>
      <c r="I5" s="85"/>
      <c r="J5" s="213"/>
      <c r="K5" s="840" t="s">
        <v>163</v>
      </c>
      <c r="L5" s="839"/>
      <c r="M5" s="839" t="s">
        <v>324</v>
      </c>
      <c r="N5" s="839"/>
      <c r="O5" s="591" t="s">
        <v>165</v>
      </c>
      <c r="P5" s="83"/>
      <c r="Q5" s="85"/>
      <c r="R5" s="85"/>
      <c r="S5" s="85"/>
      <c r="T5" s="85"/>
    </row>
    <row r="6" spans="1:20" ht="58.5" customHeight="1">
      <c r="A6" s="85"/>
      <c r="B6" s="82"/>
      <c r="H6" s="82"/>
      <c r="I6" s="85"/>
      <c r="J6" s="82"/>
      <c r="K6" s="846"/>
      <c r="L6" s="838"/>
      <c r="M6" s="837"/>
      <c r="N6" s="838"/>
      <c r="O6" s="593"/>
      <c r="P6" s="83"/>
      <c r="Q6" s="85"/>
      <c r="R6" s="85"/>
      <c r="S6" s="85"/>
      <c r="T6" s="85"/>
    </row>
    <row r="7" spans="1:20" ht="53.25" customHeight="1">
      <c r="A7" s="85"/>
      <c r="C7" s="85"/>
      <c r="D7" s="85"/>
      <c r="E7" s="841"/>
      <c r="F7" s="842"/>
      <c r="G7" s="842"/>
      <c r="H7" s="842"/>
      <c r="I7" s="85"/>
      <c r="J7" s="106"/>
      <c r="K7" s="804"/>
      <c r="L7" s="803"/>
      <c r="M7" s="802"/>
      <c r="N7" s="803"/>
      <c r="O7" s="504"/>
      <c r="P7" s="83"/>
      <c r="Q7" s="85"/>
      <c r="R7" s="85"/>
      <c r="S7" s="85"/>
      <c r="T7" s="85"/>
    </row>
    <row r="8" spans="1:20" ht="50.25" customHeight="1">
      <c r="A8" s="82"/>
      <c r="B8" s="85"/>
      <c r="C8" s="85"/>
      <c r="D8" s="85"/>
      <c r="I8" s="85"/>
      <c r="J8" s="82"/>
      <c r="K8" s="804"/>
      <c r="L8" s="803"/>
      <c r="M8" s="802"/>
      <c r="N8" s="803"/>
      <c r="O8" s="504"/>
      <c r="P8" s="83"/>
      <c r="Q8" s="85"/>
      <c r="R8" s="85"/>
      <c r="S8" s="85"/>
      <c r="T8" s="85"/>
    </row>
    <row r="9" spans="1:20" ht="55.5" customHeight="1">
      <c r="A9" s="82"/>
      <c r="B9" s="85"/>
      <c r="C9" s="85"/>
      <c r="D9" s="85"/>
      <c r="I9" s="85"/>
      <c r="J9" s="106"/>
      <c r="K9" s="804"/>
      <c r="L9" s="803"/>
      <c r="M9" s="802"/>
      <c r="N9" s="803"/>
      <c r="O9" s="504"/>
      <c r="P9" s="83"/>
      <c r="Q9" s="85"/>
      <c r="R9" s="85"/>
      <c r="S9" s="85"/>
      <c r="T9" s="85"/>
    </row>
    <row r="10" spans="1:20" ht="51" customHeight="1">
      <c r="A10" s="82"/>
      <c r="B10" s="480" t="s">
        <v>337</v>
      </c>
      <c r="C10" s="480" t="s">
        <v>338</v>
      </c>
      <c r="D10" s="85"/>
      <c r="I10" s="85"/>
      <c r="J10" s="82"/>
      <c r="K10" s="804"/>
      <c r="L10" s="803"/>
      <c r="M10" s="802"/>
      <c r="N10" s="803"/>
      <c r="O10" s="504"/>
      <c r="P10" s="83"/>
      <c r="Q10" s="85"/>
      <c r="R10" s="85"/>
      <c r="S10" s="85"/>
      <c r="T10" s="85"/>
    </row>
    <row r="11" spans="1:20" ht="57" customHeight="1">
      <c r="A11" s="82"/>
      <c r="B11" s="590"/>
      <c r="C11" s="590"/>
      <c r="D11" s="92"/>
      <c r="F11" s="92"/>
      <c r="H11" s="90"/>
      <c r="I11" s="83"/>
      <c r="J11" s="106"/>
      <c r="K11" s="804"/>
      <c r="L11" s="803"/>
      <c r="M11" s="802"/>
      <c r="N11" s="803"/>
      <c r="O11" s="504"/>
      <c r="P11" s="83"/>
      <c r="Q11" s="85"/>
      <c r="R11" s="85"/>
      <c r="S11" s="85"/>
      <c r="T11" s="85"/>
    </row>
    <row r="12" spans="1:20" ht="49.5" customHeight="1">
      <c r="A12" s="82"/>
      <c r="B12" s="74"/>
      <c r="C12" s="74"/>
      <c r="D12" s="92"/>
      <c r="G12" s="92"/>
      <c r="I12" s="83"/>
      <c r="J12" s="106"/>
      <c r="K12" s="804"/>
      <c r="L12" s="803"/>
      <c r="M12" s="802"/>
      <c r="N12" s="803"/>
      <c r="O12" s="504"/>
      <c r="P12" s="83"/>
      <c r="Q12" s="85"/>
      <c r="R12" s="85"/>
      <c r="S12" s="85"/>
      <c r="T12" s="85"/>
    </row>
    <row r="13" spans="1:20" ht="55.5" customHeight="1">
      <c r="A13" s="82"/>
      <c r="D13" s="92"/>
      <c r="E13" s="836" t="s">
        <v>326</v>
      </c>
      <c r="F13" s="836"/>
      <c r="G13" s="836"/>
      <c r="H13" s="836"/>
      <c r="I13" s="83"/>
      <c r="J13" s="106"/>
      <c r="K13" s="804"/>
      <c r="L13" s="803"/>
      <c r="M13" s="802"/>
      <c r="N13" s="803"/>
      <c r="O13" s="504"/>
      <c r="P13" s="83"/>
      <c r="Q13" s="85"/>
      <c r="R13" s="85"/>
      <c r="S13" s="85"/>
      <c r="T13" s="85"/>
    </row>
    <row r="14" spans="1:20" ht="47.25" customHeight="1">
      <c r="A14" s="82"/>
      <c r="B14" s="811" t="s">
        <v>320</v>
      </c>
      <c r="C14" s="811"/>
      <c r="D14" s="92"/>
      <c r="E14" s="829" t="s">
        <v>163</v>
      </c>
      <c r="F14" s="829"/>
      <c r="G14" s="829"/>
      <c r="H14" s="473" t="s">
        <v>164</v>
      </c>
      <c r="I14" s="83"/>
      <c r="J14" s="106"/>
      <c r="K14" s="804"/>
      <c r="L14" s="803"/>
      <c r="M14" s="802"/>
      <c r="N14" s="803"/>
      <c r="O14" s="504"/>
      <c r="P14" s="83"/>
      <c r="Q14" s="85"/>
      <c r="R14" s="85"/>
      <c r="S14" s="85"/>
      <c r="T14" s="85"/>
    </row>
    <row r="15" spans="1:20" ht="44.25" customHeight="1">
      <c r="A15" s="82"/>
      <c r="B15" s="480" t="s">
        <v>162</v>
      </c>
      <c r="C15" s="480" t="s">
        <v>323</v>
      </c>
      <c r="D15" s="92"/>
      <c r="E15" s="815"/>
      <c r="F15" s="815"/>
      <c r="G15" s="815"/>
      <c r="H15" s="482"/>
      <c r="I15" s="83"/>
      <c r="J15" s="106"/>
      <c r="K15" s="804"/>
      <c r="L15" s="803"/>
      <c r="M15" s="802"/>
      <c r="N15" s="803"/>
      <c r="O15" s="504"/>
      <c r="P15" s="83"/>
      <c r="Q15" s="85"/>
      <c r="R15" s="85"/>
      <c r="S15" s="85"/>
      <c r="T15" s="85"/>
    </row>
    <row r="16" spans="1:20" ht="47.25" customHeight="1">
      <c r="A16" s="82"/>
      <c r="B16" s="481"/>
      <c r="C16" s="481"/>
      <c r="D16" s="92"/>
      <c r="E16" s="815"/>
      <c r="F16" s="815"/>
      <c r="G16" s="815"/>
      <c r="H16" s="482"/>
      <c r="I16" s="83"/>
      <c r="J16" s="106"/>
      <c r="K16" s="804"/>
      <c r="L16" s="803"/>
      <c r="M16" s="802"/>
      <c r="N16" s="803"/>
      <c r="O16" s="504"/>
      <c r="P16" s="83"/>
      <c r="Q16" s="85"/>
      <c r="R16" s="85"/>
      <c r="S16" s="85"/>
      <c r="T16" s="85"/>
    </row>
    <row r="17" spans="1:20" ht="46.5" customHeight="1">
      <c r="A17" s="82"/>
      <c r="B17" s="481"/>
      <c r="C17" s="481"/>
      <c r="D17" s="92"/>
      <c r="E17" s="815"/>
      <c r="F17" s="815"/>
      <c r="G17" s="815"/>
      <c r="H17" s="482"/>
      <c r="I17" s="83"/>
      <c r="J17" s="82"/>
      <c r="K17" s="804"/>
      <c r="L17" s="803"/>
      <c r="M17" s="802"/>
      <c r="N17" s="803"/>
      <c r="O17" s="505"/>
      <c r="P17" s="83"/>
      <c r="Q17" s="85"/>
      <c r="R17" s="85"/>
      <c r="S17" s="85"/>
      <c r="T17" s="85"/>
    </row>
    <row r="18" spans="1:20" ht="54.75" customHeight="1" thickBot="1">
      <c r="A18" s="82"/>
      <c r="B18" s="481"/>
      <c r="C18" s="481"/>
      <c r="D18" s="92"/>
      <c r="E18" s="815"/>
      <c r="F18" s="815"/>
      <c r="G18" s="815"/>
      <c r="H18" s="482"/>
      <c r="I18" s="83"/>
      <c r="J18" s="90"/>
      <c r="K18" s="820"/>
      <c r="L18" s="819"/>
      <c r="M18" s="818"/>
      <c r="N18" s="819"/>
      <c r="O18" s="506"/>
      <c r="P18" s="83"/>
      <c r="Q18" s="85"/>
      <c r="R18" s="85"/>
      <c r="S18" s="85"/>
      <c r="T18" s="85"/>
    </row>
    <row r="19" spans="1:20" ht="42" customHeight="1">
      <c r="A19" s="82"/>
      <c r="B19" s="481"/>
      <c r="C19" s="481"/>
      <c r="D19" s="92"/>
      <c r="E19" s="815"/>
      <c r="F19" s="815"/>
      <c r="G19" s="815"/>
      <c r="H19" s="482"/>
      <c r="I19" s="83"/>
      <c r="J19" s="82"/>
      <c r="K19" s="233"/>
      <c r="O19" s="357"/>
      <c r="P19" s="83"/>
      <c r="Q19" s="85"/>
      <c r="R19" s="85"/>
      <c r="S19" s="85"/>
      <c r="T19" s="85"/>
    </row>
    <row r="20" spans="1:20" ht="33.75" customHeight="1">
      <c r="A20" s="82"/>
      <c r="B20" s="481"/>
      <c r="C20" s="481"/>
      <c r="D20" s="92"/>
      <c r="E20" s="816"/>
      <c r="F20" s="816"/>
      <c r="G20" s="816"/>
      <c r="H20" s="483"/>
      <c r="I20" s="83"/>
      <c r="J20" s="106"/>
      <c r="K20" s="233"/>
      <c r="O20" s="357"/>
      <c r="P20" s="83"/>
      <c r="Q20" s="85"/>
      <c r="R20" s="85"/>
      <c r="S20" s="85"/>
      <c r="T20" s="85"/>
    </row>
    <row r="21" spans="1:20" ht="46.5" customHeight="1">
      <c r="A21" s="82"/>
      <c r="B21" s="481"/>
      <c r="C21" s="481"/>
      <c r="D21" s="101"/>
      <c r="E21" s="828" t="s">
        <v>10</v>
      </c>
      <c r="F21" s="828"/>
      <c r="G21" s="828"/>
      <c r="H21" s="484">
        <f>SUM(H15:H20)</f>
        <v>0</v>
      </c>
      <c r="I21" s="83"/>
      <c r="J21" s="106"/>
      <c r="K21" s="233"/>
      <c r="O21" s="357"/>
      <c r="P21" s="83"/>
      <c r="Q21" s="85"/>
      <c r="R21" s="85"/>
      <c r="S21" s="85"/>
      <c r="T21" s="85"/>
    </row>
    <row r="22" spans="1:20" ht="37.5" customHeight="1">
      <c r="A22" s="82"/>
      <c r="B22" s="484" t="s">
        <v>10</v>
      </c>
      <c r="C22" s="484">
        <f>SUM(C16:C21)</f>
        <v>0</v>
      </c>
      <c r="D22" s="92"/>
      <c r="E22" s="805" t="s">
        <v>322</v>
      </c>
      <c r="F22" s="806"/>
      <c r="G22" s="806"/>
      <c r="H22" s="807"/>
      <c r="I22" s="83"/>
      <c r="J22" s="82"/>
      <c r="K22" s="233"/>
      <c r="O22" s="357"/>
      <c r="P22" s="83"/>
      <c r="Q22" s="85"/>
      <c r="R22" s="82"/>
      <c r="S22" s="85"/>
      <c r="T22" s="85"/>
    </row>
    <row r="23" spans="1:20" ht="36.75" customHeight="1" thickBot="1">
      <c r="A23" s="82"/>
      <c r="D23" s="81"/>
      <c r="I23" s="86"/>
      <c r="J23" s="82"/>
      <c r="K23" s="233"/>
      <c r="L23" s="90"/>
      <c r="M23" s="109"/>
      <c r="O23" s="502"/>
      <c r="P23" s="83"/>
      <c r="Q23" s="85"/>
      <c r="R23" s="82"/>
      <c r="S23" s="85"/>
      <c r="T23" s="85"/>
    </row>
    <row r="24" spans="1:20" ht="25.5" customHeight="1">
      <c r="A24" s="82"/>
      <c r="B24" s="471"/>
      <c r="C24" s="471"/>
      <c r="D24" s="215"/>
      <c r="I24" s="93"/>
      <c r="J24" s="90"/>
      <c r="K24" s="238"/>
      <c r="L24" s="237"/>
      <c r="M24" s="85"/>
      <c r="N24" s="85"/>
      <c r="O24" s="503"/>
      <c r="P24" s="83"/>
      <c r="Q24" s="85"/>
      <c r="S24" s="85"/>
      <c r="T24" s="85"/>
    </row>
    <row r="25" spans="1:20" ht="25.5" customHeight="1" thickBot="1">
      <c r="A25" s="82"/>
      <c r="B25" s="472"/>
      <c r="C25" s="472"/>
      <c r="D25" s="234"/>
      <c r="J25" s="92"/>
      <c r="K25" s="594" t="s">
        <v>186</v>
      </c>
      <c r="L25" s="595"/>
      <c r="M25" s="596"/>
      <c r="N25" s="597"/>
      <c r="O25" s="598"/>
      <c r="P25" s="83"/>
      <c r="Q25" s="85"/>
      <c r="S25" s="85"/>
      <c r="T25" s="85"/>
    </row>
    <row r="26" spans="1:20" ht="25.5" customHeight="1">
      <c r="A26" s="82"/>
      <c r="B26" s="472"/>
      <c r="C26" s="472"/>
      <c r="D26" s="234"/>
      <c r="E26" s="475"/>
      <c r="F26" s="476"/>
      <c r="H26" s="817"/>
      <c r="I26" s="817"/>
      <c r="J26" s="474"/>
      <c r="K26" s="812" t="s">
        <v>321</v>
      </c>
      <c r="L26" s="813"/>
      <c r="M26" s="813"/>
      <c r="N26" s="814"/>
      <c r="O26" s="592"/>
      <c r="P26" s="83"/>
      <c r="Q26" s="85"/>
      <c r="S26" s="85"/>
      <c r="T26" s="85"/>
    </row>
    <row r="27" spans="1:20" ht="41.25" customHeight="1">
      <c r="A27" s="82"/>
      <c r="B27" s="472"/>
      <c r="C27" s="472"/>
      <c r="D27" s="234"/>
      <c r="E27" s="477"/>
      <c r="F27" s="477"/>
      <c r="H27" s="478"/>
      <c r="I27" s="479"/>
      <c r="J27" s="214"/>
      <c r="K27" s="808" t="s">
        <v>340</v>
      </c>
      <c r="L27" s="809"/>
      <c r="M27" s="809"/>
      <c r="N27" s="809"/>
      <c r="O27" s="810"/>
      <c r="P27" s="83"/>
      <c r="Q27" s="85"/>
      <c r="S27" s="85"/>
      <c r="T27" s="85"/>
    </row>
    <row r="28" spans="1:20" ht="44.25" customHeight="1" thickBot="1">
      <c r="A28" s="82"/>
      <c r="J28" s="81"/>
      <c r="K28" s="830" t="s">
        <v>339</v>
      </c>
      <c r="L28" s="831"/>
      <c r="M28" s="831"/>
      <c r="N28" s="831"/>
      <c r="O28" s="832"/>
      <c r="P28" s="85"/>
      <c r="Q28" s="85"/>
      <c r="R28" s="82"/>
      <c r="S28" s="85"/>
    </row>
    <row r="29" spans="1:20" ht="43.5" customHeight="1">
      <c r="A29" s="82"/>
      <c r="B29" s="107"/>
      <c r="C29" s="107"/>
      <c r="D29" s="85"/>
      <c r="E29" s="107"/>
      <c r="F29" s="107"/>
      <c r="G29" s="107"/>
      <c r="H29" s="107"/>
      <c r="I29" s="107"/>
      <c r="J29" s="85"/>
      <c r="K29" s="107"/>
      <c r="L29" s="107"/>
      <c r="M29" s="107"/>
      <c r="N29" s="107"/>
      <c r="O29" s="107"/>
      <c r="P29" s="83"/>
      <c r="Q29" s="85"/>
      <c r="R29" s="82"/>
      <c r="S29" s="85"/>
    </row>
    <row r="30" spans="1:20" ht="45" customHeight="1">
      <c r="A30" s="82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3"/>
      <c r="Q30" s="85"/>
      <c r="R30" s="85"/>
      <c r="S30" s="85"/>
    </row>
    <row r="31" spans="1:20">
      <c r="A31" s="82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3"/>
      <c r="Q31" s="85"/>
      <c r="R31" s="85"/>
      <c r="S31" s="85"/>
    </row>
    <row r="32" spans="1:20">
      <c r="A32" s="82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3"/>
      <c r="Q32" s="85"/>
      <c r="R32" s="85"/>
      <c r="S32" s="85"/>
    </row>
    <row r="33" spans="1:20">
      <c r="A33" s="82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3"/>
      <c r="Q33" s="85"/>
      <c r="R33" s="85"/>
      <c r="S33" s="85"/>
    </row>
    <row r="34" spans="1:20">
      <c r="A34" s="82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3"/>
      <c r="Q34" s="85"/>
      <c r="R34" s="85"/>
      <c r="S34" s="85"/>
    </row>
    <row r="35" spans="1:20">
      <c r="A35" s="82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3"/>
      <c r="Q35" s="85"/>
      <c r="R35" s="85"/>
      <c r="S35" s="85"/>
    </row>
    <row r="36" spans="1:20">
      <c r="A36" s="82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3"/>
      <c r="Q36" s="85"/>
      <c r="R36" s="85"/>
      <c r="S36" s="85"/>
    </row>
    <row r="37" spans="1:20">
      <c r="A37" s="82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3"/>
      <c r="Q37" s="85"/>
      <c r="R37" s="85"/>
      <c r="S37" s="85"/>
    </row>
    <row r="38" spans="1:20">
      <c r="A38" s="82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3"/>
      <c r="Q38" s="85"/>
      <c r="R38" s="85"/>
      <c r="S38" s="85"/>
      <c r="T38" s="85"/>
    </row>
    <row r="39" spans="1:20">
      <c r="A39" s="82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3"/>
      <c r="Q39" s="85"/>
      <c r="R39" s="85"/>
      <c r="S39" s="85"/>
      <c r="T39" s="85"/>
    </row>
    <row r="40" spans="1:20">
      <c r="A40" s="82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3"/>
      <c r="Q40" s="85"/>
      <c r="R40" s="85"/>
      <c r="S40" s="85"/>
      <c r="T40" s="85"/>
    </row>
    <row r="41" spans="1:20">
      <c r="A41" s="82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3"/>
      <c r="Q41" s="85"/>
      <c r="R41" s="85"/>
      <c r="S41" s="85"/>
      <c r="T41" s="85"/>
    </row>
    <row r="42" spans="1:20">
      <c r="A42" s="82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3"/>
      <c r="Q42" s="85"/>
      <c r="R42" s="85"/>
      <c r="S42" s="85"/>
      <c r="T42" s="85"/>
    </row>
    <row r="43" spans="1:20">
      <c r="A43" s="82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3"/>
      <c r="Q43" s="85"/>
      <c r="R43" s="85"/>
      <c r="S43" s="85"/>
      <c r="T43" s="85"/>
    </row>
    <row r="44" spans="1:20">
      <c r="A44" s="82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3"/>
      <c r="Q44" s="85"/>
      <c r="R44" s="85"/>
      <c r="S44" s="85"/>
      <c r="T44" s="85"/>
    </row>
    <row r="45" spans="1:20">
      <c r="A45" s="82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3"/>
      <c r="Q45" s="85"/>
      <c r="R45" s="85"/>
      <c r="S45" s="85"/>
      <c r="T45" s="85"/>
    </row>
    <row r="46" spans="1:20">
      <c r="A46" s="82"/>
      <c r="B46" s="85"/>
      <c r="C46" s="85"/>
      <c r="D46" s="85"/>
      <c r="G46" s="85"/>
      <c r="H46" s="85"/>
      <c r="I46" s="85"/>
      <c r="J46" s="85"/>
      <c r="K46" s="85"/>
      <c r="L46" s="85"/>
      <c r="M46" s="85"/>
      <c r="N46" s="85"/>
      <c r="O46" s="85"/>
      <c r="P46" s="83"/>
      <c r="Q46" s="85"/>
      <c r="R46" s="85"/>
      <c r="S46" s="85"/>
      <c r="T46" s="85"/>
    </row>
  </sheetData>
  <mergeCells count="49">
    <mergeCell ref="K28:O28"/>
    <mergeCell ref="B1:O1"/>
    <mergeCell ref="E13:H13"/>
    <mergeCell ref="M6:N6"/>
    <mergeCell ref="M7:N7"/>
    <mergeCell ref="M5:N5"/>
    <mergeCell ref="K5:L5"/>
    <mergeCell ref="M10:N10"/>
    <mergeCell ref="M11:N11"/>
    <mergeCell ref="E7:H7"/>
    <mergeCell ref="K4:O4"/>
    <mergeCell ref="K6:L6"/>
    <mergeCell ref="K7:L7"/>
    <mergeCell ref="K8:L8"/>
    <mergeCell ref="K9:L9"/>
    <mergeCell ref="K10:L10"/>
    <mergeCell ref="B2:F2"/>
    <mergeCell ref="G2:O2"/>
    <mergeCell ref="M14:N14"/>
    <mergeCell ref="B3:H3"/>
    <mergeCell ref="E21:G21"/>
    <mergeCell ref="M15:N15"/>
    <mergeCell ref="K16:L16"/>
    <mergeCell ref="M8:N8"/>
    <mergeCell ref="M9:N9"/>
    <mergeCell ref="E14:G14"/>
    <mergeCell ref="E15:G15"/>
    <mergeCell ref="E16:G16"/>
    <mergeCell ref="E18:G18"/>
    <mergeCell ref="M16:N16"/>
    <mergeCell ref="K11:L11"/>
    <mergeCell ref="K12:L12"/>
    <mergeCell ref="K27:O27"/>
    <mergeCell ref="B14:C14"/>
    <mergeCell ref="K26:N26"/>
    <mergeCell ref="E19:G19"/>
    <mergeCell ref="E20:G20"/>
    <mergeCell ref="E17:G17"/>
    <mergeCell ref="H26:I26"/>
    <mergeCell ref="M17:N17"/>
    <mergeCell ref="M18:N18"/>
    <mergeCell ref="K17:L17"/>
    <mergeCell ref="K18:L18"/>
    <mergeCell ref="K15:L15"/>
    <mergeCell ref="M12:N12"/>
    <mergeCell ref="M13:N13"/>
    <mergeCell ref="K13:L13"/>
    <mergeCell ref="K14:L14"/>
    <mergeCell ref="E22:H22"/>
  </mergeCells>
  <phoneticPr fontId="32" type="noConversion"/>
  <printOptions horizontalCentered="1" verticalCentered="1"/>
  <pageMargins left="0" right="0" top="0" bottom="0" header="0" footer="0"/>
  <pageSetup paperSize="5" scale="50" fitToWidth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1684-23BC-4927-A94A-5227BE02D45C}">
  <dimension ref="A1:O37"/>
  <sheetViews>
    <sheetView zoomScale="55" zoomScaleNormal="55" workbookViewId="0">
      <selection activeCell="F12" sqref="F12"/>
    </sheetView>
  </sheetViews>
  <sheetFormatPr baseColWidth="10" defaultRowHeight="15"/>
  <cols>
    <col min="1" max="1" width="23.5703125" customWidth="1"/>
    <col min="2" max="2" width="21.140625" customWidth="1"/>
    <col min="3" max="3" width="20.42578125" customWidth="1"/>
    <col min="4" max="4" width="25.42578125" customWidth="1"/>
    <col min="5" max="5" width="22" customWidth="1"/>
    <col min="6" max="6" width="11.42578125" customWidth="1"/>
    <col min="7" max="7" width="15.42578125" customWidth="1"/>
    <col min="8" max="8" width="23.28515625" customWidth="1"/>
    <col min="9" max="9" width="17.140625" customWidth="1"/>
    <col min="10" max="10" width="23.7109375" customWidth="1"/>
    <col min="11" max="11" width="28.28515625" customWidth="1"/>
    <col min="12" max="12" width="4.28515625" customWidth="1"/>
    <col min="13" max="13" width="19.5703125" customWidth="1"/>
    <col min="14" max="14" width="20.85546875" customWidth="1"/>
    <col min="15" max="15" width="4.7109375" customWidth="1"/>
  </cols>
  <sheetData>
    <row r="1" spans="1:15" ht="38.25" customHeight="1" thickBot="1">
      <c r="A1" s="849" t="s">
        <v>0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50"/>
    </row>
    <row r="2" spans="1:15" ht="6.75" customHeight="1" thickBot="1">
      <c r="A2" s="851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2"/>
    </row>
    <row r="3" spans="1:15" ht="21" customHeight="1">
      <c r="A3" s="853" t="s">
        <v>190</v>
      </c>
      <c r="B3" s="853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  <c r="N3" s="853"/>
      <c r="O3" s="854"/>
    </row>
    <row r="4" spans="1:15" ht="24" customHeight="1" thickBot="1">
      <c r="A4" s="855" t="s">
        <v>335</v>
      </c>
      <c r="B4" s="855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6"/>
    </row>
    <row r="5" spans="1:15" ht="14.25" customHeight="1" thickBot="1">
      <c r="A5" s="93"/>
      <c r="B5" s="527"/>
      <c r="C5" s="85"/>
      <c r="D5" s="528"/>
      <c r="E5" s="529"/>
      <c r="F5" s="83"/>
      <c r="G5" s="530"/>
      <c r="H5" s="528"/>
      <c r="I5" s="85"/>
      <c r="J5" s="857"/>
      <c r="K5" s="857"/>
      <c r="L5" s="536"/>
      <c r="M5" s="530"/>
      <c r="N5" s="537"/>
      <c r="O5" s="412"/>
    </row>
    <row r="6" spans="1:15" ht="51.75" customHeight="1">
      <c r="A6" s="138"/>
      <c r="B6" s="539" t="s">
        <v>197</v>
      </c>
      <c r="C6" s="92"/>
      <c r="D6" s="138"/>
      <c r="E6" s="541" t="s">
        <v>133</v>
      </c>
      <c r="F6" s="92"/>
      <c r="G6" s="138"/>
      <c r="H6" s="542" t="s">
        <v>134</v>
      </c>
      <c r="I6" s="92"/>
      <c r="J6" s="543"/>
      <c r="K6" s="542" t="s">
        <v>145</v>
      </c>
      <c r="L6" s="531"/>
      <c r="M6" s="138"/>
      <c r="N6" s="545" t="s">
        <v>334</v>
      </c>
      <c r="O6" s="235"/>
    </row>
    <row r="7" spans="1:15" ht="40.5" customHeight="1" thickBot="1">
      <c r="A7" s="140"/>
      <c r="B7" s="540">
        <f>SUM(E13:E15)</f>
        <v>64</v>
      </c>
      <c r="C7" s="92"/>
      <c r="D7" s="140"/>
      <c r="E7" s="540">
        <f>E13</f>
        <v>16</v>
      </c>
      <c r="F7" s="92"/>
      <c r="G7" s="140"/>
      <c r="H7" s="540">
        <v>10</v>
      </c>
      <c r="I7" s="92"/>
      <c r="J7" s="544"/>
      <c r="K7" s="540">
        <f>E15</f>
        <v>38</v>
      </c>
      <c r="L7" s="535"/>
      <c r="M7" s="140"/>
      <c r="N7" s="540">
        <f>F25</f>
        <v>20</v>
      </c>
      <c r="O7" s="412"/>
    </row>
    <row r="8" spans="1:15" ht="21" customHeight="1" thickBot="1">
      <c r="A8" s="109"/>
      <c r="B8" s="109"/>
      <c r="C8" s="93"/>
      <c r="D8" s="109"/>
      <c r="E8" s="109"/>
      <c r="F8" s="93"/>
      <c r="G8" s="107"/>
      <c r="H8" s="847"/>
      <c r="I8" s="848"/>
      <c r="J8" s="847"/>
      <c r="K8" s="847"/>
      <c r="L8" s="847"/>
      <c r="M8" s="847"/>
      <c r="N8" s="538"/>
      <c r="O8" s="412"/>
    </row>
    <row r="9" spans="1:15" ht="15" customHeight="1">
      <c r="A9" s="550" t="s">
        <v>192</v>
      </c>
      <c r="B9" s="858" t="s">
        <v>193</v>
      </c>
      <c r="C9" s="859"/>
      <c r="D9" s="859"/>
      <c r="E9" s="862" t="s">
        <v>129</v>
      </c>
      <c r="F9" s="83"/>
      <c r="G9" s="86"/>
      <c r="H9" s="509"/>
      <c r="I9" s="514"/>
      <c r="J9" s="514"/>
      <c r="K9" s="514"/>
      <c r="L9" s="514"/>
      <c r="M9" s="514"/>
      <c r="N9" s="514"/>
      <c r="O9" s="235"/>
    </row>
    <row r="10" spans="1:15" ht="16.5" customHeight="1" thickBot="1">
      <c r="A10" s="551"/>
      <c r="B10" s="860"/>
      <c r="C10" s="861"/>
      <c r="D10" s="861"/>
      <c r="E10" s="863"/>
      <c r="F10" s="83"/>
      <c r="G10" s="85"/>
      <c r="H10" s="85"/>
      <c r="I10" s="512"/>
      <c r="J10" s="512"/>
      <c r="K10" s="512"/>
      <c r="L10" s="512"/>
      <c r="M10" s="512"/>
      <c r="N10" s="512"/>
      <c r="O10" s="412"/>
    </row>
    <row r="11" spans="1:15" ht="15.75" customHeight="1">
      <c r="A11" s="551"/>
      <c r="B11" s="864" t="s">
        <v>194</v>
      </c>
      <c r="C11" s="866" t="s">
        <v>195</v>
      </c>
      <c r="D11" s="868" t="s">
        <v>196</v>
      </c>
      <c r="E11" s="863"/>
      <c r="F11" s="83"/>
      <c r="G11" s="85"/>
      <c r="H11" s="85"/>
      <c r="I11" s="512"/>
      <c r="J11" s="512"/>
      <c r="K11" s="512"/>
      <c r="L11" s="512"/>
      <c r="M11" s="512"/>
      <c r="N11" s="512"/>
      <c r="O11" s="412"/>
    </row>
    <row r="12" spans="1:15" ht="38.25" customHeight="1">
      <c r="A12" s="552"/>
      <c r="B12" s="865"/>
      <c r="C12" s="867"/>
      <c r="D12" s="868"/>
      <c r="E12" s="863"/>
      <c r="F12" s="83"/>
      <c r="G12" s="85"/>
      <c r="H12" s="85"/>
      <c r="I12" s="512"/>
      <c r="J12" s="512"/>
      <c r="K12" s="512"/>
      <c r="L12" s="512"/>
      <c r="M12" s="512"/>
      <c r="N12" s="512"/>
      <c r="O12" s="235"/>
    </row>
    <row r="13" spans="1:15" ht="21">
      <c r="A13" s="518" t="s">
        <v>133</v>
      </c>
      <c r="B13" s="517">
        <v>2</v>
      </c>
      <c r="C13" s="517">
        <v>14</v>
      </c>
      <c r="D13" s="517">
        <v>0</v>
      </c>
      <c r="E13" s="519">
        <f>SUM(B13:D13)</f>
        <v>16</v>
      </c>
      <c r="F13" s="83"/>
      <c r="G13" s="85"/>
      <c r="H13" s="85"/>
      <c r="I13" s="85"/>
      <c r="J13" s="515"/>
      <c r="K13" s="85"/>
      <c r="L13" s="85"/>
      <c r="M13" s="85"/>
      <c r="N13" s="85"/>
      <c r="O13" s="412"/>
    </row>
    <row r="14" spans="1:15" ht="21">
      <c r="A14" s="518" t="s">
        <v>134</v>
      </c>
      <c r="B14" s="517">
        <v>0</v>
      </c>
      <c r="C14" s="517">
        <v>10</v>
      </c>
      <c r="D14" s="517">
        <v>0</v>
      </c>
      <c r="E14" s="519">
        <f>SUM(B14:D14)</f>
        <v>10</v>
      </c>
      <c r="F14" s="83"/>
      <c r="G14" s="85"/>
      <c r="H14" s="85"/>
      <c r="I14" s="512"/>
      <c r="J14" s="512"/>
      <c r="K14" s="512"/>
      <c r="L14" s="512"/>
      <c r="M14" s="512"/>
      <c r="N14" s="512"/>
      <c r="O14" s="235"/>
    </row>
    <row r="15" spans="1:15" ht="21.75" thickBot="1">
      <c r="A15" s="520" t="s">
        <v>145</v>
      </c>
      <c r="B15" s="521">
        <v>0</v>
      </c>
      <c r="C15" s="521">
        <v>38</v>
      </c>
      <c r="D15" s="522">
        <v>0</v>
      </c>
      <c r="E15" s="523">
        <f>SUM(B15:D15)</f>
        <v>38</v>
      </c>
      <c r="F15" s="83"/>
      <c r="G15" s="85"/>
      <c r="H15" s="85"/>
      <c r="I15" s="512"/>
      <c r="J15" s="512"/>
      <c r="K15" s="512"/>
      <c r="L15" s="512"/>
      <c r="M15" s="512"/>
      <c r="N15" s="512"/>
      <c r="O15" s="235"/>
    </row>
    <row r="16" spans="1:15" ht="106.5" customHeight="1" thickBot="1">
      <c r="A16" s="511"/>
      <c r="B16" s="512"/>
      <c r="C16" s="85"/>
      <c r="D16" s="85"/>
      <c r="E16" s="92"/>
      <c r="F16" s="85"/>
      <c r="G16" s="108"/>
      <c r="H16" s="403"/>
      <c r="I16" s="403"/>
      <c r="J16" s="419"/>
      <c r="K16" s="84"/>
      <c r="L16" s="84"/>
      <c r="M16" s="84"/>
      <c r="N16" s="107"/>
      <c r="O16" s="168"/>
    </row>
    <row r="17" spans="1:15" ht="27" customHeight="1" thickBot="1">
      <c r="A17" s="511"/>
      <c r="B17" s="512"/>
      <c r="C17" s="85"/>
      <c r="D17" s="85"/>
      <c r="E17" s="92"/>
      <c r="F17" s="85"/>
      <c r="H17" s="871" t="s">
        <v>199</v>
      </c>
      <c r="I17" s="872"/>
      <c r="J17" s="873"/>
      <c r="K17" s="230"/>
      <c r="L17" s="230"/>
      <c r="M17" s="230"/>
      <c r="N17" s="85"/>
      <c r="O17" s="168"/>
    </row>
    <row r="18" spans="1:15" ht="15.75" customHeight="1" thickBot="1">
      <c r="A18" s="511"/>
      <c r="B18" s="512"/>
      <c r="C18" s="85"/>
      <c r="D18" s="85"/>
      <c r="E18" s="92"/>
      <c r="F18" s="85"/>
      <c r="G18" s="83"/>
      <c r="H18" s="400"/>
      <c r="I18" s="400"/>
      <c r="J18" s="400"/>
      <c r="K18" s="230"/>
      <c r="L18" s="230"/>
      <c r="M18" s="230"/>
      <c r="N18" s="85"/>
      <c r="O18" s="168"/>
    </row>
    <row r="19" spans="1:15" ht="24" customHeight="1" thickBot="1">
      <c r="A19" s="553"/>
      <c r="B19" s="554"/>
      <c r="C19" s="509"/>
      <c r="D19" s="85"/>
      <c r="E19" s="83"/>
      <c r="F19" s="108"/>
      <c r="G19" s="83"/>
      <c r="H19" s="196"/>
      <c r="I19" s="563" t="s">
        <v>330</v>
      </c>
      <c r="J19" s="547"/>
      <c r="K19" s="548"/>
      <c r="L19" s="395"/>
      <c r="M19" s="395"/>
      <c r="N19" s="107"/>
      <c r="O19" s="168"/>
    </row>
    <row r="20" spans="1:15" ht="29.25" customHeight="1" thickBot="1">
      <c r="A20" s="555" t="s">
        <v>194</v>
      </c>
      <c r="B20" s="554" t="s">
        <v>332</v>
      </c>
      <c r="C20" s="514" t="s">
        <v>333</v>
      </c>
      <c r="D20" s="85"/>
      <c r="E20" s="86"/>
      <c r="F20" s="86"/>
      <c r="H20" s="578" t="s">
        <v>90</v>
      </c>
      <c r="I20" s="562" t="s">
        <v>331</v>
      </c>
      <c r="J20" s="579" t="s">
        <v>91</v>
      </c>
      <c r="K20" s="549" t="s">
        <v>92</v>
      </c>
      <c r="L20" s="83"/>
      <c r="M20" s="85"/>
      <c r="N20" s="408"/>
      <c r="O20" s="168"/>
    </row>
    <row r="21" spans="1:15" ht="22.5" customHeight="1">
      <c r="A21" s="514">
        <f>SUM(B13:B15)</f>
        <v>2</v>
      </c>
      <c r="B21" s="556">
        <f>SUM(C13:C15)</f>
        <v>62</v>
      </c>
      <c r="C21" s="514">
        <f>SUM(D13:D15)</f>
        <v>0</v>
      </c>
      <c r="D21" s="85"/>
      <c r="E21" s="85"/>
      <c r="F21" s="85"/>
      <c r="G21" s="81"/>
      <c r="H21" s="564"/>
      <c r="I21" s="581"/>
      <c r="J21" s="557"/>
      <c r="K21" s="565"/>
      <c r="L21" s="83"/>
      <c r="M21" s="85"/>
      <c r="N21" s="83"/>
      <c r="O21" s="168"/>
    </row>
    <row r="22" spans="1:15" ht="25.5" customHeight="1" thickBot="1">
      <c r="A22" s="109"/>
      <c r="B22" s="109"/>
      <c r="C22" s="109"/>
      <c r="D22" s="109"/>
      <c r="E22" s="109"/>
      <c r="F22" s="109"/>
      <c r="G22" s="81"/>
      <c r="H22" s="566"/>
      <c r="I22" s="582"/>
      <c r="J22" s="558"/>
      <c r="K22" s="567"/>
      <c r="L22" s="532"/>
      <c r="M22" s="85"/>
      <c r="N22" s="83"/>
      <c r="O22" s="168"/>
    </row>
    <row r="23" spans="1:15" ht="27.75" customHeight="1" thickBot="1">
      <c r="A23" s="874" t="s">
        <v>200</v>
      </c>
      <c r="B23" s="878" t="s">
        <v>201</v>
      </c>
      <c r="C23" s="879"/>
      <c r="D23" s="879"/>
      <c r="E23" s="880"/>
      <c r="F23" s="876" t="s">
        <v>129</v>
      </c>
      <c r="G23" s="81"/>
      <c r="H23" s="566"/>
      <c r="I23" s="583"/>
      <c r="J23" s="559"/>
      <c r="K23" s="567"/>
      <c r="L23" s="533"/>
      <c r="M23" s="85"/>
      <c r="N23" s="83"/>
      <c r="O23" s="168"/>
    </row>
    <row r="24" spans="1:15" ht="42" customHeight="1" thickBot="1">
      <c r="A24" s="875"/>
      <c r="B24" s="881" t="s">
        <v>202</v>
      </c>
      <c r="C24" s="882"/>
      <c r="D24" s="524" t="s">
        <v>203</v>
      </c>
      <c r="E24" s="546" t="s">
        <v>204</v>
      </c>
      <c r="F24" s="877"/>
      <c r="G24" s="81"/>
      <c r="H24" s="566"/>
      <c r="I24" s="583"/>
      <c r="J24" s="559"/>
      <c r="K24" s="568"/>
      <c r="L24" s="533"/>
      <c r="M24" s="85"/>
      <c r="N24" s="83"/>
      <c r="O24" s="168"/>
    </row>
    <row r="25" spans="1:15" ht="24.75" customHeight="1">
      <c r="A25" s="516" t="s">
        <v>135</v>
      </c>
      <c r="B25" s="869">
        <v>4</v>
      </c>
      <c r="C25" s="869"/>
      <c r="D25" s="526">
        <v>16</v>
      </c>
      <c r="E25" s="526">
        <v>4</v>
      </c>
      <c r="F25" s="525">
        <f>SUM(B25:D25)</f>
        <v>20</v>
      </c>
      <c r="G25" s="81"/>
      <c r="H25" s="569"/>
      <c r="I25" s="584"/>
      <c r="J25" s="560"/>
      <c r="K25" s="570"/>
      <c r="L25" s="534"/>
      <c r="M25" s="85"/>
      <c r="N25" s="83"/>
      <c r="O25" s="168"/>
    </row>
    <row r="26" spans="1:15" ht="31.5" customHeight="1">
      <c r="B26" s="507"/>
      <c r="C26" s="507"/>
      <c r="F26" s="508"/>
      <c r="G26" s="106"/>
      <c r="H26" s="569"/>
      <c r="I26" s="584"/>
      <c r="J26" s="560"/>
      <c r="K26" s="570"/>
      <c r="L26" s="534"/>
      <c r="M26" s="85"/>
      <c r="N26" s="83"/>
      <c r="O26" s="168"/>
    </row>
    <row r="27" spans="1:15" ht="27" customHeight="1">
      <c r="A27" s="870"/>
      <c r="B27" s="870"/>
      <c r="C27" s="870"/>
      <c r="D27" s="870"/>
      <c r="E27" s="510"/>
      <c r="F27" s="513"/>
      <c r="G27" s="92"/>
      <c r="H27" s="571"/>
      <c r="I27" s="584"/>
      <c r="J27" s="560"/>
      <c r="K27" s="570"/>
      <c r="L27" s="534"/>
      <c r="M27" s="85"/>
      <c r="N27" s="83"/>
      <c r="O27" s="168"/>
    </row>
    <row r="28" spans="1:15" ht="23.25" customHeight="1">
      <c r="A28" s="85"/>
      <c r="B28" s="85"/>
      <c r="C28" s="85"/>
      <c r="D28" s="85"/>
      <c r="E28" s="85"/>
      <c r="F28" s="85"/>
      <c r="G28" s="92"/>
      <c r="H28" s="571"/>
      <c r="I28" s="584"/>
      <c r="J28" s="560"/>
      <c r="K28" s="570"/>
      <c r="L28" s="534"/>
      <c r="M28" s="85"/>
      <c r="N28" s="108"/>
      <c r="O28" s="168"/>
    </row>
    <row r="29" spans="1:15" ht="29.25" customHeight="1">
      <c r="A29" s="511"/>
      <c r="B29" s="512"/>
      <c r="C29" s="85"/>
      <c r="D29" s="85"/>
      <c r="E29" s="85"/>
      <c r="F29" s="85"/>
      <c r="H29" s="571"/>
      <c r="I29" s="584"/>
      <c r="J29" s="560"/>
      <c r="K29" s="570"/>
      <c r="L29" s="534"/>
      <c r="M29" s="85"/>
      <c r="N29" s="83"/>
      <c r="O29" s="168"/>
    </row>
    <row r="30" spans="1:15" ht="24.75" customHeight="1">
      <c r="A30" s="511"/>
      <c r="B30" s="512"/>
      <c r="C30" s="85"/>
      <c r="D30" s="85"/>
      <c r="E30" s="85"/>
      <c r="F30" s="85"/>
      <c r="G30" s="81"/>
      <c r="H30" s="571"/>
      <c r="I30" s="584"/>
      <c r="J30" s="560"/>
      <c r="K30" s="570"/>
      <c r="L30" s="534"/>
      <c r="M30" s="85"/>
      <c r="N30" s="83"/>
      <c r="O30" s="168"/>
    </row>
    <row r="31" spans="1:15" ht="24" customHeight="1">
      <c r="A31" s="511"/>
      <c r="B31" s="512"/>
      <c r="C31" s="85"/>
      <c r="D31" s="85"/>
      <c r="E31" s="85"/>
      <c r="F31" s="85"/>
      <c r="G31" s="81"/>
      <c r="H31" s="572"/>
      <c r="I31" s="583"/>
      <c r="J31" s="559"/>
      <c r="K31" s="568"/>
      <c r="L31" s="534"/>
      <c r="M31" s="85"/>
      <c r="N31" s="83"/>
      <c r="O31" s="168"/>
    </row>
    <row r="32" spans="1:15" ht="27.75" customHeight="1">
      <c r="A32" s="511"/>
      <c r="B32" s="512"/>
      <c r="C32" s="85"/>
      <c r="D32" s="85"/>
      <c r="E32" s="85"/>
      <c r="F32" s="85"/>
      <c r="G32" s="81"/>
      <c r="H32" s="572"/>
      <c r="I32" s="583"/>
      <c r="J32" s="559"/>
      <c r="K32" s="568"/>
      <c r="L32" s="534"/>
      <c r="M32" s="85"/>
      <c r="N32" s="83"/>
      <c r="O32" s="168"/>
    </row>
    <row r="33" spans="1:15" ht="22.5" customHeight="1">
      <c r="A33" s="511"/>
      <c r="B33" s="512"/>
      <c r="C33" s="85"/>
      <c r="D33" s="85"/>
      <c r="E33" s="85"/>
      <c r="F33" s="85"/>
      <c r="G33" s="81"/>
      <c r="H33" s="573"/>
      <c r="I33" s="585"/>
      <c r="J33" s="561"/>
      <c r="K33" s="574"/>
      <c r="L33" s="534"/>
      <c r="M33" s="85"/>
      <c r="N33" s="83"/>
      <c r="O33" s="168"/>
    </row>
    <row r="34" spans="1:15" ht="21" customHeight="1">
      <c r="A34" s="511"/>
      <c r="B34" s="512"/>
      <c r="C34" s="85"/>
      <c r="D34" s="85"/>
      <c r="E34" s="85"/>
      <c r="F34" s="85"/>
      <c r="G34" s="81"/>
      <c r="H34" s="573"/>
      <c r="I34" s="585"/>
      <c r="J34" s="561"/>
      <c r="K34" s="574"/>
      <c r="L34" s="534"/>
      <c r="M34" s="85"/>
      <c r="N34" s="83"/>
      <c r="O34" s="168"/>
    </row>
    <row r="35" spans="1:15" ht="21" customHeight="1">
      <c r="A35" s="511"/>
      <c r="B35" s="512"/>
      <c r="C35" s="85"/>
      <c r="D35" s="85"/>
      <c r="E35" s="85"/>
      <c r="F35" s="85"/>
      <c r="G35" s="92"/>
      <c r="H35" s="572"/>
      <c r="I35" s="583"/>
      <c r="J35" s="559"/>
      <c r="K35" s="568"/>
      <c r="L35" s="534"/>
      <c r="M35" s="85"/>
      <c r="N35" s="83"/>
      <c r="O35" s="168"/>
    </row>
    <row r="36" spans="1:15" ht="24" customHeight="1">
      <c r="A36" s="511"/>
      <c r="B36" s="512"/>
      <c r="C36" s="85"/>
      <c r="D36" s="85"/>
      <c r="E36" s="85"/>
      <c r="F36" s="85"/>
      <c r="H36" s="575"/>
      <c r="I36" s="584"/>
      <c r="J36" s="560"/>
      <c r="K36" s="574"/>
      <c r="L36" s="534"/>
      <c r="M36" s="85"/>
      <c r="N36" s="83"/>
      <c r="O36" s="168"/>
    </row>
    <row r="37" spans="1:15" ht="22.5" customHeight="1" thickBot="1">
      <c r="A37" s="511"/>
      <c r="B37" s="512"/>
      <c r="C37" s="85"/>
      <c r="D37" s="85"/>
      <c r="E37" s="85"/>
      <c r="F37" s="85"/>
      <c r="G37" s="81"/>
      <c r="H37" s="576"/>
      <c r="I37" s="586"/>
      <c r="J37" s="580"/>
      <c r="K37" s="577"/>
      <c r="L37" s="534"/>
      <c r="M37" s="85"/>
      <c r="N37" s="83"/>
      <c r="O37" s="168"/>
    </row>
  </sheetData>
  <mergeCells count="18">
    <mergeCell ref="B25:C25"/>
    <mergeCell ref="A27:D27"/>
    <mergeCell ref="H17:J17"/>
    <mergeCell ref="A23:A24"/>
    <mergeCell ref="F23:F24"/>
    <mergeCell ref="B23:E23"/>
    <mergeCell ref="B24:C24"/>
    <mergeCell ref="B9:D10"/>
    <mergeCell ref="E9:E12"/>
    <mergeCell ref="B11:B12"/>
    <mergeCell ref="C11:C12"/>
    <mergeCell ref="D11:D12"/>
    <mergeCell ref="H8:M8"/>
    <mergeCell ref="A1:O1"/>
    <mergeCell ref="A2:O2"/>
    <mergeCell ref="A3:O3"/>
    <mergeCell ref="A4:O4"/>
    <mergeCell ref="J5:K5"/>
  </mergeCells>
  <printOptions horizontalCentered="1"/>
  <pageMargins left="0" right="0" top="0" bottom="0" header="0" footer="0"/>
  <pageSetup paperSize="5"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AFA8-1D3A-4F6D-B16A-E3306DD85FFD}">
  <dimension ref="A1:AJ55"/>
  <sheetViews>
    <sheetView topLeftCell="A10" zoomScale="70" zoomScaleNormal="70" workbookViewId="0">
      <selection activeCell="Q31" sqref="Q31:AE47"/>
    </sheetView>
  </sheetViews>
  <sheetFormatPr baseColWidth="10" defaultRowHeight="15"/>
  <cols>
    <col min="1" max="1" width="3.140625" customWidth="1"/>
    <col min="2" max="2" width="4.5703125" customWidth="1"/>
    <col min="3" max="3" width="4.7109375" customWidth="1"/>
    <col min="4" max="4" width="5.140625" customWidth="1"/>
    <col min="5" max="5" width="4" customWidth="1"/>
    <col min="6" max="6" width="5.42578125" customWidth="1"/>
    <col min="7" max="7" width="7.5703125" customWidth="1"/>
    <col min="8" max="8" width="7.28515625" customWidth="1"/>
    <col min="9" max="9" width="8" customWidth="1"/>
    <col min="10" max="10" width="8.42578125" customWidth="1"/>
    <col min="11" max="11" width="3.85546875" customWidth="1"/>
    <col min="12" max="12" width="11" customWidth="1"/>
    <col min="13" max="13" width="5.140625" customWidth="1"/>
    <col min="14" max="14" width="4" customWidth="1"/>
    <col min="15" max="16" width="2.140625" customWidth="1"/>
    <col min="17" max="17" width="5.7109375" customWidth="1"/>
    <col min="18" max="18" width="14.5703125" customWidth="1"/>
    <col min="19" max="20" width="3.140625" customWidth="1"/>
    <col min="21" max="21" width="4.140625" customWidth="1"/>
    <col min="22" max="22" width="6.5703125" customWidth="1"/>
    <col min="23" max="23" width="3.5703125" customWidth="1"/>
    <col min="24" max="24" width="3.42578125" customWidth="1"/>
    <col min="25" max="25" width="7.5703125" customWidth="1"/>
    <col min="26" max="26" width="5.42578125" customWidth="1"/>
    <col min="27" max="27" width="3.42578125" customWidth="1"/>
    <col min="28" max="28" width="6.42578125" customWidth="1"/>
    <col min="29" max="29" width="3.7109375" customWidth="1"/>
    <col min="30" max="30" width="3.5703125" customWidth="1"/>
    <col min="31" max="31" width="7.28515625" customWidth="1"/>
    <col min="32" max="32" width="10.42578125" customWidth="1"/>
    <col min="33" max="33" width="4" customWidth="1"/>
    <col min="34" max="34" width="6.85546875" customWidth="1"/>
  </cols>
  <sheetData>
    <row r="1" spans="1:36" ht="21.75" thickBot="1">
      <c r="A1" s="916" t="s">
        <v>0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7"/>
      <c r="W1" s="917"/>
      <c r="X1" s="917"/>
      <c r="Y1" s="917"/>
      <c r="Z1" s="917"/>
      <c r="AA1" s="917"/>
      <c r="AB1" s="917"/>
      <c r="AC1" s="917"/>
      <c r="AD1" s="917"/>
      <c r="AE1" s="917"/>
      <c r="AF1" s="917"/>
      <c r="AG1" s="917"/>
      <c r="AH1" s="917"/>
      <c r="AI1" s="918"/>
    </row>
    <row r="2" spans="1:36" ht="4.5" customHeight="1" thickBot="1">
      <c r="A2" s="936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2"/>
    </row>
    <row r="3" spans="1:36" ht="15.75">
      <c r="A3" s="952" t="s">
        <v>190</v>
      </c>
      <c r="B3" s="953"/>
      <c r="C3" s="953"/>
      <c r="D3" s="953"/>
      <c r="E3" s="953"/>
      <c r="F3" s="953"/>
      <c r="G3" s="953"/>
      <c r="H3" s="953"/>
      <c r="I3" s="953"/>
      <c r="J3" s="953"/>
      <c r="K3" s="953"/>
      <c r="L3" s="953"/>
      <c r="M3" s="953"/>
      <c r="N3" s="953"/>
      <c r="O3" s="953"/>
      <c r="P3" s="953"/>
      <c r="Q3" s="953"/>
      <c r="R3" s="953"/>
      <c r="S3" s="953"/>
      <c r="T3" s="953"/>
      <c r="U3" s="953"/>
      <c r="V3" s="953"/>
      <c r="W3" s="953"/>
      <c r="X3" s="953"/>
      <c r="Y3" s="953"/>
      <c r="Z3" s="953"/>
      <c r="AA3" s="953"/>
      <c r="AB3" s="953"/>
      <c r="AC3" s="953"/>
      <c r="AD3" s="953"/>
      <c r="AE3" s="953"/>
      <c r="AF3" s="953"/>
      <c r="AG3" s="953"/>
      <c r="AH3" s="953"/>
      <c r="AI3" s="954"/>
      <c r="AJ3" s="101"/>
    </row>
    <row r="4" spans="1:36" ht="19.5" customHeight="1" thickBot="1">
      <c r="A4" s="949" t="s">
        <v>191</v>
      </c>
      <c r="B4" s="950"/>
      <c r="C4" s="950"/>
      <c r="D4" s="950"/>
      <c r="E4" s="950"/>
      <c r="F4" s="950"/>
      <c r="G4" s="950"/>
      <c r="H4" s="950"/>
      <c r="I4" s="950"/>
      <c r="J4" s="950"/>
      <c r="K4" s="950"/>
      <c r="L4" s="950"/>
      <c r="M4" s="950"/>
      <c r="N4" s="950"/>
      <c r="O4" s="950"/>
      <c r="P4" s="950"/>
      <c r="Q4" s="950"/>
      <c r="R4" s="950"/>
      <c r="S4" s="950"/>
      <c r="T4" s="950"/>
      <c r="U4" s="950"/>
      <c r="V4" s="950"/>
      <c r="W4" s="950"/>
      <c r="X4" s="950"/>
      <c r="Y4" s="950"/>
      <c r="Z4" s="950"/>
      <c r="AA4" s="950"/>
      <c r="AB4" s="950"/>
      <c r="AC4" s="950"/>
      <c r="AD4" s="950"/>
      <c r="AE4" s="950"/>
      <c r="AF4" s="950"/>
      <c r="AG4" s="950"/>
      <c r="AH4" s="950"/>
      <c r="AI4" s="951"/>
    </row>
    <row r="5" spans="1:36" ht="11.25" customHeight="1" thickBot="1">
      <c r="A5" s="233"/>
      <c r="B5" s="107"/>
      <c r="D5" s="361"/>
      <c r="E5" s="361"/>
      <c r="F5" s="361"/>
      <c r="G5" s="361"/>
      <c r="H5" s="90"/>
      <c r="I5" s="363"/>
      <c r="J5" s="364"/>
      <c r="L5" s="363"/>
      <c r="M5" s="107"/>
      <c r="N5" s="364"/>
      <c r="P5" s="363"/>
      <c r="Q5" s="363"/>
      <c r="R5" s="363"/>
      <c r="S5" s="107"/>
      <c r="U5" s="363"/>
      <c r="V5" s="363"/>
      <c r="W5" s="364"/>
      <c r="X5" s="364"/>
      <c r="Y5" s="364"/>
      <c r="Z5" s="364"/>
      <c r="AA5" s="109"/>
      <c r="AB5" s="109"/>
      <c r="AC5" s="109"/>
      <c r="AD5" s="109"/>
      <c r="AE5" s="107"/>
      <c r="AF5" s="364"/>
      <c r="AH5" s="90"/>
      <c r="AI5" s="411"/>
    </row>
    <row r="6" spans="1:36" ht="9.75" customHeight="1">
      <c r="A6" s="139"/>
      <c r="C6" s="154"/>
      <c r="D6" s="127"/>
      <c r="E6" s="964" t="s">
        <v>197</v>
      </c>
      <c r="F6" s="965"/>
      <c r="G6" s="966"/>
      <c r="H6" s="362"/>
      <c r="I6" s="232"/>
      <c r="J6" s="937" t="s">
        <v>133</v>
      </c>
      <c r="K6" s="938"/>
      <c r="L6" s="939"/>
      <c r="M6" s="365"/>
      <c r="N6" s="232"/>
      <c r="O6" s="368"/>
      <c r="P6" s="368"/>
      <c r="Q6" s="958" t="s">
        <v>134</v>
      </c>
      <c r="R6" s="959"/>
      <c r="S6" s="366"/>
      <c r="T6" s="232"/>
      <c r="U6" s="368"/>
      <c r="V6" s="368"/>
      <c r="W6" s="937" t="s">
        <v>145</v>
      </c>
      <c r="X6" s="938"/>
      <c r="Y6" s="938"/>
      <c r="Z6" s="939"/>
      <c r="AA6" s="404"/>
      <c r="AB6" s="232"/>
      <c r="AC6" s="368"/>
      <c r="AD6" s="930" t="s">
        <v>135</v>
      </c>
      <c r="AE6" s="931"/>
      <c r="AF6" s="932"/>
      <c r="AG6" s="139"/>
      <c r="AH6" s="392"/>
      <c r="AI6" s="412"/>
    </row>
    <row r="7" spans="1:36" ht="15.75" customHeight="1">
      <c r="A7" s="139"/>
      <c r="B7" s="103"/>
      <c r="C7" s="24"/>
      <c r="E7" s="967"/>
      <c r="F7" s="968"/>
      <c r="G7" s="969"/>
      <c r="H7" s="362"/>
      <c r="I7" s="236"/>
      <c r="J7" s="955"/>
      <c r="K7" s="956"/>
      <c r="L7" s="957"/>
      <c r="M7" s="365"/>
      <c r="N7" s="236"/>
      <c r="O7" s="360"/>
      <c r="P7" s="367"/>
      <c r="Q7" s="825"/>
      <c r="R7" s="960"/>
      <c r="S7" s="366"/>
      <c r="T7" s="236"/>
      <c r="U7" s="360"/>
      <c r="V7" s="367"/>
      <c r="W7" s="940"/>
      <c r="X7" s="941"/>
      <c r="Y7" s="941"/>
      <c r="Z7" s="942"/>
      <c r="AA7" s="404"/>
      <c r="AB7" s="236"/>
      <c r="AC7" s="360"/>
      <c r="AD7" s="933"/>
      <c r="AE7" s="934"/>
      <c r="AF7" s="935"/>
      <c r="AG7" s="139"/>
      <c r="AH7" s="392"/>
      <c r="AI7" s="412"/>
    </row>
    <row r="8" spans="1:36" ht="12.75" customHeight="1">
      <c r="A8" s="139"/>
      <c r="B8" s="369"/>
      <c r="C8" s="209"/>
      <c r="E8" s="943">
        <v>64</v>
      </c>
      <c r="F8" s="944"/>
      <c r="G8" s="970"/>
      <c r="H8" s="155"/>
      <c r="I8" s="139"/>
      <c r="J8" s="82"/>
      <c r="K8" s="974">
        <v>16</v>
      </c>
      <c r="L8" s="975"/>
      <c r="M8" s="365"/>
      <c r="N8" s="139"/>
      <c r="O8" s="82"/>
      <c r="P8" s="943">
        <v>10</v>
      </c>
      <c r="Q8" s="944"/>
      <c r="R8" s="945"/>
      <c r="S8" s="366"/>
      <c r="T8" s="139"/>
      <c r="U8" s="82"/>
      <c r="V8" s="943">
        <v>38</v>
      </c>
      <c r="W8" s="944"/>
      <c r="X8" s="944"/>
      <c r="Y8" s="944"/>
      <c r="Z8" s="945"/>
      <c r="AA8" s="405"/>
      <c r="AB8" s="139"/>
      <c r="AC8" s="82"/>
      <c r="AD8" s="943">
        <v>20</v>
      </c>
      <c r="AE8" s="944"/>
      <c r="AF8" s="945"/>
      <c r="AG8" s="139"/>
      <c r="AH8" s="393"/>
      <c r="AI8" s="235"/>
    </row>
    <row r="9" spans="1:36" ht="13.5" customHeight="1" thickBot="1">
      <c r="A9" s="233"/>
      <c r="B9" s="103"/>
      <c r="C9" s="147"/>
      <c r="D9" s="358"/>
      <c r="E9" s="971"/>
      <c r="F9" s="972"/>
      <c r="G9" s="973"/>
      <c r="I9" s="140"/>
      <c r="J9" s="359"/>
      <c r="K9" s="976"/>
      <c r="L9" s="977"/>
      <c r="M9" s="366"/>
      <c r="N9" s="140"/>
      <c r="O9" s="359"/>
      <c r="P9" s="946"/>
      <c r="Q9" s="947"/>
      <c r="R9" s="948"/>
      <c r="S9" s="366"/>
      <c r="T9" s="140"/>
      <c r="U9" s="359"/>
      <c r="V9" s="946"/>
      <c r="W9" s="947"/>
      <c r="X9" s="947"/>
      <c r="Y9" s="947"/>
      <c r="Z9" s="948"/>
      <c r="AA9" s="405"/>
      <c r="AB9" s="140"/>
      <c r="AC9" s="359"/>
      <c r="AD9" s="946"/>
      <c r="AE9" s="947"/>
      <c r="AF9" s="948"/>
      <c r="AG9" s="406"/>
      <c r="AH9" s="393"/>
      <c r="AI9" s="168"/>
    </row>
    <row r="10" spans="1:36" ht="13.5" customHeight="1" thickBot="1">
      <c r="A10" s="139"/>
      <c r="B10" s="106"/>
      <c r="C10" s="110"/>
      <c r="D10" s="109"/>
      <c r="E10" s="441"/>
      <c r="F10" s="441"/>
      <c r="G10" s="441"/>
      <c r="H10" s="85"/>
      <c r="I10" s="167"/>
      <c r="K10" s="440"/>
      <c r="L10" s="440"/>
      <c r="M10" s="83"/>
      <c r="N10" s="439"/>
      <c r="O10" s="167"/>
      <c r="P10" s="437"/>
      <c r="Q10" s="435"/>
      <c r="R10" s="445"/>
      <c r="S10" s="106"/>
      <c r="T10" s="418"/>
      <c r="U10" s="371"/>
      <c r="V10" s="446"/>
      <c r="W10" s="435"/>
      <c r="X10" s="445"/>
      <c r="Y10" s="446"/>
      <c r="Z10" s="446"/>
      <c r="AA10" s="436"/>
      <c r="AB10" s="371"/>
      <c r="AD10" s="446"/>
      <c r="AE10" s="446"/>
      <c r="AF10" s="435"/>
      <c r="AG10" s="93"/>
      <c r="AH10" s="447"/>
      <c r="AI10" s="168"/>
    </row>
    <row r="11" spans="1:36" ht="26.25" customHeight="1" thickBot="1">
      <c r="A11" s="305"/>
      <c r="B11" s="151"/>
      <c r="C11" s="151"/>
      <c r="D11" s="151"/>
      <c r="E11" s="358"/>
      <c r="F11" s="151"/>
      <c r="G11" s="358"/>
      <c r="H11" s="151"/>
      <c r="I11" s="358"/>
      <c r="J11" s="151"/>
      <c r="K11" s="151"/>
      <c r="L11" s="151"/>
      <c r="M11" s="151"/>
      <c r="N11" s="151"/>
      <c r="O11" s="85"/>
      <c r="Q11" s="883" t="s">
        <v>205</v>
      </c>
      <c r="R11" s="884"/>
      <c r="S11" s="884"/>
      <c r="T11" s="884"/>
      <c r="U11" s="884"/>
      <c r="V11" s="884"/>
      <c r="W11" s="884"/>
      <c r="X11" s="884"/>
      <c r="Y11" s="884"/>
      <c r="Z11" s="884"/>
      <c r="AA11" s="884"/>
      <c r="AB11" s="884"/>
      <c r="AC11" s="884"/>
      <c r="AD11" s="884"/>
      <c r="AE11" s="884"/>
      <c r="AF11" s="444">
        <v>2025</v>
      </c>
      <c r="AG11" s="455"/>
      <c r="AH11" s="438"/>
      <c r="AI11" s="412"/>
    </row>
    <row r="12" spans="1:36" ht="15" customHeight="1">
      <c r="A12" s="413"/>
      <c r="B12" s="897" t="s">
        <v>192</v>
      </c>
      <c r="C12" s="898"/>
      <c r="D12" s="898"/>
      <c r="E12" s="899"/>
      <c r="F12" s="887" t="s">
        <v>193</v>
      </c>
      <c r="G12" s="888"/>
      <c r="H12" s="888"/>
      <c r="I12" s="888"/>
      <c r="J12" s="888"/>
      <c r="K12" s="888"/>
      <c r="L12" s="888"/>
      <c r="M12" s="887" t="s">
        <v>129</v>
      </c>
      <c r="N12" s="891"/>
      <c r="O12" s="372"/>
      <c r="P12" s="82"/>
      <c r="Q12" s="442"/>
      <c r="R12" s="443"/>
      <c r="S12" s="433">
        <v>0</v>
      </c>
      <c r="T12" s="434">
        <v>1</v>
      </c>
      <c r="U12" s="434">
        <v>2</v>
      </c>
      <c r="V12" s="433">
        <v>3</v>
      </c>
      <c r="W12" s="434">
        <v>4</v>
      </c>
      <c r="X12" s="434">
        <v>5</v>
      </c>
      <c r="Y12" s="433">
        <v>6</v>
      </c>
      <c r="Z12" s="434">
        <v>7</v>
      </c>
      <c r="AA12" s="434">
        <v>8</v>
      </c>
      <c r="AB12" s="433">
        <v>9</v>
      </c>
      <c r="AC12" s="434">
        <v>10</v>
      </c>
      <c r="AD12" s="434">
        <v>11</v>
      </c>
      <c r="AE12" s="433">
        <v>12</v>
      </c>
      <c r="AF12" s="451">
        <v>13</v>
      </c>
      <c r="AG12" s="420"/>
      <c r="AH12" s="456"/>
      <c r="AI12" s="235"/>
    </row>
    <row r="13" spans="1:36" ht="15.75" customHeight="1" thickBot="1">
      <c r="A13" s="233"/>
      <c r="B13" s="900"/>
      <c r="C13" s="901"/>
      <c r="D13" s="901"/>
      <c r="E13" s="902"/>
      <c r="F13" s="889"/>
      <c r="G13" s="890"/>
      <c r="H13" s="890"/>
      <c r="I13" s="890"/>
      <c r="J13" s="890"/>
      <c r="K13" s="890"/>
      <c r="L13" s="890"/>
      <c r="M13" s="892"/>
      <c r="N13" s="893"/>
      <c r="O13" s="372"/>
      <c r="P13" s="82"/>
      <c r="Q13" s="427"/>
      <c r="R13" s="417"/>
      <c r="S13" s="432">
        <f>IF(INT($J$18*14/64 - S$12) = 0,$J$18, INT($J$18*14/64 - S$12))</f>
        <v>5</v>
      </c>
      <c r="T13" s="432">
        <f t="shared" ref="T13:AF13" si="0">IF(INT($J$18*14/64 - T$12) = 0,$J$18, INT($J$18*14/64 - T$12))</f>
        <v>4</v>
      </c>
      <c r="U13" s="432">
        <f t="shared" si="0"/>
        <v>3</v>
      </c>
      <c r="V13" s="432">
        <f t="shared" si="0"/>
        <v>2</v>
      </c>
      <c r="W13" s="432">
        <f t="shared" si="0"/>
        <v>1</v>
      </c>
      <c r="X13" s="432">
        <f t="shared" si="0"/>
        <v>25</v>
      </c>
      <c r="Y13" s="432">
        <f t="shared" si="0"/>
        <v>-1</v>
      </c>
      <c r="Z13" s="432">
        <f t="shared" si="0"/>
        <v>-2</v>
      </c>
      <c r="AA13" s="432">
        <f t="shared" si="0"/>
        <v>-3</v>
      </c>
      <c r="AB13" s="432">
        <f t="shared" si="0"/>
        <v>-4</v>
      </c>
      <c r="AC13" s="432">
        <f t="shared" si="0"/>
        <v>-5</v>
      </c>
      <c r="AD13" s="432">
        <f t="shared" si="0"/>
        <v>-6</v>
      </c>
      <c r="AE13" s="432">
        <f t="shared" si="0"/>
        <v>-7</v>
      </c>
      <c r="AF13" s="450">
        <f t="shared" si="0"/>
        <v>-8</v>
      </c>
      <c r="AG13" s="417"/>
      <c r="AH13" s="456"/>
      <c r="AI13" s="412"/>
    </row>
    <row r="14" spans="1:36" ht="13.5" customHeight="1">
      <c r="A14" s="413"/>
      <c r="B14" s="900"/>
      <c r="C14" s="901"/>
      <c r="D14" s="901"/>
      <c r="E14" s="902"/>
      <c r="F14" s="906" t="s">
        <v>194</v>
      </c>
      <c r="G14" s="907"/>
      <c r="H14" s="910" t="s">
        <v>195</v>
      </c>
      <c r="I14" s="911"/>
      <c r="J14" s="914" t="s">
        <v>196</v>
      </c>
      <c r="K14" s="915"/>
      <c r="L14" s="915"/>
      <c r="M14" s="892"/>
      <c r="N14" s="893"/>
      <c r="O14" s="372"/>
      <c r="P14" s="82"/>
      <c r="Q14" s="427"/>
      <c r="R14" s="421" t="s">
        <v>145</v>
      </c>
      <c r="S14" s="430">
        <f>IF(INT($H$18*14/64 - S$12) = 0,$H$18, INT($H$18*14/64 - S$12))</f>
        <v>8</v>
      </c>
      <c r="T14" s="430">
        <f t="shared" ref="T14:AF14" si="1">IF(INT($H$18*14/64 - T$12) = 0,$H$18, INT($H$18*14/64 - T$12))</f>
        <v>7</v>
      </c>
      <c r="U14" s="430">
        <f t="shared" si="1"/>
        <v>6</v>
      </c>
      <c r="V14" s="430">
        <f t="shared" si="1"/>
        <v>5</v>
      </c>
      <c r="W14" s="430">
        <f t="shared" si="1"/>
        <v>4</v>
      </c>
      <c r="X14" s="430">
        <f t="shared" si="1"/>
        <v>3</v>
      </c>
      <c r="Y14" s="430">
        <f t="shared" si="1"/>
        <v>2</v>
      </c>
      <c r="Z14" s="430">
        <f t="shared" si="1"/>
        <v>1</v>
      </c>
      <c r="AA14" s="430">
        <f t="shared" si="1"/>
        <v>38</v>
      </c>
      <c r="AB14" s="430">
        <f t="shared" si="1"/>
        <v>-1</v>
      </c>
      <c r="AC14" s="430">
        <f t="shared" si="1"/>
        <v>-2</v>
      </c>
      <c r="AD14" s="430">
        <f t="shared" si="1"/>
        <v>-3</v>
      </c>
      <c r="AE14" s="430">
        <f t="shared" si="1"/>
        <v>-4</v>
      </c>
      <c r="AF14" s="430">
        <f t="shared" si="1"/>
        <v>-5</v>
      </c>
      <c r="AG14" s="417"/>
      <c r="AH14" s="456"/>
      <c r="AI14" s="412"/>
    </row>
    <row r="15" spans="1:36" ht="15" customHeight="1">
      <c r="A15" s="413"/>
      <c r="B15" s="903"/>
      <c r="C15" s="904"/>
      <c r="D15" s="904"/>
      <c r="E15" s="905"/>
      <c r="F15" s="908"/>
      <c r="G15" s="909"/>
      <c r="H15" s="912"/>
      <c r="I15" s="913"/>
      <c r="J15" s="914"/>
      <c r="K15" s="915"/>
      <c r="L15" s="915"/>
      <c r="M15" s="892"/>
      <c r="N15" s="893"/>
      <c r="P15" s="82"/>
      <c r="Q15" s="427"/>
      <c r="R15" s="417"/>
      <c r="S15" s="432">
        <f>IF(INT($F$18*14/64 - S$12) = 0,$F$18, INT($F$18*14/64 - S$12))</f>
        <v>2</v>
      </c>
      <c r="T15" s="432">
        <f t="shared" ref="T15:AF15" si="2">IF(INT($F$18*14/64 - T$12) = 0,$F$18, INT($F$18*14/64 - T$12))</f>
        <v>1</v>
      </c>
      <c r="U15" s="432">
        <f t="shared" si="2"/>
        <v>10</v>
      </c>
      <c r="V15" s="432">
        <f t="shared" si="2"/>
        <v>-1</v>
      </c>
      <c r="W15" s="432">
        <f t="shared" si="2"/>
        <v>-2</v>
      </c>
      <c r="X15" s="432">
        <f t="shared" si="2"/>
        <v>-3</v>
      </c>
      <c r="Y15" s="432">
        <f t="shared" si="2"/>
        <v>-4</v>
      </c>
      <c r="Z15" s="432">
        <f t="shared" si="2"/>
        <v>-5</v>
      </c>
      <c r="AA15" s="432">
        <f t="shared" si="2"/>
        <v>-6</v>
      </c>
      <c r="AB15" s="432">
        <f t="shared" si="2"/>
        <v>-7</v>
      </c>
      <c r="AC15" s="432">
        <f t="shared" si="2"/>
        <v>-8</v>
      </c>
      <c r="AD15" s="432">
        <f t="shared" si="2"/>
        <v>-9</v>
      </c>
      <c r="AE15" s="432">
        <f t="shared" si="2"/>
        <v>-10</v>
      </c>
      <c r="AF15" s="450">
        <f t="shared" si="2"/>
        <v>-11</v>
      </c>
      <c r="AG15" s="417"/>
      <c r="AH15" s="456"/>
      <c r="AI15" s="235"/>
    </row>
    <row r="16" spans="1:36" ht="15.75">
      <c r="A16" s="233"/>
      <c r="B16" s="894" t="s">
        <v>133</v>
      </c>
      <c r="C16" s="895"/>
      <c r="D16" s="895"/>
      <c r="E16" s="895"/>
      <c r="F16" s="801">
        <v>2</v>
      </c>
      <c r="G16" s="801"/>
      <c r="H16" s="801">
        <v>14</v>
      </c>
      <c r="I16" s="801"/>
      <c r="J16" s="801">
        <v>0</v>
      </c>
      <c r="K16" s="801"/>
      <c r="L16" s="801"/>
      <c r="M16" s="801">
        <v>16</v>
      </c>
      <c r="N16" s="896"/>
      <c r="O16" s="372"/>
      <c r="P16" s="82"/>
      <c r="Q16" s="427"/>
      <c r="R16" s="417"/>
      <c r="S16" s="422"/>
      <c r="T16" s="417"/>
      <c r="U16" s="417"/>
      <c r="V16" s="417"/>
      <c r="W16" s="423"/>
      <c r="X16" s="417"/>
      <c r="Y16" s="417"/>
      <c r="Z16" s="417"/>
      <c r="AA16" s="417"/>
      <c r="AB16" s="417"/>
      <c r="AC16" s="417"/>
      <c r="AD16" s="417"/>
      <c r="AE16" s="417"/>
      <c r="AF16" s="449"/>
      <c r="AG16" s="417"/>
      <c r="AH16" s="456"/>
      <c r="AI16" s="412"/>
    </row>
    <row r="17" spans="1:36" ht="15.75">
      <c r="A17" s="413"/>
      <c r="B17" s="894" t="s">
        <v>134</v>
      </c>
      <c r="C17" s="895"/>
      <c r="D17" s="895"/>
      <c r="E17" s="895"/>
      <c r="F17" s="801">
        <v>0</v>
      </c>
      <c r="G17" s="801"/>
      <c r="H17" s="801">
        <v>10</v>
      </c>
      <c r="I17" s="801"/>
      <c r="J17" s="801">
        <v>0</v>
      </c>
      <c r="K17" s="801"/>
      <c r="L17" s="801"/>
      <c r="M17" s="801">
        <v>10</v>
      </c>
      <c r="N17" s="896"/>
      <c r="O17" s="119"/>
      <c r="P17" s="82"/>
      <c r="Q17" s="424"/>
      <c r="R17" s="429"/>
      <c r="S17" s="432">
        <f>IF(INT($J$17*14/64 - S$12) = 0,$J$17, INT($J$17*14/64 - S$12))</f>
        <v>0</v>
      </c>
      <c r="T17" s="432">
        <f t="shared" ref="T17:AF17" si="3">IF(INT($J$17*14/64 - T$12) = 0,$J$17, INT($J$17*14/64 - T$12))</f>
        <v>-1</v>
      </c>
      <c r="U17" s="432">
        <f t="shared" si="3"/>
        <v>-2</v>
      </c>
      <c r="V17" s="432">
        <f t="shared" si="3"/>
        <v>-3</v>
      </c>
      <c r="W17" s="432">
        <f t="shared" si="3"/>
        <v>-4</v>
      </c>
      <c r="X17" s="432">
        <f t="shared" si="3"/>
        <v>-5</v>
      </c>
      <c r="Y17" s="432">
        <f t="shared" si="3"/>
        <v>-6</v>
      </c>
      <c r="Z17" s="432">
        <f t="shared" si="3"/>
        <v>-7</v>
      </c>
      <c r="AA17" s="432">
        <f t="shared" si="3"/>
        <v>-8</v>
      </c>
      <c r="AB17" s="432">
        <f t="shared" si="3"/>
        <v>-9</v>
      </c>
      <c r="AC17" s="432">
        <f t="shared" si="3"/>
        <v>-10</v>
      </c>
      <c r="AD17" s="432">
        <f t="shared" si="3"/>
        <v>-11</v>
      </c>
      <c r="AE17" s="432">
        <f t="shared" si="3"/>
        <v>-12</v>
      </c>
      <c r="AF17" s="450">
        <f t="shared" si="3"/>
        <v>-13</v>
      </c>
      <c r="AG17" s="417"/>
      <c r="AH17" s="456"/>
      <c r="AI17" s="235"/>
    </row>
    <row r="18" spans="1:36" ht="16.5" thickBot="1">
      <c r="A18" s="233"/>
      <c r="B18" s="978" t="s">
        <v>145</v>
      </c>
      <c r="C18" s="979"/>
      <c r="D18" s="979"/>
      <c r="E18" s="979"/>
      <c r="F18" s="885">
        <v>10</v>
      </c>
      <c r="G18" s="885"/>
      <c r="H18" s="885">
        <v>38</v>
      </c>
      <c r="I18" s="885"/>
      <c r="J18" s="961">
        <v>25</v>
      </c>
      <c r="K18" s="962"/>
      <c r="L18" s="963"/>
      <c r="M18" s="885">
        <v>38</v>
      </c>
      <c r="N18" s="886"/>
      <c r="O18" s="158"/>
      <c r="P18" s="84"/>
      <c r="Q18" s="427"/>
      <c r="R18" s="428" t="s">
        <v>134</v>
      </c>
      <c r="S18" s="430">
        <f>IF(INT($H$17*14/64 - S$12) = 0,$H$17, INT($H$17*14/64 - S$12))</f>
        <v>2</v>
      </c>
      <c r="T18" s="430">
        <f t="shared" ref="T18:AF18" si="4">IF(INT($H$17*14/64 - T$12) = 0,$H$17, INT($H$17*14/64 - T$12))</f>
        <v>1</v>
      </c>
      <c r="U18" s="430">
        <f t="shared" si="4"/>
        <v>10</v>
      </c>
      <c r="V18" s="430">
        <f t="shared" si="4"/>
        <v>-1</v>
      </c>
      <c r="W18" s="430">
        <f t="shared" si="4"/>
        <v>-2</v>
      </c>
      <c r="X18" s="430">
        <f t="shared" si="4"/>
        <v>-3</v>
      </c>
      <c r="Y18" s="430">
        <f t="shared" si="4"/>
        <v>-4</v>
      </c>
      <c r="Z18" s="430">
        <f t="shared" si="4"/>
        <v>-5</v>
      </c>
      <c r="AA18" s="430">
        <f t="shared" si="4"/>
        <v>-6</v>
      </c>
      <c r="AB18" s="430">
        <f t="shared" si="4"/>
        <v>-7</v>
      </c>
      <c r="AC18" s="430">
        <f t="shared" si="4"/>
        <v>-8</v>
      </c>
      <c r="AD18" s="430">
        <f t="shared" si="4"/>
        <v>-9</v>
      </c>
      <c r="AE18" s="430">
        <f t="shared" si="4"/>
        <v>-10</v>
      </c>
      <c r="AF18" s="430">
        <f t="shared" si="4"/>
        <v>-11</v>
      </c>
      <c r="AG18" s="417"/>
      <c r="AH18" s="456"/>
      <c r="AI18" s="235"/>
    </row>
    <row r="19" spans="1:36" ht="14.25" customHeight="1">
      <c r="A19" s="236"/>
      <c r="B19" s="128"/>
      <c r="C19" s="370"/>
      <c r="D19" s="370"/>
      <c r="E19" s="370"/>
      <c r="F19" s="110"/>
      <c r="G19" s="110"/>
      <c r="I19" s="370"/>
      <c r="J19" s="110"/>
      <c r="K19" s="370"/>
      <c r="L19" s="370"/>
      <c r="M19" s="110"/>
      <c r="N19" s="127"/>
      <c r="O19" s="85"/>
      <c r="P19" s="82"/>
      <c r="Q19" s="427"/>
      <c r="R19" s="11"/>
      <c r="S19" s="432">
        <f>IF(INT($F$17*14/64 - S$12) = 0,$F$17, INT($F$17*14/64 - S$12))</f>
        <v>0</v>
      </c>
      <c r="T19" s="432">
        <f t="shared" ref="T19:AF19" si="5">IF(INT($F$17*14/64 - T$12) = 0,$F$17, INT($F$17*14/64 - T$12))</f>
        <v>-1</v>
      </c>
      <c r="U19" s="432">
        <f t="shared" si="5"/>
        <v>-2</v>
      </c>
      <c r="V19" s="432">
        <f t="shared" si="5"/>
        <v>-3</v>
      </c>
      <c r="W19" s="432">
        <f t="shared" si="5"/>
        <v>-4</v>
      </c>
      <c r="X19" s="432">
        <f t="shared" si="5"/>
        <v>-5</v>
      </c>
      <c r="Y19" s="432">
        <f t="shared" si="5"/>
        <v>-6</v>
      </c>
      <c r="Z19" s="432">
        <f t="shared" si="5"/>
        <v>-7</v>
      </c>
      <c r="AA19" s="432">
        <f t="shared" si="5"/>
        <v>-8</v>
      </c>
      <c r="AB19" s="432">
        <f t="shared" si="5"/>
        <v>-9</v>
      </c>
      <c r="AC19" s="432">
        <f t="shared" si="5"/>
        <v>-10</v>
      </c>
      <c r="AD19" s="432">
        <f t="shared" si="5"/>
        <v>-11</v>
      </c>
      <c r="AE19" s="432">
        <f t="shared" si="5"/>
        <v>-12</v>
      </c>
      <c r="AF19" s="450">
        <f t="shared" si="5"/>
        <v>-13</v>
      </c>
      <c r="AG19" s="417"/>
      <c r="AH19" s="456"/>
      <c r="AI19" s="412"/>
    </row>
    <row r="20" spans="1:36">
      <c r="A20" s="233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3"/>
      <c r="P20" s="82"/>
      <c r="Q20" s="424"/>
      <c r="R20" s="11"/>
      <c r="S20" s="417"/>
      <c r="T20" s="417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  <c r="AE20" s="417"/>
      <c r="AF20" s="449"/>
      <c r="AG20" s="417"/>
      <c r="AH20" s="456"/>
      <c r="AI20" s="414"/>
    </row>
    <row r="21" spans="1:36">
      <c r="A21" s="13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106"/>
      <c r="Q21" s="426"/>
      <c r="R21" s="416"/>
      <c r="S21" s="431">
        <f>IF(INT($J$16*14/64 - S$12) = 0,$J$16, INT($J$16*14/64 - S$12))</f>
        <v>0</v>
      </c>
      <c r="T21" s="431">
        <f t="shared" ref="T21:AF21" si="6">IF(INT($J$16*14/64 - T$12) = 0,$J$16, INT($J$16*14/64 - T$12))</f>
        <v>-1</v>
      </c>
      <c r="U21" s="431">
        <f t="shared" si="6"/>
        <v>-2</v>
      </c>
      <c r="V21" s="431">
        <f t="shared" si="6"/>
        <v>-3</v>
      </c>
      <c r="W21" s="431">
        <f t="shared" si="6"/>
        <v>-4</v>
      </c>
      <c r="X21" s="431">
        <f t="shared" si="6"/>
        <v>-5</v>
      </c>
      <c r="Y21" s="431">
        <f t="shared" si="6"/>
        <v>-6</v>
      </c>
      <c r="Z21" s="431">
        <f t="shared" si="6"/>
        <v>-7</v>
      </c>
      <c r="AA21" s="431">
        <f t="shared" si="6"/>
        <v>-8</v>
      </c>
      <c r="AB21" s="431">
        <f t="shared" si="6"/>
        <v>-9</v>
      </c>
      <c r="AC21" s="431">
        <f t="shared" si="6"/>
        <v>-10</v>
      </c>
      <c r="AD21" s="431">
        <f t="shared" si="6"/>
        <v>-11</v>
      </c>
      <c r="AE21" s="431">
        <f t="shared" si="6"/>
        <v>-12</v>
      </c>
      <c r="AF21" s="452">
        <f t="shared" si="6"/>
        <v>-13</v>
      </c>
      <c r="AG21" s="417"/>
      <c r="AH21" s="456"/>
      <c r="AI21" s="357"/>
    </row>
    <row r="22" spans="1:36" ht="15.75">
      <c r="A22" s="306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3"/>
      <c r="P22" s="82"/>
      <c r="Q22" s="427"/>
      <c r="R22" s="428" t="s">
        <v>133</v>
      </c>
      <c r="S22" s="430">
        <f>IF(INT($H$16*14/64 - S$12) = 0,$H$16, INT($H$16*14/64 - S$12))</f>
        <v>3</v>
      </c>
      <c r="T22" s="430">
        <f t="shared" ref="T22:AF22" si="7">IF(INT($H$16*14/64 - T$12) = 0,$H$16, INT($H$16*14/64 - T$12))</f>
        <v>2</v>
      </c>
      <c r="U22" s="430">
        <f t="shared" si="7"/>
        <v>1</v>
      </c>
      <c r="V22" s="430">
        <f t="shared" si="7"/>
        <v>14</v>
      </c>
      <c r="W22" s="430">
        <f t="shared" si="7"/>
        <v>-1</v>
      </c>
      <c r="X22" s="430">
        <f t="shared" si="7"/>
        <v>-2</v>
      </c>
      <c r="Y22" s="430">
        <f t="shared" si="7"/>
        <v>-3</v>
      </c>
      <c r="Z22" s="430">
        <f t="shared" si="7"/>
        <v>-4</v>
      </c>
      <c r="AA22" s="430">
        <f t="shared" si="7"/>
        <v>-5</v>
      </c>
      <c r="AB22" s="430">
        <f t="shared" si="7"/>
        <v>-6</v>
      </c>
      <c r="AC22" s="430">
        <f t="shared" si="7"/>
        <v>-7</v>
      </c>
      <c r="AD22" s="430">
        <f t="shared" si="7"/>
        <v>-8</v>
      </c>
      <c r="AE22" s="430">
        <f t="shared" si="7"/>
        <v>-9</v>
      </c>
      <c r="AF22" s="430">
        <f t="shared" si="7"/>
        <v>-10</v>
      </c>
      <c r="AG22" s="417"/>
      <c r="AH22" s="456"/>
      <c r="AI22" s="235"/>
    </row>
    <row r="23" spans="1:36" ht="15.75">
      <c r="A23" s="13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3"/>
      <c r="P23" s="82"/>
      <c r="Q23" s="427"/>
      <c r="R23" s="417"/>
      <c r="S23" s="432">
        <f>IF(INT($F$16*14/64 - S$12) = 0,$F$16, INT($F$16*14/64 - S$12))</f>
        <v>2</v>
      </c>
      <c r="T23" s="432">
        <f t="shared" ref="T23:AF23" si="8">IF(INT($F$16*14/64 - T$12) = 0,$F$16, INT($F$16*14/64 - T$12))</f>
        <v>-1</v>
      </c>
      <c r="U23" s="432">
        <f t="shared" si="8"/>
        <v>-2</v>
      </c>
      <c r="V23" s="432">
        <f t="shared" si="8"/>
        <v>-3</v>
      </c>
      <c r="W23" s="432">
        <f t="shared" si="8"/>
        <v>-4</v>
      </c>
      <c r="X23" s="432">
        <f t="shared" si="8"/>
        <v>-5</v>
      </c>
      <c r="Y23" s="432">
        <f t="shared" si="8"/>
        <v>-6</v>
      </c>
      <c r="Z23" s="432">
        <f t="shared" si="8"/>
        <v>-7</v>
      </c>
      <c r="AA23" s="432">
        <f t="shared" si="8"/>
        <v>-8</v>
      </c>
      <c r="AB23" s="432">
        <f t="shared" si="8"/>
        <v>-9</v>
      </c>
      <c r="AC23" s="432">
        <f t="shared" si="8"/>
        <v>-10</v>
      </c>
      <c r="AD23" s="432">
        <f t="shared" si="8"/>
        <v>-11</v>
      </c>
      <c r="AE23" s="432">
        <f t="shared" si="8"/>
        <v>-12</v>
      </c>
      <c r="AF23" s="432">
        <f t="shared" si="8"/>
        <v>-13</v>
      </c>
      <c r="AG23" s="417"/>
      <c r="AH23" s="456"/>
      <c r="AI23" s="235"/>
    </row>
    <row r="24" spans="1:36">
      <c r="A24" s="13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3"/>
      <c r="P24" s="106"/>
      <c r="Q24" s="427"/>
      <c r="R24" s="417"/>
      <c r="S24" s="454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22"/>
      <c r="AG24" s="417"/>
      <c r="AH24" s="456"/>
      <c r="AI24" s="412"/>
    </row>
    <row r="25" spans="1:36" ht="15.75" thickBot="1">
      <c r="A25" s="13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108"/>
      <c r="P25" s="106"/>
      <c r="Q25" s="448"/>
      <c r="R25" s="425"/>
      <c r="S25" s="425"/>
      <c r="T25" s="425"/>
      <c r="U25" s="425"/>
      <c r="V25" s="425"/>
      <c r="W25" s="425"/>
      <c r="X25" s="425"/>
      <c r="Y25" s="425"/>
      <c r="Z25" s="425"/>
      <c r="AA25" s="425"/>
      <c r="AB25" s="425"/>
      <c r="AC25" s="425"/>
      <c r="AD25" s="425"/>
      <c r="AE25" s="425"/>
      <c r="AF25" s="453"/>
      <c r="AG25" s="457"/>
      <c r="AH25" s="458"/>
      <c r="AI25" s="412"/>
    </row>
    <row r="26" spans="1:36" ht="11.25" customHeight="1" thickBot="1">
      <c r="A26" s="13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108"/>
      <c r="P26" s="85"/>
      <c r="Q26" s="403"/>
      <c r="S26" s="403"/>
      <c r="T26" s="403"/>
      <c r="U26" s="403"/>
      <c r="V26" s="403"/>
      <c r="W26" s="419"/>
      <c r="X26" s="107"/>
      <c r="Z26" s="84"/>
      <c r="AA26" s="84"/>
      <c r="AB26" s="84"/>
      <c r="AC26" s="84"/>
      <c r="AD26" s="84"/>
      <c r="AE26" s="84"/>
      <c r="AF26" s="107"/>
      <c r="AG26" s="107"/>
      <c r="AH26" s="107"/>
      <c r="AI26" s="168"/>
    </row>
    <row r="27" spans="1:36" ht="24" customHeight="1" thickBot="1">
      <c r="A27" s="233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P27" s="398"/>
      <c r="Q27" s="919" t="s">
        <v>199</v>
      </c>
      <c r="R27" s="920"/>
      <c r="S27" s="920"/>
      <c r="T27" s="920"/>
      <c r="U27" s="920"/>
      <c r="V27" s="920"/>
      <c r="W27" s="921"/>
      <c r="X27" s="402"/>
      <c r="Y27" s="394"/>
      <c r="Z27" s="230"/>
      <c r="AA27" s="230"/>
      <c r="AB27" s="230"/>
      <c r="AC27" s="230"/>
      <c r="AD27" s="230"/>
      <c r="AE27" s="85"/>
      <c r="AF27" s="85"/>
      <c r="AG27" s="85"/>
      <c r="AH27" s="85"/>
      <c r="AI27" s="168"/>
    </row>
    <row r="28" spans="1:36" ht="10.5" customHeight="1" thickBot="1">
      <c r="A28" s="13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3"/>
      <c r="P28" s="106"/>
      <c r="Q28" s="400"/>
      <c r="R28" s="401"/>
      <c r="S28" s="399"/>
      <c r="T28" s="400"/>
      <c r="U28" s="229"/>
      <c r="V28" s="400"/>
      <c r="W28" s="400"/>
      <c r="X28" s="230"/>
      <c r="Y28" s="230"/>
      <c r="Z28" s="230"/>
      <c r="AA28" s="230"/>
      <c r="AB28" s="230"/>
      <c r="AC28" s="230"/>
      <c r="AD28" s="230"/>
      <c r="AE28" s="85"/>
      <c r="AF28" s="85"/>
      <c r="AG28" s="85"/>
      <c r="AH28" s="85"/>
      <c r="AI28" s="168"/>
      <c r="AJ28" s="407"/>
    </row>
    <row r="29" spans="1:36" ht="15.75" thickBot="1">
      <c r="A29" s="287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3"/>
      <c r="P29" s="85"/>
      <c r="Q29" s="395"/>
      <c r="R29" s="196"/>
      <c r="S29" s="196"/>
      <c r="T29" s="924" t="s">
        <v>198</v>
      </c>
      <c r="U29" s="925"/>
      <c r="V29" s="926"/>
      <c r="W29" s="408"/>
      <c r="X29" s="395"/>
      <c r="Y29" s="196"/>
      <c r="Z29" s="395"/>
      <c r="AA29" s="229"/>
      <c r="AB29" s="196"/>
      <c r="AC29" s="395"/>
      <c r="AD29" s="229"/>
      <c r="AE29" s="395"/>
      <c r="AF29" s="107"/>
      <c r="AG29" s="107"/>
      <c r="AH29" s="85"/>
      <c r="AI29" s="168"/>
    </row>
    <row r="30" spans="1:36" ht="33" customHeight="1" thickBot="1">
      <c r="A30" s="236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91"/>
      <c r="Q30" s="922" t="s">
        <v>90</v>
      </c>
      <c r="R30" s="923"/>
      <c r="S30" s="923"/>
      <c r="T30" s="927"/>
      <c r="U30" s="928"/>
      <c r="V30" s="929"/>
      <c r="W30" s="922" t="s">
        <v>91</v>
      </c>
      <c r="X30" s="923"/>
      <c r="Y30" s="923"/>
      <c r="Z30" s="1002" t="s">
        <v>92</v>
      </c>
      <c r="AA30" s="923"/>
      <c r="AB30" s="1011"/>
      <c r="AC30" s="1002" t="s">
        <v>93</v>
      </c>
      <c r="AD30" s="923"/>
      <c r="AE30" s="1003"/>
      <c r="AF30" s="396"/>
      <c r="AG30" s="230"/>
      <c r="AH30" s="85"/>
      <c r="AI30" s="168"/>
    </row>
    <row r="31" spans="1:36" ht="15" customHeight="1">
      <c r="A31" s="233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6"/>
      <c r="P31" s="106"/>
      <c r="Q31" s="1049"/>
      <c r="R31" s="1050"/>
      <c r="S31" s="1051"/>
      <c r="T31" s="1052"/>
      <c r="U31" s="1053"/>
      <c r="V31" s="1054"/>
      <c r="W31" s="1038"/>
      <c r="X31" s="1039"/>
      <c r="Y31" s="1039"/>
      <c r="Z31" s="1004"/>
      <c r="AA31" s="1005"/>
      <c r="AB31" s="1012"/>
      <c r="AC31" s="1004"/>
      <c r="AD31" s="1005"/>
      <c r="AE31" s="1006"/>
      <c r="AF31" s="397"/>
      <c r="AG31" s="85"/>
      <c r="AH31" s="85"/>
      <c r="AI31" s="168"/>
    </row>
    <row r="32" spans="1:36" ht="14.25" customHeight="1" thickBot="1">
      <c r="A32" s="139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86"/>
      <c r="P32" s="82"/>
      <c r="Q32" s="989"/>
      <c r="R32" s="990"/>
      <c r="S32" s="991"/>
      <c r="T32" s="999"/>
      <c r="U32" s="1000"/>
      <c r="V32" s="1001"/>
      <c r="W32" s="997"/>
      <c r="X32" s="998"/>
      <c r="Y32" s="998"/>
      <c r="Z32" s="1007"/>
      <c r="AA32" s="1008"/>
      <c r="AB32" s="1013"/>
      <c r="AC32" s="1007"/>
      <c r="AD32" s="1008"/>
      <c r="AE32" s="1009"/>
      <c r="AF32" s="83"/>
      <c r="AG32" s="85"/>
      <c r="AH32" s="85"/>
      <c r="AI32" s="168"/>
    </row>
    <row r="33" spans="1:35" ht="19.5" thickBot="1">
      <c r="A33" s="233"/>
      <c r="B33" s="1018" t="s">
        <v>200</v>
      </c>
      <c r="C33" s="1019"/>
      <c r="D33" s="1019"/>
      <c r="E33" s="1020"/>
      <c r="F33" s="1065" t="s">
        <v>201</v>
      </c>
      <c r="G33" s="1066"/>
      <c r="H33" s="1066"/>
      <c r="I33" s="1066"/>
      <c r="J33" s="1066"/>
      <c r="K33" s="1066"/>
      <c r="L33" s="1067"/>
      <c r="M33" s="1018" t="s">
        <v>129</v>
      </c>
      <c r="N33" s="1020"/>
      <c r="O33" s="81"/>
      <c r="P33" s="106"/>
      <c r="Q33" s="989"/>
      <c r="R33" s="990"/>
      <c r="S33" s="991"/>
      <c r="T33" s="999"/>
      <c r="U33" s="1000"/>
      <c r="V33" s="1001"/>
      <c r="W33" s="997"/>
      <c r="X33" s="998"/>
      <c r="Y33" s="998"/>
      <c r="Z33" s="1007"/>
      <c r="AA33" s="1008"/>
      <c r="AB33" s="1013"/>
      <c r="AC33" s="1007"/>
      <c r="AD33" s="1008"/>
      <c r="AE33" s="1009"/>
      <c r="AF33" s="83"/>
      <c r="AG33" s="85"/>
      <c r="AH33" s="85"/>
      <c r="AI33" s="168"/>
    </row>
    <row r="34" spans="1:35" ht="30.75" customHeight="1" thickBot="1">
      <c r="A34" s="236"/>
      <c r="B34" s="1021"/>
      <c r="C34" s="1022"/>
      <c r="D34" s="1022"/>
      <c r="E34" s="1023"/>
      <c r="F34" s="1024" t="s">
        <v>202</v>
      </c>
      <c r="G34" s="1025"/>
      <c r="H34" s="1026"/>
      <c r="I34" s="1027" t="s">
        <v>203</v>
      </c>
      <c r="J34" s="1028"/>
      <c r="K34" s="1063" t="s">
        <v>204</v>
      </c>
      <c r="L34" s="1064"/>
      <c r="M34" s="1021"/>
      <c r="N34" s="1023"/>
      <c r="O34" s="81"/>
      <c r="P34" s="106"/>
      <c r="Q34" s="989"/>
      <c r="R34" s="990"/>
      <c r="S34" s="991"/>
      <c r="T34" s="999"/>
      <c r="U34" s="1000"/>
      <c r="V34" s="1001"/>
      <c r="W34" s="997"/>
      <c r="X34" s="998"/>
      <c r="Y34" s="998"/>
      <c r="Z34" s="1007"/>
      <c r="AA34" s="1008"/>
      <c r="AB34" s="1013"/>
      <c r="AC34" s="1007"/>
      <c r="AD34" s="1008"/>
      <c r="AE34" s="1009"/>
      <c r="AF34" s="83"/>
      <c r="AG34" s="85"/>
      <c r="AH34" s="85"/>
      <c r="AI34" s="168"/>
    </row>
    <row r="35" spans="1:35" ht="22.5" customHeight="1">
      <c r="A35" s="415"/>
      <c r="B35" s="1037" t="s">
        <v>135</v>
      </c>
      <c r="C35" s="1037"/>
      <c r="D35" s="1037"/>
      <c r="E35" s="1037"/>
      <c r="F35" s="1037">
        <v>4</v>
      </c>
      <c r="G35" s="1037"/>
      <c r="H35" s="1037"/>
      <c r="I35" s="1037">
        <v>10</v>
      </c>
      <c r="J35" s="1037"/>
      <c r="K35" s="1037">
        <v>0</v>
      </c>
      <c r="L35" s="1037"/>
      <c r="M35" s="1037">
        <v>20</v>
      </c>
      <c r="N35" s="1037"/>
      <c r="O35" s="86"/>
      <c r="P35" s="82"/>
      <c r="Q35" s="986"/>
      <c r="R35" s="987"/>
      <c r="S35" s="988"/>
      <c r="T35" s="992"/>
      <c r="U35" s="993"/>
      <c r="V35" s="994"/>
      <c r="W35" s="995"/>
      <c r="X35" s="996"/>
      <c r="Y35" s="996"/>
      <c r="Z35" s="980"/>
      <c r="AA35" s="981"/>
      <c r="AB35" s="1010"/>
      <c r="AC35" s="980"/>
      <c r="AD35" s="981"/>
      <c r="AE35" s="982"/>
      <c r="AF35" s="83"/>
      <c r="AG35" s="85"/>
      <c r="AH35" s="85"/>
      <c r="AI35" s="168"/>
    </row>
    <row r="36" spans="1:35">
      <c r="A36" s="406"/>
      <c r="C36" s="409"/>
      <c r="E36" s="409"/>
      <c r="F36" s="409"/>
      <c r="H36" s="409"/>
      <c r="I36" s="409"/>
      <c r="K36" s="409"/>
      <c r="L36" s="410"/>
      <c r="M36" s="410"/>
      <c r="N36" s="409"/>
      <c r="O36" s="93"/>
      <c r="Q36" s="986"/>
      <c r="R36" s="987"/>
      <c r="S36" s="988"/>
      <c r="T36" s="992"/>
      <c r="U36" s="993"/>
      <c r="V36" s="994"/>
      <c r="W36" s="995"/>
      <c r="X36" s="996"/>
      <c r="Y36" s="996"/>
      <c r="Z36" s="980"/>
      <c r="AA36" s="981"/>
      <c r="AB36" s="1010"/>
      <c r="AC36" s="980"/>
      <c r="AD36" s="981"/>
      <c r="AE36" s="982"/>
      <c r="AF36" s="83"/>
      <c r="AG36" s="85"/>
      <c r="AH36" s="85"/>
      <c r="AI36" s="168"/>
    </row>
    <row r="37" spans="1:35">
      <c r="A37" s="13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3"/>
      <c r="P37" s="82"/>
      <c r="Q37" s="986"/>
      <c r="R37" s="987"/>
      <c r="S37" s="988"/>
      <c r="T37" s="992"/>
      <c r="U37" s="993"/>
      <c r="V37" s="994"/>
      <c r="W37" s="995"/>
      <c r="X37" s="996"/>
      <c r="Y37" s="996"/>
      <c r="Z37" s="980"/>
      <c r="AA37" s="981"/>
      <c r="AB37" s="1010"/>
      <c r="AC37" s="980"/>
      <c r="AD37" s="981"/>
      <c r="AE37" s="982"/>
      <c r="AF37" s="83"/>
      <c r="AG37" s="85"/>
      <c r="AH37" s="85"/>
      <c r="AI37" s="168"/>
    </row>
    <row r="38" spans="1:35">
      <c r="A38" s="13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3"/>
      <c r="P38" s="82"/>
      <c r="Q38" s="986"/>
      <c r="R38" s="987"/>
      <c r="S38" s="988"/>
      <c r="T38" s="992"/>
      <c r="U38" s="993"/>
      <c r="V38" s="994"/>
      <c r="W38" s="995"/>
      <c r="X38" s="996"/>
      <c r="Y38" s="996"/>
      <c r="Z38" s="980"/>
      <c r="AA38" s="981"/>
      <c r="AB38" s="1010"/>
      <c r="AC38" s="980"/>
      <c r="AD38" s="981"/>
      <c r="AE38" s="982"/>
      <c r="AF38" s="108"/>
      <c r="AG38" s="107"/>
      <c r="AH38" s="85"/>
      <c r="AI38" s="168"/>
    </row>
    <row r="39" spans="1:35">
      <c r="A39" s="13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P39" s="82"/>
      <c r="Q39" s="986"/>
      <c r="R39" s="987"/>
      <c r="S39" s="988"/>
      <c r="T39" s="992"/>
      <c r="U39" s="993"/>
      <c r="V39" s="994"/>
      <c r="W39" s="995"/>
      <c r="X39" s="996"/>
      <c r="Y39" s="996"/>
      <c r="Z39" s="980"/>
      <c r="AA39" s="981"/>
      <c r="AB39" s="1010"/>
      <c r="AC39" s="980"/>
      <c r="AD39" s="981"/>
      <c r="AE39" s="982"/>
      <c r="AF39" s="83"/>
      <c r="AG39" s="85"/>
      <c r="AH39" s="85"/>
      <c r="AI39" s="168"/>
    </row>
    <row r="40" spans="1:35">
      <c r="A40" s="13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6"/>
      <c r="P40" s="90"/>
      <c r="Q40" s="986"/>
      <c r="R40" s="987"/>
      <c r="S40" s="988"/>
      <c r="T40" s="992"/>
      <c r="U40" s="993"/>
      <c r="V40" s="994"/>
      <c r="W40" s="995"/>
      <c r="X40" s="996"/>
      <c r="Y40" s="996"/>
      <c r="Z40" s="980"/>
      <c r="AA40" s="981"/>
      <c r="AB40" s="1010"/>
      <c r="AC40" s="980"/>
      <c r="AD40" s="981"/>
      <c r="AE40" s="982"/>
      <c r="AF40" s="83"/>
      <c r="AG40" s="85"/>
      <c r="AH40" s="85"/>
      <c r="AI40" s="168"/>
    </row>
    <row r="41" spans="1:35">
      <c r="A41" s="139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1"/>
      <c r="P41" s="82"/>
      <c r="Q41" s="989"/>
      <c r="R41" s="990"/>
      <c r="S41" s="991"/>
      <c r="T41" s="999"/>
      <c r="U41" s="1000"/>
      <c r="V41" s="1001"/>
      <c r="W41" s="997"/>
      <c r="X41" s="998"/>
      <c r="Y41" s="998"/>
      <c r="Z41" s="1007"/>
      <c r="AA41" s="1008"/>
      <c r="AB41" s="1013"/>
      <c r="AC41" s="1007"/>
      <c r="AD41" s="1008"/>
      <c r="AE41" s="1009"/>
      <c r="AF41" s="83"/>
      <c r="AG41" s="85"/>
      <c r="AH41" s="85"/>
      <c r="AI41" s="168"/>
    </row>
    <row r="42" spans="1:35">
      <c r="A42" s="139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3"/>
      <c r="P42" s="82"/>
      <c r="Q42" s="989"/>
      <c r="R42" s="990"/>
      <c r="S42" s="991"/>
      <c r="T42" s="999"/>
      <c r="U42" s="1000"/>
      <c r="V42" s="1001"/>
      <c r="W42" s="997"/>
      <c r="X42" s="998"/>
      <c r="Y42" s="998"/>
      <c r="Z42" s="1007"/>
      <c r="AA42" s="1008"/>
      <c r="AB42" s="1013"/>
      <c r="AC42" s="1007"/>
      <c r="AD42" s="1008"/>
      <c r="AE42" s="1009"/>
      <c r="AF42" s="83"/>
      <c r="AG42" s="85"/>
      <c r="AH42" s="85"/>
      <c r="AI42" s="168"/>
    </row>
    <row r="43" spans="1:35">
      <c r="A43" s="139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P43" s="82"/>
      <c r="Q43" s="983"/>
      <c r="R43" s="984"/>
      <c r="S43" s="985"/>
      <c r="T43" s="992"/>
      <c r="U43" s="993"/>
      <c r="V43" s="994"/>
      <c r="W43" s="995"/>
      <c r="X43" s="996"/>
      <c r="Y43" s="996"/>
      <c r="Z43" s="980"/>
      <c r="AA43" s="981"/>
      <c r="AB43" s="1010"/>
      <c r="AC43" s="980"/>
      <c r="AD43" s="981"/>
      <c r="AE43" s="982"/>
      <c r="AF43" s="83"/>
      <c r="AG43" s="85"/>
      <c r="AH43" s="85"/>
      <c r="AI43" s="168"/>
    </row>
    <row r="44" spans="1:35">
      <c r="A44" s="139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1"/>
      <c r="P44" s="106"/>
      <c r="Q44" s="983"/>
      <c r="R44" s="984"/>
      <c r="S44" s="985"/>
      <c r="T44" s="992"/>
      <c r="U44" s="993"/>
      <c r="V44" s="994"/>
      <c r="W44" s="995"/>
      <c r="X44" s="996"/>
      <c r="Y44" s="996"/>
      <c r="Z44" s="980"/>
      <c r="AA44" s="981"/>
      <c r="AB44" s="1010"/>
      <c r="AC44" s="980"/>
      <c r="AD44" s="981"/>
      <c r="AE44" s="982"/>
      <c r="AF44" s="83"/>
      <c r="AG44" s="85"/>
      <c r="AH44" s="85"/>
      <c r="AI44" s="168"/>
    </row>
    <row r="45" spans="1:35">
      <c r="A45" s="139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6"/>
      <c r="P45" s="106"/>
      <c r="Q45" s="1058"/>
      <c r="R45" s="1059"/>
      <c r="S45" s="1060"/>
      <c r="T45" s="1046"/>
      <c r="U45" s="1047"/>
      <c r="V45" s="1048"/>
      <c r="W45" s="1035"/>
      <c r="X45" s="1036"/>
      <c r="Y45" s="1036"/>
      <c r="Z45" s="1029"/>
      <c r="AA45" s="1030"/>
      <c r="AB45" s="1034"/>
      <c r="AC45" s="1029"/>
      <c r="AD45" s="1030"/>
      <c r="AE45" s="1031"/>
      <c r="AF45" s="83"/>
      <c r="AG45" s="85"/>
      <c r="AH45" s="85"/>
      <c r="AI45" s="168"/>
    </row>
    <row r="46" spans="1:35">
      <c r="A46" s="139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6"/>
      <c r="P46" s="106"/>
      <c r="Q46" s="1061"/>
      <c r="R46" s="1062"/>
      <c r="S46" s="1062"/>
      <c r="T46" s="1045"/>
      <c r="U46" s="1045"/>
      <c r="V46" s="1045"/>
      <c r="W46" s="1032"/>
      <c r="X46" s="1032"/>
      <c r="Y46" s="1032"/>
      <c r="Z46" s="1032"/>
      <c r="AA46" s="1032"/>
      <c r="AB46" s="1032"/>
      <c r="AC46" s="1032"/>
      <c r="AD46" s="1032"/>
      <c r="AE46" s="1033"/>
      <c r="AF46" s="83"/>
      <c r="AG46" s="85"/>
      <c r="AH46" s="85"/>
      <c r="AI46" s="168"/>
    </row>
    <row r="47" spans="1:35" ht="15.75" thickBot="1">
      <c r="A47" s="139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6"/>
      <c r="P47" s="106"/>
      <c r="Q47" s="1055"/>
      <c r="R47" s="1056"/>
      <c r="S47" s="1057"/>
      <c r="T47" s="1040"/>
      <c r="U47" s="1041"/>
      <c r="V47" s="1042"/>
      <c r="W47" s="1043"/>
      <c r="X47" s="1044"/>
      <c r="Y47" s="1044"/>
      <c r="Z47" s="1014"/>
      <c r="AA47" s="1015"/>
      <c r="AB47" s="1016"/>
      <c r="AC47" s="1014"/>
      <c r="AD47" s="1015"/>
      <c r="AE47" s="1017"/>
      <c r="AF47" s="86"/>
      <c r="AG47" s="93"/>
      <c r="AH47" s="85"/>
      <c r="AI47" s="168"/>
    </row>
    <row r="48" spans="1:35">
      <c r="A48" s="139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85"/>
      <c r="AG48" s="85"/>
      <c r="AH48" s="85"/>
      <c r="AI48" s="168"/>
    </row>
    <row r="49" spans="1:35">
      <c r="A49" s="139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168"/>
    </row>
    <row r="50" spans="1:35" ht="15.75" thickBot="1">
      <c r="A50" s="140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41"/>
    </row>
    <row r="51" spans="1:35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</row>
    <row r="52" spans="1:3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</row>
    <row r="53" spans="1:3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</row>
    <row r="54" spans="1:3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</row>
    <row r="55" spans="1:3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</row>
  </sheetData>
  <mergeCells count="138">
    <mergeCell ref="Q47:S47"/>
    <mergeCell ref="Q45:S45"/>
    <mergeCell ref="Q46:S46"/>
    <mergeCell ref="W46:Y46"/>
    <mergeCell ref="W38:Y38"/>
    <mergeCell ref="W39:Y39"/>
    <mergeCell ref="K34:L34"/>
    <mergeCell ref="F33:L33"/>
    <mergeCell ref="M33:N34"/>
    <mergeCell ref="T36:V36"/>
    <mergeCell ref="B35:E35"/>
    <mergeCell ref="F35:H35"/>
    <mergeCell ref="I35:J35"/>
    <mergeCell ref="K35:L35"/>
    <mergeCell ref="M35:N35"/>
    <mergeCell ref="W30:Y30"/>
    <mergeCell ref="W31:Y31"/>
    <mergeCell ref="W32:Y32"/>
    <mergeCell ref="T47:V47"/>
    <mergeCell ref="W47:Y47"/>
    <mergeCell ref="T41:V41"/>
    <mergeCell ref="T46:V46"/>
    <mergeCell ref="T45:V45"/>
    <mergeCell ref="Q31:S31"/>
    <mergeCell ref="Q32:S32"/>
    <mergeCell ref="Q33:S33"/>
    <mergeCell ref="Q34:S34"/>
    <mergeCell ref="Q35:S35"/>
    <mergeCell ref="Q36:S36"/>
    <mergeCell ref="T31:V31"/>
    <mergeCell ref="T32:V32"/>
    <mergeCell ref="T33:V33"/>
    <mergeCell ref="T34:V34"/>
    <mergeCell ref="T35:V35"/>
    <mergeCell ref="Z47:AB47"/>
    <mergeCell ref="AC47:AE47"/>
    <mergeCell ref="B33:E34"/>
    <mergeCell ref="F34:H34"/>
    <mergeCell ref="I34:J34"/>
    <mergeCell ref="AC41:AE41"/>
    <mergeCell ref="AC42:AE42"/>
    <mergeCell ref="AC43:AE43"/>
    <mergeCell ref="AC44:AE44"/>
    <mergeCell ref="AC45:AE45"/>
    <mergeCell ref="AC46:AE46"/>
    <mergeCell ref="Z44:AB44"/>
    <mergeCell ref="Z45:AB45"/>
    <mergeCell ref="Z46:AB46"/>
    <mergeCell ref="Z40:AB40"/>
    <mergeCell ref="Z41:AB41"/>
    <mergeCell ref="Z42:AB42"/>
    <mergeCell ref="Z43:AB43"/>
    <mergeCell ref="W45:Y45"/>
    <mergeCell ref="W33:Y33"/>
    <mergeCell ref="W34:Y34"/>
    <mergeCell ref="W35:Y35"/>
    <mergeCell ref="W36:Y36"/>
    <mergeCell ref="W37:Y37"/>
    <mergeCell ref="AC30:AE30"/>
    <mergeCell ref="AC31:AE31"/>
    <mergeCell ref="AC32:AE32"/>
    <mergeCell ref="AC33:AE33"/>
    <mergeCell ref="AC34:AE34"/>
    <mergeCell ref="AC35:AE35"/>
    <mergeCell ref="AC36:AE36"/>
    <mergeCell ref="Z38:AB38"/>
    <mergeCell ref="Z39:AB39"/>
    <mergeCell ref="Z30:AB30"/>
    <mergeCell ref="Z31:AB31"/>
    <mergeCell ref="Z32:AB32"/>
    <mergeCell ref="Z33:AB33"/>
    <mergeCell ref="Z34:AB34"/>
    <mergeCell ref="Z35:AB35"/>
    <mergeCell ref="Z36:AB36"/>
    <mergeCell ref="Z37:AB37"/>
    <mergeCell ref="AC37:AE37"/>
    <mergeCell ref="AC38:AE38"/>
    <mergeCell ref="AC39:AE39"/>
    <mergeCell ref="AC40:AE40"/>
    <mergeCell ref="Q43:S43"/>
    <mergeCell ref="Q44:S44"/>
    <mergeCell ref="Q37:S37"/>
    <mergeCell ref="Q38:S38"/>
    <mergeCell ref="Q39:S39"/>
    <mergeCell ref="Q40:S40"/>
    <mergeCell ref="Q41:S41"/>
    <mergeCell ref="Q42:S42"/>
    <mergeCell ref="T37:V37"/>
    <mergeCell ref="T38:V38"/>
    <mergeCell ref="T39:V39"/>
    <mergeCell ref="T40:V40"/>
    <mergeCell ref="W40:Y40"/>
    <mergeCell ref="W41:Y41"/>
    <mergeCell ref="W42:Y42"/>
    <mergeCell ref="W43:Y43"/>
    <mergeCell ref="W44:Y44"/>
    <mergeCell ref="T42:V42"/>
    <mergeCell ref="T43:V43"/>
    <mergeCell ref="T44:V44"/>
    <mergeCell ref="A1:AI1"/>
    <mergeCell ref="Q27:W27"/>
    <mergeCell ref="Q30:S30"/>
    <mergeCell ref="T29:V30"/>
    <mergeCell ref="AD6:AF7"/>
    <mergeCell ref="A2:AI2"/>
    <mergeCell ref="W6:Z7"/>
    <mergeCell ref="V8:Z9"/>
    <mergeCell ref="AD8:AF9"/>
    <mergeCell ref="A4:AI4"/>
    <mergeCell ref="A3:AI3"/>
    <mergeCell ref="J6:L7"/>
    <mergeCell ref="P8:R9"/>
    <mergeCell ref="Q6:R7"/>
    <mergeCell ref="J18:L18"/>
    <mergeCell ref="E6:G7"/>
    <mergeCell ref="E8:G9"/>
    <mergeCell ref="K8:L9"/>
    <mergeCell ref="B17:E17"/>
    <mergeCell ref="B18:E18"/>
    <mergeCell ref="H18:I18"/>
    <mergeCell ref="H17:I17"/>
    <mergeCell ref="J17:L17"/>
    <mergeCell ref="M17:N17"/>
    <mergeCell ref="Q11:AE11"/>
    <mergeCell ref="M18:N18"/>
    <mergeCell ref="F17:G17"/>
    <mergeCell ref="F18:G18"/>
    <mergeCell ref="F12:L13"/>
    <mergeCell ref="M12:N15"/>
    <mergeCell ref="B16:E16"/>
    <mergeCell ref="F16:G16"/>
    <mergeCell ref="H16:I16"/>
    <mergeCell ref="J16:L16"/>
    <mergeCell ref="M16:N16"/>
    <mergeCell ref="B12:E15"/>
    <mergeCell ref="F14:G15"/>
    <mergeCell ref="H14:I15"/>
    <mergeCell ref="J14:L15"/>
  </mergeCells>
  <conditionalFormatting sqref="S13:AF13">
    <cfRule type="cellIs" dxfId="26" priority="29" operator="greaterThanOrEqual">
      <formula>$J$18</formula>
    </cfRule>
    <cfRule type="cellIs" dxfId="25" priority="45" operator="lessThan">
      <formula>0</formula>
    </cfRule>
    <cfRule type="cellIs" dxfId="24" priority="46" operator="greaterThanOrEqual">
      <formula>1</formula>
    </cfRule>
  </conditionalFormatting>
  <conditionalFormatting sqref="S14:AF14">
    <cfRule type="cellIs" dxfId="23" priority="30" operator="equal">
      <formula>$H$18</formula>
    </cfRule>
    <cfRule type="cellIs" dxfId="22" priority="47" operator="lessThan">
      <formula>0</formula>
    </cfRule>
    <cfRule type="cellIs" dxfId="21" priority="48" operator="greaterThanOrEqual">
      <formula>1</formula>
    </cfRule>
  </conditionalFormatting>
  <conditionalFormatting sqref="S15:AF15">
    <cfRule type="cellIs" dxfId="20" priority="13" operator="equal">
      <formula>$F$18</formula>
    </cfRule>
    <cfRule type="cellIs" dxfId="19" priority="43" operator="lessThan">
      <formula>0</formula>
    </cfRule>
    <cfRule type="cellIs" dxfId="18" priority="44" operator="greaterThanOrEqual">
      <formula>1</formula>
    </cfRule>
  </conditionalFormatting>
  <conditionalFormatting sqref="S17:AF17">
    <cfRule type="cellIs" dxfId="17" priority="17" operator="greaterThanOrEqual">
      <formula>$J$17</formula>
    </cfRule>
    <cfRule type="cellIs" dxfId="16" priority="18" operator="lessThan">
      <formula>0</formula>
    </cfRule>
    <cfRule type="cellIs" dxfId="15" priority="19" operator="greaterThanOrEqual">
      <formula>1</formula>
    </cfRule>
  </conditionalFormatting>
  <conditionalFormatting sqref="S18:AF18">
    <cfRule type="cellIs" dxfId="14" priority="23" operator="equal">
      <formula>$H$17</formula>
    </cfRule>
    <cfRule type="cellIs" dxfId="13" priority="24" operator="lessThan">
      <formula>0</formula>
    </cfRule>
    <cfRule type="cellIs" dxfId="12" priority="25" operator="greaterThanOrEqual">
      <formula>1</formula>
    </cfRule>
  </conditionalFormatting>
  <conditionalFormatting sqref="S19:AF19">
    <cfRule type="cellIs" dxfId="11" priority="1" operator="equal">
      <formula>$F$17</formula>
    </cfRule>
    <cfRule type="cellIs" dxfId="10" priority="2" operator="lessThan">
      <formula>0</formula>
    </cfRule>
    <cfRule type="cellIs" dxfId="9" priority="3" operator="greaterThanOrEqual">
      <formula>1</formula>
    </cfRule>
  </conditionalFormatting>
  <conditionalFormatting sqref="S21:AF21">
    <cfRule type="cellIs" dxfId="8" priority="14" operator="greaterThanOrEqual">
      <formula>$J$16</formula>
    </cfRule>
    <cfRule type="cellIs" dxfId="7" priority="15" operator="lessThan">
      <formula>0</formula>
    </cfRule>
    <cfRule type="cellIs" dxfId="6" priority="16" operator="greaterThanOrEqual">
      <formula>1</formula>
    </cfRule>
  </conditionalFormatting>
  <conditionalFormatting sqref="S22:AF22">
    <cfRule type="cellIs" dxfId="5" priority="20" operator="equal">
      <formula>$H$16</formula>
    </cfRule>
    <cfRule type="cellIs" dxfId="4" priority="21" operator="lessThan">
      <formula>0</formula>
    </cfRule>
    <cfRule type="cellIs" dxfId="3" priority="22" operator="greaterThanOrEqual">
      <formula>1</formula>
    </cfRule>
  </conditionalFormatting>
  <conditionalFormatting sqref="S23:AF23">
    <cfRule type="cellIs" dxfId="2" priority="4" operator="equal">
      <formula>$F$16</formula>
    </cfRule>
    <cfRule type="cellIs" dxfId="1" priority="5" operator="lessThan">
      <formula>0</formula>
    </cfRule>
    <cfRule type="cellIs" dxfId="0" priority="6" operator="greaterThanOrEqual">
      <formula>1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B4CB-723F-4226-9945-2E6AC2F3F309}">
  <dimension ref="A2:D15"/>
  <sheetViews>
    <sheetView workbookViewId="0">
      <selection activeCell="E9" sqref="E9"/>
    </sheetView>
  </sheetViews>
  <sheetFormatPr baseColWidth="10" defaultRowHeight="15"/>
  <cols>
    <col min="2" max="2" width="45.85546875" customWidth="1"/>
    <col min="3" max="3" width="14.5703125" customWidth="1"/>
  </cols>
  <sheetData>
    <row r="2" spans="1:4" ht="18.75">
      <c r="A2" s="239" t="s">
        <v>166</v>
      </c>
      <c r="B2" s="239" t="s">
        <v>167</v>
      </c>
      <c r="C2" s="239" t="s">
        <v>168</v>
      </c>
      <c r="D2" s="239" t="s">
        <v>169</v>
      </c>
    </row>
    <row r="3" spans="1:4" ht="24" customHeight="1">
      <c r="A3" s="346"/>
      <c r="B3" s="461"/>
      <c r="C3" s="347"/>
      <c r="D3" s="347"/>
    </row>
    <row r="4" spans="1:4" ht="27.75" customHeight="1">
      <c r="A4" s="346"/>
      <c r="B4" s="461"/>
      <c r="C4" s="347"/>
      <c r="D4" s="347"/>
    </row>
    <row r="5" spans="1:4" ht="26.25" customHeight="1">
      <c r="A5" s="346"/>
      <c r="B5" s="461"/>
      <c r="C5" s="347"/>
      <c r="D5" s="347"/>
    </row>
    <row r="6" spans="1:4" ht="24" customHeight="1">
      <c r="A6" s="346"/>
      <c r="B6" s="461"/>
      <c r="C6" s="347"/>
      <c r="D6" s="347"/>
    </row>
    <row r="7" spans="1:4" ht="27.75" customHeight="1">
      <c r="A7" s="346"/>
      <c r="B7" s="461"/>
      <c r="C7" s="347"/>
      <c r="D7" s="347"/>
    </row>
    <row r="8" spans="1:4" ht="27.75" customHeight="1">
      <c r="A8" s="346"/>
      <c r="B8" s="461"/>
      <c r="C8" s="347"/>
      <c r="D8" s="347"/>
    </row>
    <row r="9" spans="1:4" ht="24.75" customHeight="1">
      <c r="A9" s="346"/>
      <c r="B9" s="461"/>
      <c r="C9" s="347"/>
      <c r="D9" s="347"/>
    </row>
    <row r="10" spans="1:4" ht="33.75" customHeight="1">
      <c r="A10" s="346"/>
      <c r="B10" s="345"/>
      <c r="C10" s="347"/>
      <c r="D10" s="347"/>
    </row>
    <row r="11" spans="1:4" ht="14.25" customHeight="1">
      <c r="A11" s="346"/>
      <c r="B11" s="461"/>
      <c r="C11" s="347"/>
      <c r="D11" s="347"/>
    </row>
    <row r="12" spans="1:4">
      <c r="A12" s="346"/>
      <c r="B12" s="461"/>
      <c r="C12" s="347"/>
      <c r="D12" s="347"/>
    </row>
    <row r="13" spans="1:4">
      <c r="A13" s="346"/>
      <c r="B13" s="461"/>
      <c r="C13" s="347"/>
      <c r="D13" s="347"/>
    </row>
    <row r="14" spans="1:4">
      <c r="A14" s="459"/>
      <c r="B14" s="463"/>
      <c r="C14" s="460"/>
      <c r="D14" s="460"/>
    </row>
    <row r="15" spans="1:4">
      <c r="A15" s="464"/>
      <c r="B15" s="462"/>
      <c r="C15" s="74"/>
      <c r="D15" s="7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18" ma:contentTypeDescription="Crear nuevo documento." ma:contentTypeScope="" ma:versionID="dd0678842d65e4207392abd035356b9c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6d84746cc30da1fe182e7a313d44b54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</documentManagement>
</p:properties>
</file>

<file path=customXml/itemProps1.xml><?xml version="1.0" encoding="utf-8"?>
<ds:datastoreItem xmlns:ds="http://schemas.openxmlformats.org/officeDocument/2006/customXml" ds:itemID="{B6AC9645-B568-450E-BF2C-C54CDA88D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64779-B9F2-4AEC-A5E9-E8076DA89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E8CA1-0683-49D4-9501-EE88776F2630}">
  <ds:schemaRefs>
    <ds:schemaRef ds:uri="http://schemas.microsoft.com/office/2006/metadata/properties"/>
    <ds:schemaRef ds:uri="http://purl.org/dc/dcmitype/"/>
    <ds:schemaRef ds:uri="http://purl.org/dc/elements/1.1/"/>
    <ds:schemaRef ds:uri="cc851cf5-9d25-4af0-b62f-d23d0a4f5e5c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4542bb-2825-439d-9db6-a5c04d3b21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8</vt:i4>
      </vt:variant>
    </vt:vector>
  </HeadingPairs>
  <TitlesOfParts>
    <vt:vector size="24" baseType="lpstr">
      <vt:lpstr>Portada</vt:lpstr>
      <vt:lpstr>01-PANEL</vt:lpstr>
      <vt:lpstr>data_panel</vt:lpstr>
      <vt:lpstr>02-ESTADO NC</vt:lpstr>
      <vt:lpstr>03-  ESTADO REGIONES</vt:lpstr>
      <vt:lpstr>data_status_NC</vt:lpstr>
      <vt:lpstr>data_status_reg</vt:lpstr>
      <vt:lpstr>Ev Proveedores</vt:lpstr>
      <vt:lpstr>Convenios ADP</vt:lpstr>
      <vt:lpstr>Convenios ADP_II</vt:lpstr>
      <vt:lpstr>Gestión de riesgos</vt:lpstr>
      <vt:lpstr>data_riesgos</vt:lpstr>
      <vt:lpstr>programas sociales</vt:lpstr>
      <vt:lpstr>Planes de tratamientos</vt:lpstr>
      <vt:lpstr>Planes tratamientos</vt:lpstr>
      <vt:lpstr>datos_graficos</vt:lpstr>
      <vt:lpstr>'03-  ESTADO REGIONES'!Área_de_impresión</vt:lpstr>
      <vt:lpstr>'Convenios ADP'!Área_de_impresión</vt:lpstr>
      <vt:lpstr>'Convenios ADP_II'!Área_de_impresión</vt:lpstr>
      <vt:lpstr>'Ev Proveedores'!Área_de_impresión</vt:lpstr>
      <vt:lpstr>'Gestión de riesgos'!Área_de_impresión</vt:lpstr>
      <vt:lpstr>'Planes de tratamientos'!Área_de_impresión</vt:lpstr>
      <vt:lpstr>Portada!Área_de_impresión</vt:lpstr>
      <vt:lpstr>'programas sociales'!Área_de_impresión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2025-06-03T19:27:17Z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