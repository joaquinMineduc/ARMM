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59B6B6C8-9ED8-4B7A-8D02-CB699EC0B708}" xr6:coauthVersionLast="47" xr6:coauthVersionMax="47" xr10:uidLastSave="{00000000-0000-0000-0000-000000000000}"/>
  <bookViews>
    <workbookView xWindow="-120" yWindow="-120" windowWidth="29040" windowHeight="15720" tabRatio="719" firstSheet="1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state="hidden" r:id="rId9"/>
    <sheet name="Convenios ADP_II" sheetId="54" state="hidden" r:id="rId10"/>
    <sheet name="Gestión de riesgos" sheetId="48" r:id="rId11"/>
    <sheet name="data_riesgos" sheetId="49" state="hidden" r:id="rId12"/>
    <sheet name="Planes de tratamientos" sheetId="55" r:id="rId13"/>
    <sheet name="Planes tratamientos" sheetId="53" state="hidden" r:id="rId14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<sst xmlns="http://schemas.openxmlformats.org/spreadsheetml/2006/main" count="281" uniqueCount="170">
  <si>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</si>
  <si>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</si>
  <si>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</si>
  <si>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</si>
  <si>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</si>
  <si>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</si>
  <si>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</si>
  <si>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</si>
  <si>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</si>
  <si>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</si>
  <si>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</si>
  <si>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</si>
  <si>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</si>
  <si>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</si>
  <si>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</si>
  <si>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</si>
  <si>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</si>
  <si>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</si>
  <si>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</si>
  <si>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</si>
  <si>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</si>
  <si>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</si>
  <si>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</si>
  <si>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</si>
  <si>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</si>
  <si>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</si>
  <si>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</si>
  <si>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</si>
  <si>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</si>
  <si>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</si>
  <si>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</si>
  <si>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</si>
  <si>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</si>
  <si>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</si>
  <si>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</si>
  <si>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</si>
  <si>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</si>
  <si>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</si>
  <si>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</si>
  <si>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</si>
  <si>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</si>
  <si>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</si>
  <si>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</si>
  <si>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</si>
  <si>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</si>
  <si>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</si>
  <si>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</si>
  <si>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</si>
  <si>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</si>
  <si>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</si>
  <si>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</si>
  <si>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</si>
  <si>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</si>
  <si>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</si>
  <si>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</si>
  <si>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</si>
  <si>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</si>
  <si>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</si>
  <si>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</si>
  <si>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</si>
  <si>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</si>
  <si>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</si>
  <si>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</si>
  <si>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</si>
  <si>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</si>
  <si>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</si>
  <si>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</si>
  <si>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</si>
  <si>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</si>
  <si>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</si>
  <si>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</si>
  <si>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</si>
  <si>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</si>
  <si>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</si>
  <si>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</si>
  <si>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</si>
  <si>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</si>
  <si>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</si>
  <si>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</si>
  <si>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</si>
  <si>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</si>
  <si>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</si>
  <si>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</si>
  <si>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</si>
  <si>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</si>
  <si>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</si>
  <si>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</si>
  <si>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</si>
  <si>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</si>
  <si>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</si>
  <si>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</si>
  <si>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</si>
  <si>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</si>
  <si>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</si>
  <si>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</si>
  <si>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</si>
  <si>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</si>
  <si>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</si>
  <si>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</si>
  <si>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</si>
  <si>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</si>
  <si>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</si>
  <si>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</si>
  <si>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</si>
  <si>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</si>
  <si>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</si>
  <si>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</si>
  <si>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</si>
  <si>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</si>
  <si>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</si>
  <si>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</si>
  <si>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</si>
  <si>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</si>
  <si>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</si>
  <si>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</si>
  <si>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</si>
  <si>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</si>
  <si>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</si>
  <si>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</si>
  <si>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</si>
  <si>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</si>
  <si>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</si>
  <si>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</si>
  <si>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</si>
  <si>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</si>
  <si>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</si>
  <si>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</si>
  <si>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</si>
  <si>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</si>
  <si>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</si>
  <si>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</si>
  <si>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</si>
  <si>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</si>
  <si>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</si>
  <si>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</si>
  <si>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</si>
  <si>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</si>
  <si>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</si>
  <si>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</si>
  <si>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</si>
  <si>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</si>
  <si>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</si>
  <si>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</si>
  <si>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</si>
  <si>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</si>
  <si>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</si>
  <si>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</si>
  <si>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</si>
  <si>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</si>
  <si>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</si>
  <si>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</si>
  <si>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</si>
  <si>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</si>
  <si>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</si>
  <si>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</si>
  <si>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</si>
  <si>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</si>
  <si>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</si>
  <si>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</si>
  <si>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</si>
  <si>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</si>
  <si>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</si>
  <si>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</si>
  <si>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</si>
  <si>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</si>
  <si>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</si>
  <si>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</si>
  <si>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</si>
  <si>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</si>
  <si>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Fecha de nombramiento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</si>
</sst>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</fills>
  <borders count="3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9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1" fillId="6" borderId="8" xfId="0" applyFont="1" applyFill="1" applyBorder="1" applyAlignment="1">
      <alignment horizontal="center" vertical="center"/>
    </xf>
    <xf numFmtId="0" fontId="33" fillId="6" borderId="12" xfId="0" applyFont="1" applyFill="1" applyBorder="1"/>
    <xf numFmtId="0" fontId="32" fillId="6" borderId="13" xfId="0" applyFont="1" applyFill="1" applyBorder="1" applyAlignment="1">
      <alignment horizontal="center" vertical="center"/>
    </xf>
    <xf numFmtId="0" fontId="32" fillId="6" borderId="14" xfId="0" applyFont="1" applyFill="1" applyBorder="1" applyAlignment="1">
      <alignment horizontal="center" vertical="center"/>
    </xf>
    <xf numFmtId="0" fontId="33" fillId="0" borderId="0" xfId="0" applyFont="1"/>
    <xf numFmtId="0" fontId="31" fillId="0" borderId="0" xfId="0" applyFont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2" fillId="0" borderId="0" xfId="0" applyFont="1"/>
    <xf numFmtId="0" fontId="33" fillId="6" borderId="2" xfId="0" applyFont="1" applyFill="1" applyBorder="1" applyAlignment="1">
      <alignment vertical="center"/>
    </xf>
    <xf numFmtId="0" fontId="33" fillId="6" borderId="2" xfId="0" applyFont="1" applyFill="1" applyBorder="1"/>
    <xf numFmtId="0" fontId="30" fillId="6" borderId="2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31" fillId="6" borderId="3" xfId="0" applyFont="1" applyFill="1" applyBorder="1" applyAlignment="1">
      <alignment horizontal="left" vertical="center"/>
    </xf>
    <xf numFmtId="0" fontId="31" fillId="6" borderId="9" xfId="0" applyFont="1" applyFill="1" applyBorder="1" applyAlignment="1">
      <alignment horizontal="center" vertical="center"/>
    </xf>
    <xf numFmtId="0" fontId="30" fillId="6" borderId="7" xfId="0" applyFont="1" applyFill="1" applyBorder="1" applyAlignment="1">
      <alignment horizontal="center" vertical="center"/>
    </xf>
    <xf numFmtId="0" fontId="34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/>
    </xf>
    <xf numFmtId="0" fontId="28" fillId="8" borderId="63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/>
    </xf>
    <xf numFmtId="0" fontId="28" fillId="9" borderId="63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31" fillId="0" borderId="10" xfId="0" applyFont="1" applyBorder="1" applyAlignment="1">
      <alignment horizontal="left"/>
    </xf>
    <xf numFmtId="0" fontId="0" fillId="0" borderId="51" xfId="0" applyBorder="1"/>
    <xf numFmtId="0" fontId="0" fillId="0" borderId="46" xfId="0" applyBorder="1"/>
    <xf numFmtId="0" fontId="0" fillId="0" borderId="47" xfId="0" applyBorder="1"/>
    <xf numFmtId="0" fontId="0" fillId="0" borderId="53" xfId="0" applyBorder="1"/>
    <xf numFmtId="0" fontId="0" fillId="0" borderId="45" xfId="0" applyBorder="1"/>
    <xf numFmtId="0" fontId="0" fillId="0" borderId="52" xfId="0" applyBorder="1"/>
    <xf numFmtId="0" fontId="30" fillId="0" borderId="46" xfId="0" applyFont="1" applyBorder="1" applyAlignment="1">
      <alignment vertical="top"/>
    </xf>
    <xf numFmtId="0" fontId="30" fillId="0" borderId="47" xfId="0" applyFont="1" applyBorder="1" applyAlignment="1">
      <alignment vertical="top"/>
    </xf>
    <xf numFmtId="0" fontId="30" fillId="0" borderId="45" xfId="0" applyFont="1" applyBorder="1" applyAlignment="1">
      <alignment vertical="top"/>
    </xf>
    <xf numFmtId="0" fontId="0" fillId="0" borderId="57" xfId="0" applyBorder="1"/>
    <xf numFmtId="0" fontId="0" fillId="0" borderId="59" xfId="0" applyBorder="1"/>
    <xf numFmtId="0" fontId="0" fillId="0" borderId="50" xfId="0" applyBorder="1"/>
    <xf numFmtId="0" fontId="0" fillId="0" borderId="64" xfId="0" applyBorder="1"/>
    <xf numFmtId="0" fontId="30" fillId="0" borderId="64" xfId="0" applyFont="1" applyBorder="1" applyAlignment="1">
      <alignment vertical="top"/>
    </xf>
    <xf numFmtId="0" fontId="22" fillId="0" borderId="46" xfId="0" applyFont="1" applyBorder="1" applyAlignment="1">
      <alignment vertical="center"/>
    </xf>
    <xf numFmtId="0" fontId="22" fillId="0" borderId="45" xfId="0" applyFont="1" applyBorder="1" applyAlignment="1">
      <alignment vertical="center"/>
    </xf>
    <xf numFmtId="0" fontId="30" fillId="0" borderId="49" xfId="0" applyFont="1" applyBorder="1" applyAlignment="1">
      <alignment vertical="top"/>
    </xf>
    <xf numFmtId="0" fontId="30" fillId="0" borderId="55" xfId="0" applyFont="1" applyBorder="1" applyAlignment="1">
      <alignment vertical="top"/>
    </xf>
    <xf numFmtId="0" fontId="0" fillId="0" borderId="65" xfId="0" applyBorder="1"/>
    <xf numFmtId="0" fontId="0" fillId="0" borderId="66" xfId="0" applyBorder="1"/>
    <xf numFmtId="0" fontId="0" fillId="0" borderId="48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58" xfId="0" applyBorder="1"/>
    <xf numFmtId="0" fontId="0" fillId="0" borderId="49" xfId="0" applyBorder="1"/>
    <xf numFmtId="0" fontId="0" fillId="0" borderId="54" xfId="0" applyBorder="1"/>
    <xf numFmtId="0" fontId="0" fillId="0" borderId="71" xfId="0" applyBorder="1"/>
    <xf numFmtId="0" fontId="0" fillId="0" borderId="72" xfId="0" applyBorder="1"/>
    <xf numFmtId="0" fontId="22" fillId="0" borderId="64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0" fillId="0" borderId="49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64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58" xfId="0" applyBorder="1" applyAlignment="1">
      <alignment vertical="center" wrapText="1"/>
    </xf>
    <xf numFmtId="0" fontId="0" fillId="0" borderId="45" xfId="0" applyBorder="1" applyAlignment="1">
      <alignment vertical="center" wrapText="1"/>
    </xf>
    <xf numFmtId="0" fontId="0" fillId="0" borderId="74" xfId="0" applyBorder="1"/>
    <xf numFmtId="0" fontId="0" fillId="0" borderId="52" xfId="0" applyBorder="1" applyAlignment="1">
      <alignment vertical="center" wrapText="1"/>
    </xf>
    <xf numFmtId="0" fontId="22" fillId="0" borderId="53" xfId="0" applyFont="1" applyBorder="1" applyAlignment="1">
      <alignment vertical="center"/>
    </xf>
    <xf numFmtId="0" fontId="30" fillId="0" borderId="53" xfId="0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0" fontId="0" fillId="0" borderId="75" xfId="0" applyBorder="1"/>
    <xf numFmtId="0" fontId="0" fillId="0" borderId="76" xfId="0" applyBorder="1"/>
    <xf numFmtId="0" fontId="0" fillId="0" borderId="47" xfId="0" applyBorder="1" applyAlignment="1">
      <alignment vertical="center" wrapText="1"/>
    </xf>
    <xf numFmtId="0" fontId="0" fillId="0" borderId="77" xfId="0" applyBorder="1"/>
    <xf numFmtId="0" fontId="0" fillId="0" borderId="78" xfId="0" applyBorder="1"/>
    <xf numFmtId="0" fontId="38" fillId="0" borderId="80" xfId="0" applyFont="1" applyBorder="1"/>
    <xf numFmtId="0" fontId="10" fillId="0" borderId="81" xfId="0" applyFont="1" applyBorder="1"/>
    <xf numFmtId="0" fontId="10" fillId="0" borderId="82" xfId="0" applyFont="1" applyBorder="1"/>
    <xf numFmtId="0" fontId="10" fillId="0" borderId="80" xfId="0" applyFont="1" applyBorder="1"/>
    <xf numFmtId="0" fontId="10" fillId="0" borderId="83" xfId="0" applyFont="1" applyBorder="1"/>
    <xf numFmtId="0" fontId="10" fillId="0" borderId="84" xfId="0" applyFont="1" applyBorder="1"/>
    <xf numFmtId="0" fontId="0" fillId="0" borderId="53" xfId="0" applyBorder="1" applyAlignment="1">
      <alignment horizontal="center"/>
    </xf>
    <xf numFmtId="0" fontId="37" fillId="0" borderId="58" xfId="0" applyFont="1" applyBorder="1" applyAlignment="1">
      <alignment vertical="center"/>
    </xf>
    <xf numFmtId="0" fontId="41" fillId="0" borderId="1" xfId="0" applyFont="1" applyBorder="1" applyAlignment="1">
      <alignment horizontal="center" vertical="center"/>
    </xf>
    <xf numFmtId="0" fontId="0" fillId="0" borderId="88" xfId="0" applyBorder="1"/>
    <xf numFmtId="0" fontId="0" fillId="0" borderId="90" xfId="0" applyBorder="1"/>
    <xf numFmtId="0" fontId="0" fillId="0" borderId="92" xfId="0" applyBorder="1"/>
    <xf numFmtId="0" fontId="0" fillId="0" borderId="93" xfId="0" applyBorder="1"/>
    <xf numFmtId="0" fontId="41" fillId="0" borderId="1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97" xfId="0" applyBorder="1"/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44" fillId="0" borderId="50" xfId="0" applyFont="1" applyBorder="1" applyAlignment="1">
      <alignment horizontal="center"/>
    </xf>
    <xf numFmtId="0" fontId="45" fillId="0" borderId="50" xfId="0" applyFont="1" applyBorder="1" applyAlignment="1">
      <alignment horizontal="center" vertical="top"/>
    </xf>
    <xf numFmtId="0" fontId="0" fillId="0" borderId="104" xfId="0" applyBorder="1"/>
    <xf numFmtId="0" fontId="0" fillId="0" borderId="95" xfId="0" applyBorder="1"/>
    <xf numFmtId="0" fontId="0" fillId="0" borderId="105" xfId="0" applyBorder="1"/>
    <xf numFmtId="0" fontId="0" fillId="0" borderId="108" xfId="0" applyBorder="1"/>
    <xf numFmtId="0" fontId="0" fillId="0" borderId="109" xfId="0" applyBorder="1"/>
    <xf numFmtId="0" fontId="0" fillId="0" borderId="112" xfId="0" applyBorder="1"/>
    <xf numFmtId="0" fontId="41" fillId="0" borderId="33" xfId="0" applyFont="1" applyBorder="1" applyAlignment="1">
      <alignment horizontal="center" vertical="center"/>
    </xf>
    <xf numFmtId="0" fontId="41" fillId="0" borderId="35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 wrapText="1"/>
    </xf>
    <xf numFmtId="0" fontId="0" fillId="0" borderId="11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23" xfId="0" applyBorder="1"/>
    <xf numFmtId="0" fontId="0" fillId="0" borderId="91" xfId="0" applyBorder="1"/>
    <xf numFmtId="0" fontId="0" fillId="0" borderId="124" xfId="0" applyBorder="1"/>
    <xf numFmtId="0" fontId="0" fillId="0" borderId="131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2" fillId="0" borderId="0" xfId="0" applyFont="1" applyAlignment="1">
      <alignment vertical="center" textRotation="90"/>
    </xf>
    <xf numFmtId="0" fontId="3" fillId="4" borderId="54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top" wrapText="1"/>
    </xf>
    <xf numFmtId="17" fontId="24" fillId="4" borderId="59" xfId="0" applyNumberFormat="1" applyFont="1" applyFill="1" applyBorder="1" applyAlignment="1">
      <alignment vertical="top" wrapText="1"/>
    </xf>
    <xf numFmtId="0" fontId="0" fillId="0" borderId="136" xfId="0" applyBorder="1"/>
    <xf numFmtId="0" fontId="0" fillId="0" borderId="137" xfId="0" applyBorder="1"/>
    <xf numFmtId="0" fontId="3" fillId="0" borderId="75" xfId="0" applyFont="1" applyBorder="1" applyAlignment="1">
      <alignment vertical="center"/>
    </xf>
    <xf numFmtId="0" fontId="23" fillId="0" borderId="141" xfId="0" applyFont="1" applyBorder="1" applyAlignment="1">
      <alignment vertical="top" wrapText="1"/>
    </xf>
    <xf numFmtId="17" fontId="24" fillId="0" borderId="141" xfId="0" applyNumberFormat="1" applyFont="1" applyBorder="1" applyAlignment="1">
      <alignment vertical="top" wrapText="1"/>
    </xf>
    <xf numFmtId="0" fontId="0" fillId="0" borderId="142" xfId="0" applyBorder="1"/>
    <xf numFmtId="0" fontId="41" fillId="0" borderId="6" xfId="0" applyFont="1" applyBorder="1" applyAlignment="1">
      <alignment horizontal="center" vertical="center"/>
    </xf>
    <xf numFmtId="0" fontId="0" fillId="0" borderId="148" xfId="0" applyBorder="1"/>
    <xf numFmtId="0" fontId="41" fillId="0" borderId="14" xfId="0" applyFont="1" applyBorder="1" applyAlignment="1">
      <alignment horizontal="center" vertical="center"/>
    </xf>
    <xf numFmtId="0" fontId="41" fillId="0" borderId="4" xfId="0" applyFont="1" applyBorder="1" applyAlignment="1">
      <alignment horizontal="center" vertical="center"/>
    </xf>
    <xf numFmtId="0" fontId="41" fillId="0" borderId="146" xfId="0" applyFont="1" applyBorder="1" applyAlignment="1">
      <alignment horizontal="center" vertical="center"/>
    </xf>
    <xf numFmtId="0" fontId="41" fillId="0" borderId="154" xfId="0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41" fillId="0" borderId="156" xfId="0" applyFont="1" applyBorder="1" applyAlignment="1">
      <alignment horizontal="left" vertical="center"/>
    </xf>
    <xf numFmtId="0" fontId="41" fillId="0" borderId="157" xfId="0" applyFont="1" applyBorder="1" applyAlignment="1">
      <alignment horizontal="left" vertical="center"/>
    </xf>
    <xf numFmtId="0" fontId="41" fillId="0" borderId="158" xfId="0" applyFont="1" applyBorder="1" applyAlignment="1">
      <alignment horizontal="left" vertical="center"/>
    </xf>
    <xf numFmtId="0" fontId="41" fillId="0" borderId="96" xfId="0" applyFont="1" applyBorder="1" applyAlignment="1">
      <alignment horizontal="center" vertical="center"/>
    </xf>
    <xf numFmtId="0" fontId="0" fillId="0" borderId="58" xfId="0" applyBorder="1" applyAlignment="1">
      <alignment vertical="center"/>
    </xf>
    <xf numFmtId="0" fontId="0" fillId="0" borderId="86" xfId="0" applyBorder="1"/>
    <xf numFmtId="0" fontId="0" fillId="0" borderId="34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50" fillId="13" borderId="166" xfId="0" applyFont="1" applyFill="1" applyBorder="1" applyAlignment="1">
      <alignment horizontal="center" vertical="center"/>
    </xf>
    <xf numFmtId="0" fontId="41" fillId="0" borderId="149" xfId="0" applyFont="1" applyBorder="1" applyAlignment="1">
      <alignment horizontal="center" vertical="center"/>
    </xf>
    <xf numFmtId="0" fontId="41" fillId="0" borderId="150" xfId="0" applyFont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0" fontId="41" fillId="0" borderId="34" xfId="0" applyFont="1" applyBorder="1" applyAlignment="1">
      <alignment vertical="center"/>
    </xf>
    <xf numFmtId="0" fontId="41" fillId="0" borderId="37" xfId="0" applyFont="1" applyBorder="1" applyAlignment="1">
      <alignment vertical="center"/>
    </xf>
    <xf numFmtId="0" fontId="22" fillId="0" borderId="58" xfId="0" applyFont="1" applyBorder="1" applyAlignment="1">
      <alignment vertical="center"/>
    </xf>
    <xf numFmtId="0" fontId="22" fillId="0" borderId="51" xfId="0" applyFont="1" applyBorder="1" applyAlignment="1">
      <alignment vertical="center"/>
    </xf>
    <xf numFmtId="0" fontId="35" fillId="0" borderId="74" xfId="0" applyFont="1" applyBorder="1" applyAlignment="1">
      <alignment horizontal="center" vertical="center" wrapText="1"/>
    </xf>
    <xf numFmtId="0" fontId="0" fillId="0" borderId="170" xfId="0" applyBorder="1"/>
    <xf numFmtId="0" fontId="59" fillId="16" borderId="1" xfId="0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 vertical="center"/>
    </xf>
    <xf numFmtId="0" fontId="60" fillId="0" borderId="61" xfId="0" applyFont="1" applyBorder="1" applyAlignment="1">
      <alignment horizontal="center" vertical="center"/>
    </xf>
    <xf numFmtId="0" fontId="60" fillId="0" borderId="33" xfId="0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 wrapText="1"/>
    </xf>
    <xf numFmtId="0" fontId="33" fillId="0" borderId="45" xfId="0" applyFont="1" applyBorder="1" applyAlignment="1">
      <alignment wrapText="1"/>
    </xf>
    <xf numFmtId="0" fontId="18" fillId="0" borderId="45" xfId="0" applyFont="1" applyBorder="1"/>
    <xf numFmtId="0" fontId="16" fillId="0" borderId="45" xfId="0" applyFont="1" applyBorder="1"/>
    <xf numFmtId="0" fontId="62" fillId="0" borderId="45" xfId="0" applyFont="1" applyBorder="1"/>
    <xf numFmtId="0" fontId="62" fillId="0" borderId="45" xfId="0" applyFont="1" applyBorder="1" applyAlignment="1">
      <alignment vertical="center"/>
    </xf>
    <xf numFmtId="0" fontId="63" fillId="0" borderId="45" xfId="0" applyFont="1" applyBorder="1" applyAlignment="1">
      <alignment vertical="center" wrapText="1"/>
    </xf>
    <xf numFmtId="0" fontId="63" fillId="0" borderId="45" xfId="0" applyFont="1" applyBorder="1" applyAlignment="1">
      <alignment horizontal="right" vertical="top" wrapText="1"/>
    </xf>
    <xf numFmtId="0" fontId="61" fillId="0" borderId="45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5" xfId="0" applyBorder="1" applyAlignment="1">
      <alignment vertical="center"/>
    </xf>
    <xf numFmtId="0" fontId="0" fillId="0" borderId="50" xfId="0" applyBorder="1" applyAlignment="1">
      <alignment vertical="center"/>
    </xf>
    <xf numFmtId="0" fontId="0" fillId="0" borderId="151" xfId="0" applyBorder="1"/>
    <xf numFmtId="0" fontId="0" fillId="0" borderId="172" xfId="0" applyBorder="1"/>
    <xf numFmtId="0" fontId="0" fillId="0" borderId="134" xfId="0" applyBorder="1"/>
    <xf numFmtId="0" fontId="0" fillId="0" borderId="175" xfId="0" applyBorder="1"/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77" xfId="0" applyFont="1" applyFill="1" applyBorder="1"/>
    <xf numFmtId="0" fontId="8" fillId="3" borderId="176" xfId="0" applyFont="1" applyFill="1" applyBorder="1"/>
    <xf numFmtId="0" fontId="8" fillId="3" borderId="178" xfId="0" applyFont="1" applyFill="1" applyBorder="1"/>
    <xf numFmtId="0" fontId="8" fillId="3" borderId="7" xfId="0" applyFont="1" applyFill="1" applyBorder="1"/>
    <xf numFmtId="0" fontId="27" fillId="3" borderId="172" xfId="0" applyFont="1" applyFill="1" applyBorder="1" applyAlignment="1">
      <alignment horizontal="center"/>
    </xf>
    <xf numFmtId="0" fontId="8" fillId="3" borderId="172" xfId="0" applyFont="1" applyFill="1" applyBorder="1"/>
    <xf numFmtId="0" fontId="8" fillId="3" borderId="179" xfId="0" applyFont="1" applyFill="1" applyBorder="1"/>
    <xf numFmtId="0" fontId="8" fillId="3" borderId="180" xfId="0" applyFont="1" applyFill="1" applyBorder="1"/>
    <xf numFmtId="0" fontId="8" fillId="3" borderId="182" xfId="0" applyFont="1" applyFill="1" applyBorder="1"/>
    <xf numFmtId="0" fontId="8" fillId="3" borderId="184" xfId="0" applyFont="1" applyFill="1" applyBorder="1"/>
    <xf numFmtId="0" fontId="8" fillId="3" borderId="185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48" xfId="0" applyFont="1" applyFill="1" applyBorder="1"/>
    <xf numFmtId="0" fontId="8" fillId="3" borderId="188" xfId="0" applyFont="1" applyFill="1" applyBorder="1"/>
    <xf numFmtId="0" fontId="8" fillId="3" borderId="59" xfId="0" applyFont="1" applyFill="1" applyBorder="1"/>
    <xf numFmtId="0" fontId="8" fillId="3" borderId="174" xfId="0" applyFont="1" applyFill="1" applyBorder="1"/>
    <xf numFmtId="0" fontId="8" fillId="3" borderId="189" xfId="0" applyFont="1" applyFill="1" applyBorder="1"/>
    <xf numFmtId="0" fontId="8" fillId="3" borderId="57" xfId="0" applyFont="1" applyFill="1" applyBorder="1"/>
    <xf numFmtId="0" fontId="8" fillId="3" borderId="164" xfId="0" applyFont="1" applyFill="1" applyBorder="1"/>
    <xf numFmtId="0" fontId="8" fillId="3" borderId="71" xfId="0" applyFont="1" applyFill="1" applyBorder="1"/>
    <xf numFmtId="0" fontId="32" fillId="6" borderId="13" xfId="0" applyFont="1" applyFill="1" applyBorder="1" applyAlignment="1">
      <alignment vertical="center"/>
    </xf>
    <xf numFmtId="0" fontId="68" fillId="0" borderId="48" xfId="0" applyFont="1" applyBorder="1" applyAlignment="1">
      <alignment horizontal="left"/>
    </xf>
    <xf numFmtId="0" fontId="68" fillId="0" borderId="50" xfId="0" applyFont="1" applyBorder="1" applyAlignment="1">
      <alignment horizontal="left"/>
    </xf>
    <xf numFmtId="0" fontId="68" fillId="0" borderId="50" xfId="0" applyFont="1" applyBorder="1" applyAlignment="1">
      <alignment horizontal="left" vertical="top"/>
    </xf>
    <xf numFmtId="0" fontId="0" fillId="0" borderId="45" xfId="0" applyBorder="1" applyAlignment="1">
      <alignment horizontal="left"/>
    </xf>
    <xf numFmtId="0" fontId="68" fillId="0" borderId="45" xfId="0" applyFont="1" applyBorder="1"/>
    <xf numFmtId="0" fontId="68" fillId="0" borderId="46" xfId="0" applyFont="1" applyBorder="1"/>
    <xf numFmtId="0" fontId="68" fillId="0" borderId="45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6" xfId="0" applyBorder="1" applyAlignment="1">
      <alignment horizontal="left"/>
    </xf>
    <xf numFmtId="0" fontId="68" fillId="0" borderId="45" xfId="0" applyFont="1" applyBorder="1" applyAlignment="1">
      <alignment horizontal="left"/>
    </xf>
    <xf numFmtId="0" fontId="68" fillId="0" borderId="46" xfId="0" applyFont="1" applyBorder="1" applyAlignment="1">
      <alignment horizontal="left"/>
    </xf>
    <xf numFmtId="0" fontId="67" fillId="0" borderId="46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67" fillId="0" borderId="49" xfId="0" applyFont="1" applyBorder="1" applyAlignment="1">
      <alignment horizontal="left"/>
    </xf>
    <xf numFmtId="0" fontId="68" fillId="0" borderId="47" xfId="0" applyFont="1" applyBorder="1" applyAlignment="1">
      <alignment horizontal="left"/>
    </xf>
    <xf numFmtId="0" fontId="68" fillId="0" borderId="46" xfId="0" applyFont="1" applyBorder="1" applyAlignment="1">
      <alignment horizontal="left" vertical="top"/>
    </xf>
    <xf numFmtId="0" fontId="0" fillId="0" borderId="45" xfId="0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68" fillId="0" borderId="45" xfId="0" applyFont="1" applyBorder="1" applyAlignment="1">
      <alignment horizontal="left" vertical="top"/>
    </xf>
    <xf numFmtId="0" fontId="0" fillId="0" borderId="58" xfId="0" applyBorder="1" applyAlignment="1">
      <alignment horizontal="left" vertical="top"/>
    </xf>
    <xf numFmtId="0" fontId="0" fillId="0" borderId="190" xfId="0" applyBorder="1"/>
    <xf numFmtId="0" fontId="0" fillId="0" borderId="52" xfId="0" applyBorder="1" applyAlignment="1">
      <alignment horizontal="left"/>
    </xf>
    <xf numFmtId="0" fontId="0" fillId="0" borderId="47" xfId="0" applyBorder="1" applyAlignment="1">
      <alignment horizontal="left" vertical="top"/>
    </xf>
    <xf numFmtId="0" fontId="0" fillId="0" borderId="64" xfId="0" applyBorder="1" applyAlignment="1">
      <alignment horizontal="left" vertical="top"/>
    </xf>
    <xf numFmtId="0" fontId="0" fillId="0" borderId="47" xfId="0" applyBorder="1" applyAlignment="1">
      <alignment horizontal="left"/>
    </xf>
    <xf numFmtId="0" fontId="70" fillId="0" borderId="79" xfId="0" applyFont="1" applyBorder="1"/>
    <xf numFmtId="0" fontId="10" fillId="0" borderId="85" xfId="0" applyFont="1" applyBorder="1"/>
    <xf numFmtId="0" fontId="10" fillId="0" borderId="64" xfId="0" applyFont="1" applyBorder="1"/>
    <xf numFmtId="0" fontId="10" fillId="0" borderId="58" xfId="0" applyFont="1" applyBorder="1"/>
    <xf numFmtId="0" fontId="10" fillId="0" borderId="191" xfId="0" applyFont="1" applyBorder="1"/>
    <xf numFmtId="0" fontId="63" fillId="0" borderId="192" xfId="0" applyFont="1" applyBorder="1" applyAlignment="1">
      <alignment horizontal="center" vertical="center"/>
    </xf>
    <xf numFmtId="0" fontId="63" fillId="0" borderId="192" xfId="0" applyFont="1" applyBorder="1" applyAlignment="1">
      <alignment horizontal="center" vertical="center" wrapText="1"/>
    </xf>
    <xf numFmtId="0" fontId="63" fillId="0" borderId="138" xfId="0" applyFont="1" applyBorder="1" applyAlignment="1">
      <alignment horizontal="center" vertical="center"/>
    </xf>
    <xf numFmtId="0" fontId="0" fillId="0" borderId="54" xfId="0" applyBorder="1" applyAlignment="1">
      <alignment vertical="center" wrapText="1"/>
    </xf>
    <xf numFmtId="0" fontId="37" fillId="0" borderId="51" xfId="0" applyFont="1" applyBorder="1" applyAlignment="1">
      <alignment vertical="center"/>
    </xf>
    <xf numFmtId="0" fontId="16" fillId="0" borderId="194" xfId="0" applyFont="1" applyBorder="1"/>
    <xf numFmtId="0" fontId="0" fillId="0" borderId="195" xfId="0" applyBorder="1"/>
    <xf numFmtId="0" fontId="0" fillId="0" borderId="196" xfId="0" applyBorder="1"/>
    <xf numFmtId="0" fontId="0" fillId="0" borderId="197" xfId="0" applyBorder="1"/>
    <xf numFmtId="0" fontId="0" fillId="0" borderId="90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59" xfId="0" applyFont="1" applyFill="1" applyBorder="1" applyAlignment="1">
      <alignment horizontal="left" vertical="center"/>
    </xf>
    <xf numFmtId="0" fontId="12" fillId="3" borderId="59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2" xfId="0" applyFill="1" applyBorder="1"/>
    <xf numFmtId="0" fontId="0" fillId="2" borderId="0" xfId="0" applyFill="1" applyAlignment="1">
      <alignment vertical="top"/>
    </xf>
    <xf numFmtId="0" fontId="0" fillId="2" borderId="199" xfId="0" applyFill="1" applyBorder="1"/>
    <xf numFmtId="0" fontId="0" fillId="2" borderId="182" xfId="0" applyFill="1" applyBorder="1"/>
    <xf numFmtId="0" fontId="9" fillId="0" borderId="151" xfId="0" applyFont="1" applyBorder="1" applyAlignment="1">
      <alignment vertical="center"/>
    </xf>
    <xf numFmtId="0" fontId="12" fillId="0" borderId="152" xfId="0" applyFont="1" applyBorder="1" applyAlignment="1">
      <alignment horizontal="left" vertical="center"/>
    </xf>
    <xf numFmtId="0" fontId="9" fillId="0" borderId="152" xfId="0" applyFont="1" applyBorder="1" applyAlignment="1">
      <alignment horizontal="left" vertical="center"/>
    </xf>
    <xf numFmtId="0" fontId="9" fillId="3" borderId="201" xfId="0" applyFont="1" applyFill="1" applyBorder="1" applyAlignment="1">
      <alignment horizontal="left" vertical="center"/>
    </xf>
    <xf numFmtId="0" fontId="9" fillId="3" borderId="153" xfId="0" applyFont="1" applyFill="1" applyBorder="1" applyAlignment="1">
      <alignment horizontal="left" vertical="center"/>
    </xf>
    <xf numFmtId="0" fontId="9" fillId="0" borderId="172" xfId="0" applyFont="1" applyBorder="1" applyAlignment="1">
      <alignment vertical="center"/>
    </xf>
    <xf numFmtId="0" fontId="0" fillId="3" borderId="179" xfId="0" applyFill="1" applyBorder="1"/>
    <xf numFmtId="0" fontId="9" fillId="0" borderId="199" xfId="0" applyFont="1" applyBorder="1" applyAlignment="1">
      <alignment vertical="center"/>
    </xf>
    <xf numFmtId="0" fontId="12" fillId="0" borderId="182" xfId="0" applyFont="1" applyBorder="1" applyAlignment="1">
      <alignment horizontal="left" vertical="center"/>
    </xf>
    <xf numFmtId="0" fontId="9" fillId="0" borderId="182" xfId="0" applyFont="1" applyBorder="1" applyAlignment="1">
      <alignment horizontal="left" vertical="center"/>
    </xf>
    <xf numFmtId="0" fontId="0" fillId="0" borderId="182" xfId="0" applyBorder="1"/>
    <xf numFmtId="0" fontId="12" fillId="0" borderId="182" xfId="0" applyFont="1" applyBorder="1" applyAlignment="1">
      <alignment vertical="center"/>
    </xf>
    <xf numFmtId="0" fontId="12" fillId="3" borderId="202" xfId="0" applyFont="1" applyFill="1" applyBorder="1" applyAlignment="1">
      <alignment vertical="center"/>
    </xf>
    <xf numFmtId="0" fontId="0" fillId="3" borderId="184" xfId="0" applyFill="1" applyBorder="1"/>
    <xf numFmtId="0" fontId="6" fillId="6" borderId="151" xfId="0" applyFont="1" applyFill="1" applyBorder="1" applyAlignment="1">
      <alignment horizontal="center" vertical="center"/>
    </xf>
    <xf numFmtId="0" fontId="6" fillId="6" borderId="172" xfId="0" applyFont="1" applyFill="1" applyBorder="1" applyAlignment="1">
      <alignment vertical="center"/>
    </xf>
    <xf numFmtId="0" fontId="6" fillId="6" borderId="199" xfId="0" applyFont="1" applyFill="1" applyBorder="1" applyAlignment="1">
      <alignment vertical="center"/>
    </xf>
    <xf numFmtId="0" fontId="9" fillId="3" borderId="203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left" vertical="center"/>
    </xf>
    <xf numFmtId="0" fontId="12" fillId="3" borderId="57" xfId="0" applyFont="1" applyFill="1" applyBorder="1" applyAlignment="1">
      <alignment vertical="center"/>
    </xf>
    <xf numFmtId="0" fontId="12" fillId="3" borderId="204" xfId="0" applyFont="1" applyFill="1" applyBorder="1" applyAlignment="1">
      <alignment vertical="center"/>
    </xf>
    <xf numFmtId="0" fontId="71" fillId="0" borderId="0" xfId="0" applyFont="1" applyAlignment="1">
      <alignment horizontal="center" vertical="center"/>
    </xf>
    <xf numFmtId="0" fontId="71" fillId="0" borderId="182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79" xfId="0" applyBorder="1"/>
    <xf numFmtId="0" fontId="0" fillId="0" borderId="210" xfId="0" applyBorder="1"/>
    <xf numFmtId="0" fontId="0" fillId="0" borderId="187" xfId="0" applyBorder="1"/>
    <xf numFmtId="0" fontId="77" fillId="0" borderId="57" xfId="0" applyFont="1" applyBorder="1"/>
    <xf numFmtId="0" fontId="0" fillId="0" borderId="209" xfId="0" applyBorder="1"/>
    <xf numFmtId="0" fontId="0" fillId="0" borderId="211" xfId="0" applyBorder="1"/>
    <xf numFmtId="0" fontId="0" fillId="0" borderId="204" xfId="0" applyBorder="1"/>
    <xf numFmtId="0" fontId="0" fillId="0" borderId="212" xfId="0" applyBorder="1"/>
    <xf numFmtId="0" fontId="0" fillId="0" borderId="213" xfId="0" applyBorder="1"/>
    <xf numFmtId="0" fontId="0" fillId="0" borderId="214" xfId="0" applyBorder="1"/>
    <xf numFmtId="0" fontId="77" fillId="0" borderId="53" xfId="0" applyFont="1" applyBorder="1"/>
    <xf numFmtId="0" fontId="77" fillId="0" borderId="123" xfId="0" applyFont="1" applyBorder="1"/>
    <xf numFmtId="0" fontId="0" fillId="0" borderId="215" xfId="0" applyBorder="1"/>
    <xf numFmtId="0" fontId="0" fillId="0" borderId="107" xfId="0" applyBorder="1"/>
    <xf numFmtId="0" fontId="0" fillId="0" borderId="216" xfId="0" applyBorder="1"/>
    <xf numFmtId="0" fontId="0" fillId="0" borderId="218" xfId="0" applyBorder="1"/>
    <xf numFmtId="0" fontId="40" fillId="13" borderId="15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 wrapText="1"/>
    </xf>
    <xf numFmtId="0" fontId="40" fillId="13" borderId="147" xfId="0" applyFont="1" applyFill="1" applyBorder="1" applyAlignment="1">
      <alignment horizontal="center" vertical="center"/>
    </xf>
    <xf numFmtId="0" fontId="40" fillId="13" borderId="33" xfId="0" applyFont="1" applyFill="1" applyBorder="1" applyAlignment="1">
      <alignment horizontal="center" vertical="center"/>
    </xf>
    <xf numFmtId="0" fontId="40" fillId="13" borderId="1" xfId="0" applyFont="1" applyFill="1" applyBorder="1" applyAlignment="1">
      <alignment horizontal="center" vertical="center" wrapText="1"/>
    </xf>
    <xf numFmtId="0" fontId="40" fillId="13" borderId="1" xfId="0" applyFont="1" applyFill="1" applyBorder="1" applyAlignment="1">
      <alignment horizontal="center" vertical="center"/>
    </xf>
    <xf numFmtId="0" fontId="40" fillId="13" borderId="34" xfId="0" applyFont="1" applyFill="1" applyBorder="1" applyAlignment="1">
      <alignment horizontal="center" vertical="center"/>
    </xf>
    <xf numFmtId="0" fontId="79" fillId="13" borderId="167" xfId="0" applyFont="1" applyFill="1" applyBorder="1" applyAlignment="1">
      <alignment horizontal="center" vertical="center" wrapText="1"/>
    </xf>
    <xf numFmtId="0" fontId="79" fillId="13" borderId="168" xfId="0" applyFont="1" applyFill="1" applyBorder="1" applyAlignment="1">
      <alignment horizontal="center" vertical="center" wrapText="1"/>
    </xf>
    <xf numFmtId="0" fontId="79" fillId="13" borderId="169" xfId="0" applyFont="1" applyFill="1" applyBorder="1" applyAlignment="1">
      <alignment horizontal="center" vertical="center" wrapText="1"/>
    </xf>
    <xf numFmtId="0" fontId="80" fillId="13" borderId="86" xfId="0" applyFont="1" applyFill="1" applyBorder="1" applyAlignment="1">
      <alignment horizontal="center" vertical="center"/>
    </xf>
    <xf numFmtId="0" fontId="65" fillId="13" borderId="0" xfId="0" applyFont="1" applyFill="1" applyAlignment="1">
      <alignment vertical="center"/>
    </xf>
    <xf numFmtId="0" fontId="64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7" fillId="13" borderId="0" xfId="0" applyNumberFormat="1" applyFont="1" applyFill="1" applyAlignment="1">
      <alignment vertical="top" wrapText="1"/>
    </xf>
    <xf numFmtId="0" fontId="77" fillId="0" borderId="45" xfId="0" applyFont="1" applyBorder="1" applyAlignment="1">
      <alignment horizontal="right" vertical="center"/>
    </xf>
    <xf numFmtId="0" fontId="45" fillId="0" borderId="45" xfId="0" applyFont="1" applyBorder="1" applyAlignment="1">
      <alignment horizontal="center"/>
    </xf>
    <xf numFmtId="0" fontId="75" fillId="0" borderId="45" xfId="0" applyFont="1" applyBorder="1" applyAlignment="1">
      <alignment horizontal="left" vertical="center"/>
    </xf>
    <xf numFmtId="0" fontId="0" fillId="0" borderId="64" xfId="0" applyBorder="1" applyAlignment="1">
      <alignment vertical="center"/>
    </xf>
    <xf numFmtId="0" fontId="0" fillId="0" borderId="227" xfId="0" applyBorder="1" applyAlignment="1">
      <alignment vertical="center"/>
    </xf>
    <xf numFmtId="0" fontId="0" fillId="0" borderId="228" xfId="0" applyBorder="1"/>
    <xf numFmtId="0" fontId="0" fillId="0" borderId="231" xfId="0" applyBorder="1"/>
    <xf numFmtId="0" fontId="0" fillId="0" borderId="232" xfId="0" applyBorder="1" applyAlignment="1">
      <alignment vertical="center"/>
    </xf>
    <xf numFmtId="0" fontId="0" fillId="0" borderId="233" xfId="0" applyBorder="1" applyAlignment="1">
      <alignment vertical="center"/>
    </xf>
    <xf numFmtId="0" fontId="0" fillId="0" borderId="234" xfId="0" applyBorder="1" applyAlignment="1">
      <alignment vertical="center"/>
    </xf>
    <xf numFmtId="0" fontId="75" fillId="0" borderId="235" xfId="0" applyFont="1" applyBorder="1" applyAlignment="1">
      <alignment horizontal="left" vertical="center"/>
    </xf>
    <xf numFmtId="0" fontId="0" fillId="0" borderId="236" xfId="0" applyBorder="1"/>
    <xf numFmtId="0" fontId="77" fillId="0" borderId="213" xfId="0" applyFont="1" applyBorder="1" applyAlignment="1">
      <alignment horizontal="center" vertical="center"/>
    </xf>
    <xf numFmtId="0" fontId="45" fillId="0" borderId="213" xfId="0" applyFont="1" applyBorder="1" applyAlignment="1">
      <alignment horizontal="center"/>
    </xf>
    <xf numFmtId="0" fontId="0" fillId="0" borderId="237" xfId="0" applyBorder="1"/>
    <xf numFmtId="0" fontId="0" fillId="0" borderId="238" xfId="0" applyBorder="1"/>
    <xf numFmtId="0" fontId="0" fillId="0" borderId="52" xfId="0" applyBorder="1" applyAlignment="1">
      <alignment vertical="center"/>
    </xf>
    <xf numFmtId="0" fontId="0" fillId="0" borderId="269" xfId="0" applyBorder="1"/>
    <xf numFmtId="0" fontId="0" fillId="0" borderId="270" xfId="0" applyBorder="1"/>
    <xf numFmtId="0" fontId="0" fillId="0" borderId="188" xfId="0" applyBorder="1"/>
    <xf numFmtId="0" fontId="0" fillId="0" borderId="128" xfId="0" applyBorder="1"/>
    <xf numFmtId="0" fontId="0" fillId="0" borderId="271" xfId="0" applyBorder="1"/>
    <xf numFmtId="0" fontId="0" fillId="0" borderId="135" xfId="0" applyBorder="1"/>
    <xf numFmtId="0" fontId="0" fillId="0" borderId="272" xfId="0" applyBorder="1"/>
    <xf numFmtId="0" fontId="0" fillId="3" borderId="58" xfId="0" applyFill="1" applyBorder="1"/>
    <xf numFmtId="0" fontId="0" fillId="3" borderId="45" xfId="0" applyFill="1" applyBorder="1"/>
    <xf numFmtId="0" fontId="0" fillId="0" borderId="203" xfId="0" applyBorder="1"/>
    <xf numFmtId="0" fontId="0" fillId="0" borderId="277" xfId="0" applyBorder="1"/>
    <xf numFmtId="0" fontId="11" fillId="3" borderId="45" xfId="0" applyFont="1" applyFill="1" applyBorder="1"/>
    <xf numFmtId="0" fontId="83" fillId="3" borderId="45" xfId="0" applyFont="1" applyFill="1" applyBorder="1" applyAlignment="1">
      <alignment horizontal="left" vertical="center"/>
    </xf>
    <xf numFmtId="0" fontId="0" fillId="3" borderId="47" xfId="0" applyFill="1" applyBorder="1"/>
    <xf numFmtId="0" fontId="0" fillId="3" borderId="217" xfId="0" applyFill="1" applyBorder="1"/>
    <xf numFmtId="0" fontId="0" fillId="3" borderId="281" xfId="0" applyFill="1" applyBorder="1"/>
    <xf numFmtId="0" fontId="0" fillId="3" borderId="283" xfId="0" applyFill="1" applyBorder="1"/>
    <xf numFmtId="0" fontId="0" fillId="3" borderId="282" xfId="0" applyFill="1" applyBorder="1"/>
    <xf numFmtId="0" fontId="0" fillId="3" borderId="279" xfId="0" applyFill="1" applyBorder="1"/>
    <xf numFmtId="0" fontId="83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1" fontId="18" fillId="0" borderId="0" xfId="0" applyNumberFormat="1" applyFont="1" applyAlignment="1">
      <alignment horizontal="center" vertical="center"/>
    </xf>
    <xf numFmtId="1" fontId="82" fillId="17" borderId="47" xfId="0" applyNumberFormat="1" applyFont="1" applyFill="1" applyBorder="1" applyAlignment="1">
      <alignment horizontal="center" vertical="center"/>
    </xf>
    <xf numFmtId="1" fontId="18" fillId="17" borderId="47" xfId="0" applyNumberFormat="1" applyFont="1" applyFill="1" applyBorder="1" applyAlignment="1">
      <alignment horizontal="center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49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123" xfId="0" applyFont="1" applyBorder="1" applyAlignment="1">
      <alignment horizontal="center" vertical="center"/>
    </xf>
    <xf numFmtId="0" fontId="0" fillId="0" borderId="287" xfId="0" applyBorder="1"/>
    <xf numFmtId="0" fontId="0" fillId="0" borderId="126" xfId="0" applyBorder="1"/>
    <xf numFmtId="0" fontId="45" fillId="0" borderId="123" xfId="0" applyFont="1" applyBorder="1" applyAlignment="1">
      <alignment horizontal="left" vertical="center"/>
    </xf>
    <xf numFmtId="0" fontId="45" fillId="0" borderId="72" xfId="0" applyFont="1" applyBorder="1" applyAlignment="1">
      <alignment horizontal="center" vertical="center"/>
    </xf>
    <xf numFmtId="0" fontId="11" fillId="3" borderId="285" xfId="0" applyFont="1" applyFill="1" applyBorder="1"/>
    <xf numFmtId="0" fontId="11" fillId="3" borderId="71" xfId="0" applyFont="1" applyFill="1" applyBorder="1"/>
    <xf numFmtId="0" fontId="85" fillId="0" borderId="288" xfId="0" applyFont="1" applyBorder="1" applyAlignment="1">
      <alignment horizontal="left" vertical="center"/>
    </xf>
    <xf numFmtId="0" fontId="45" fillId="0" borderId="203" xfId="0" applyFont="1" applyBorder="1" applyAlignment="1">
      <alignment horizontal="center" vertical="center"/>
    </xf>
    <xf numFmtId="0" fontId="45" fillId="0" borderId="216" xfId="0" applyFont="1" applyBorder="1" applyAlignment="1">
      <alignment horizontal="center" vertical="center"/>
    </xf>
    <xf numFmtId="0" fontId="45" fillId="0" borderId="57" xfId="0" applyFont="1" applyBorder="1" applyAlignment="1">
      <alignment horizontal="center"/>
    </xf>
    <xf numFmtId="0" fontId="0" fillId="3" borderId="290" xfId="0" applyFill="1" applyBorder="1"/>
    <xf numFmtId="0" fontId="0" fillId="3" borderId="46" xfId="0" applyFill="1" applyBorder="1"/>
    <xf numFmtId="1" fontId="18" fillId="17" borderId="50" xfId="0" applyNumberFormat="1" applyFont="1" applyFill="1" applyBorder="1" applyAlignment="1">
      <alignment horizontal="center" vertical="center"/>
    </xf>
    <xf numFmtId="0" fontId="11" fillId="3" borderId="53" xfId="0" applyFont="1" applyFill="1" applyBorder="1" applyAlignment="1">
      <alignment horizontal="center" vertical="center"/>
    </xf>
    <xf numFmtId="1" fontId="82" fillId="17" borderId="50" xfId="0" applyNumberFormat="1" applyFont="1" applyFill="1" applyBorder="1" applyAlignment="1">
      <alignment horizontal="center" vertical="center"/>
    </xf>
    <xf numFmtId="0" fontId="0" fillId="3" borderId="291" xfId="0" applyFill="1" applyBorder="1"/>
    <xf numFmtId="0" fontId="0" fillId="3" borderId="50" xfId="0" applyFill="1" applyBorder="1"/>
    <xf numFmtId="0" fontId="85" fillId="0" borderId="278" xfId="0" applyFont="1" applyBorder="1" applyAlignment="1">
      <alignment vertical="center"/>
    </xf>
    <xf numFmtId="0" fontId="0" fillId="0" borderId="280" xfId="0" applyBorder="1"/>
    <xf numFmtId="0" fontId="0" fillId="3" borderId="284" xfId="0" applyFill="1" applyBorder="1"/>
    <xf numFmtId="0" fontId="0" fillId="0" borderId="292" xfId="0" applyBorder="1"/>
    <xf numFmtId="14" fontId="60" fillId="0" borderId="6" xfId="0" applyNumberFormat="1" applyFont="1" applyBorder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14" fontId="60" fillId="0" borderId="44" xfId="0" applyNumberFormat="1" applyFont="1" applyBorder="1" applyAlignment="1">
      <alignment horizontal="center" vertical="center"/>
    </xf>
    <xf numFmtId="14" fontId="60" fillId="0" borderId="34" xfId="0" applyNumberFormat="1" applyFont="1" applyBorder="1" applyAlignment="1">
      <alignment horizontal="center" vertical="center"/>
    </xf>
    <xf numFmtId="14" fontId="60" fillId="0" borderId="37" xfId="0" applyNumberFormat="1" applyFont="1" applyBorder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16" fillId="0" borderId="294" xfId="0" applyFont="1" applyBorder="1"/>
    <xf numFmtId="0" fontId="69" fillId="0" borderId="293" xfId="0" applyFont="1" applyBorder="1" applyAlignment="1">
      <alignment horizontal="left" vertical="center"/>
    </xf>
    <xf numFmtId="0" fontId="61" fillId="0" borderId="0" xfId="0" applyFont="1" applyAlignment="1">
      <alignment horizontal="left" vertical="top" wrapText="1"/>
    </xf>
    <xf numFmtId="0" fontId="61" fillId="0" borderId="293" xfId="0" applyFont="1" applyBorder="1" applyAlignment="1">
      <alignment horizontal="left" vertical="top" wrapText="1"/>
    </xf>
    <xf numFmtId="0" fontId="61" fillId="0" borderId="0" xfId="0" applyFont="1" applyAlignment="1">
      <alignment horizontal="left" vertical="center" wrapText="1"/>
    </xf>
    <xf numFmtId="0" fontId="61" fillId="0" borderId="293" xfId="0" applyFont="1" applyBorder="1" applyAlignment="1">
      <alignment horizontal="left" vertical="center" wrapText="1"/>
    </xf>
    <xf numFmtId="0" fontId="0" fillId="0" borderId="47" xfId="0" applyBorder="1" applyAlignment="1">
      <alignment vertical="center"/>
    </xf>
    <xf numFmtId="0" fontId="63" fillId="0" borderId="45" xfId="0" applyFont="1" applyBorder="1" applyAlignment="1">
      <alignment horizontal="center" vertical="center" wrapText="1"/>
    </xf>
    <xf numFmtId="0" fontId="70" fillId="0" borderId="45" xfId="0" applyFont="1" applyBorder="1" applyAlignment="1">
      <alignment horizontal="center" vertical="center"/>
    </xf>
    <xf numFmtId="0" fontId="61" fillId="0" borderId="213" xfId="0" applyFont="1" applyBorder="1" applyAlignment="1">
      <alignment horizontal="left" vertical="center" wrapText="1"/>
    </xf>
    <xf numFmtId="0" fontId="61" fillId="0" borderId="213" xfId="0" applyFont="1" applyBorder="1" applyAlignment="1">
      <alignment horizontal="left" vertical="top" wrapText="1"/>
    </xf>
    <xf numFmtId="0" fontId="69" fillId="0" borderId="295" xfId="0" applyFont="1" applyBorder="1" applyAlignment="1">
      <alignment horizontal="left" vertical="center"/>
    </xf>
    <xf numFmtId="0" fontId="63" fillId="0" borderId="49" xfId="0" applyFont="1" applyBorder="1" applyAlignment="1">
      <alignment horizontal="center" vertical="center" wrapText="1"/>
    </xf>
    <xf numFmtId="0" fontId="0" fillId="0" borderId="296" xfId="0" applyBorder="1"/>
    <xf numFmtId="0" fontId="0" fillId="0" borderId="297" xfId="0" applyBorder="1"/>
    <xf numFmtId="0" fontId="11" fillId="0" borderId="45" xfId="0" applyFont="1" applyBorder="1"/>
    <xf numFmtId="0" fontId="86" fillId="0" borderId="45" xfId="0" applyFont="1" applyBorder="1" applyAlignment="1">
      <alignment horizontal="right" vertical="center"/>
    </xf>
    <xf numFmtId="1" fontId="0" fillId="0" borderId="45" xfId="0" applyNumberFormat="1" applyBorder="1"/>
    <xf numFmtId="1" fontId="18" fillId="0" borderId="45" xfId="0" applyNumberFormat="1" applyFont="1" applyBorder="1" applyAlignment="1">
      <alignment horizontal="center" vertical="center"/>
    </xf>
    <xf numFmtId="0" fontId="86" fillId="0" borderId="45" xfId="0" applyFont="1" applyBorder="1" applyAlignment="1">
      <alignment horizontal="left" vertical="center"/>
    </xf>
    <xf numFmtId="0" fontId="11" fillId="0" borderId="45" xfId="0" applyFont="1" applyBorder="1" applyAlignment="1">
      <alignment horizontal="center" vertical="center"/>
    </xf>
    <xf numFmtId="0" fontId="0" fillId="0" borderId="217" xfId="0" applyBorder="1"/>
    <xf numFmtId="0" fontId="89" fillId="0" borderId="17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89" fillId="0" borderId="298" xfId="0" applyFont="1" applyBorder="1" applyAlignment="1">
      <alignment horizontal="center" vertical="center"/>
    </xf>
    <xf numFmtId="0" fontId="89" fillId="0" borderId="299" xfId="0" applyFont="1" applyBorder="1" applyAlignment="1">
      <alignment horizontal="center" vertical="center"/>
    </xf>
    <xf numFmtId="0" fontId="22" fillId="0" borderId="146" xfId="0" applyFont="1" applyBorder="1" applyAlignment="1">
      <alignment horizontal="center"/>
    </xf>
    <xf numFmtId="0" fontId="22" fillId="0" borderId="300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16" fillId="0" borderId="171" xfId="0" applyFont="1" applyBorder="1" applyAlignment="1">
      <alignment horizontal="center" vertical="center"/>
    </xf>
    <xf numFmtId="0" fontId="75" fillId="0" borderId="64" xfId="0" applyFont="1" applyBorder="1" applyAlignment="1">
      <alignment horizontal="center" vertical="center" wrapText="1"/>
    </xf>
    <xf numFmtId="0" fontId="81" fillId="0" borderId="64" xfId="0" applyFont="1" applyBorder="1" applyAlignment="1">
      <alignment horizontal="center" vertical="center"/>
    </xf>
    <xf numFmtId="0" fontId="81" fillId="0" borderId="52" xfId="0" applyFont="1" applyBorder="1" applyAlignment="1">
      <alignment horizontal="center" vertical="center"/>
    </xf>
    <xf numFmtId="0" fontId="77" fillId="0" borderId="64" xfId="0" applyFont="1" applyBorder="1"/>
    <xf numFmtId="0" fontId="45" fillId="0" borderId="48" xfId="0" applyFont="1" applyBorder="1" applyAlignment="1">
      <alignment horizontal="center" vertical="center"/>
    </xf>
    <xf numFmtId="0" fontId="45" fillId="0" borderId="175" xfId="0" applyFont="1" applyBorder="1" applyAlignment="1">
      <alignment horizontal="center" vertical="center"/>
    </xf>
    <xf numFmtId="0" fontId="81" fillId="0" borderId="123" xfId="0" applyFont="1" applyBorder="1" applyAlignment="1">
      <alignment horizontal="left" vertical="center"/>
    </xf>
    <xf numFmtId="0" fontId="75" fillId="0" borderId="64" xfId="0" applyFont="1" applyBorder="1" applyAlignment="1">
      <alignment horizontal="left" vertical="center"/>
    </xf>
    <xf numFmtId="0" fontId="85" fillId="0" borderId="49" xfId="0" applyFont="1" applyBorder="1" applyAlignment="1">
      <alignment horizontal="left" vertical="center"/>
    </xf>
    <xf numFmtId="0" fontId="90" fillId="0" borderId="89" xfId="0" applyFont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5" fillId="0" borderId="88" xfId="0" applyFont="1" applyBorder="1" applyAlignment="1">
      <alignment vertical="center"/>
    </xf>
    <xf numFmtId="0" fontId="45" fillId="0" borderId="92" xfId="0" applyFont="1" applyBorder="1" applyAlignment="1">
      <alignment vertical="center"/>
    </xf>
    <xf numFmtId="0" fontId="91" fillId="0" borderId="89" xfId="0" applyFont="1" applyBorder="1" applyAlignment="1">
      <alignment horizontal="center" vertical="center" wrapText="1"/>
    </xf>
    <xf numFmtId="0" fontId="61" fillId="0" borderId="52" xfId="0" applyFont="1" applyBorder="1" applyAlignment="1">
      <alignment vertical="center"/>
    </xf>
    <xf numFmtId="0" fontId="61" fillId="0" borderId="64" xfId="0" applyFont="1" applyBorder="1" applyAlignment="1">
      <alignment vertical="center"/>
    </xf>
    <xf numFmtId="1" fontId="11" fillId="0" borderId="45" xfId="0" applyNumberFormat="1" applyFont="1" applyBorder="1"/>
    <xf numFmtId="1" fontId="87" fillId="0" borderId="45" xfId="0" applyNumberFormat="1" applyFont="1" applyBorder="1" applyAlignment="1">
      <alignment horizontal="center" vertical="center"/>
    </xf>
    <xf numFmtId="1" fontId="11" fillId="0" borderId="45" xfId="0" applyNumberFormat="1" applyFont="1" applyBorder="1" applyAlignment="1">
      <alignment horizontal="center" vertical="center"/>
    </xf>
    <xf numFmtId="0" fontId="58" fillId="0" borderId="45" xfId="0" applyFont="1" applyBorder="1" applyAlignment="1">
      <alignment horizontal="center" vertical="center"/>
    </xf>
    <xf numFmtId="0" fontId="0" fillId="0" borderId="302" xfId="0" applyBorder="1"/>
    <xf numFmtId="0" fontId="0" fillId="0" borderId="303" xfId="0" applyBorder="1"/>
    <xf numFmtId="0" fontId="0" fillId="0" borderId="304" xfId="0" applyBorder="1"/>
    <xf numFmtId="0" fontId="16" fillId="0" borderId="0" xfId="0" applyFont="1" applyAlignment="1">
      <alignment horizontal="left" vertical="top" wrapText="1"/>
    </xf>
    <xf numFmtId="0" fontId="95" fillId="0" borderId="153" xfId="0" applyFont="1" applyBorder="1" applyAlignment="1">
      <alignment horizontal="center" vertical="center"/>
    </xf>
    <xf numFmtId="0" fontId="95" fillId="0" borderId="301" xfId="0" applyFont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1" fillId="0" borderId="1" xfId="0" applyFont="1" applyBorder="1" applyAlignment="1">
      <alignment horizontal="left" vertical="center" wrapText="1"/>
    </xf>
    <xf numFmtId="0" fontId="41" fillId="0" borderId="36" xfId="0" applyFont="1" applyBorder="1" applyAlignment="1">
      <alignment horizontal="left" vertical="center" wrapText="1"/>
    </xf>
    <xf numFmtId="0" fontId="91" fillId="0" borderId="89" xfId="0" applyFont="1" applyBorder="1" applyAlignment="1">
      <alignment horizontal="left" vertical="center" wrapText="1"/>
    </xf>
    <xf numFmtId="0" fontId="51" fillId="13" borderId="314" xfId="0" applyFont="1" applyFill="1" applyBorder="1" applyAlignment="1">
      <alignment horizontal="center" vertical="center"/>
    </xf>
    <xf numFmtId="0" fontId="7" fillId="13" borderId="316" xfId="0" applyFont="1" applyFill="1" applyBorder="1" applyAlignment="1">
      <alignment horizontal="center" vertical="center" wrapText="1"/>
    </xf>
    <xf numFmtId="0" fontId="7" fillId="13" borderId="317" xfId="0" applyFont="1" applyFill="1" applyBorder="1" applyAlignment="1">
      <alignment horizontal="center" vertical="top" wrapText="1"/>
    </xf>
    <xf numFmtId="0" fontId="51" fillId="13" borderId="318" xfId="0" applyFont="1" applyFill="1" applyBorder="1" applyAlignment="1">
      <alignment horizontal="center" vertical="center"/>
    </xf>
    <xf numFmtId="0" fontId="89" fillId="0" borderId="319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0" fillId="13" borderId="322" xfId="0" applyFont="1" applyFill="1" applyBorder="1" applyAlignment="1">
      <alignment horizontal="center" vertical="center"/>
    </xf>
    <xf numFmtId="0" fontId="79" fillId="13" borderId="78" xfId="0" applyFont="1" applyFill="1" applyBorder="1" applyAlignment="1">
      <alignment horizontal="center" vertical="center" wrapText="1"/>
    </xf>
    <xf numFmtId="0" fontId="79" fillId="13" borderId="77" xfId="0" applyFont="1" applyFill="1" applyBorder="1" applyAlignment="1">
      <alignment horizontal="center" vertical="center" wrapText="1"/>
    </xf>
    <xf numFmtId="0" fontId="79" fillId="13" borderId="323" xfId="0" applyFont="1" applyFill="1" applyBorder="1" applyAlignment="1">
      <alignment horizontal="center" vertical="center" wrapText="1"/>
    </xf>
    <xf numFmtId="0" fontId="60" fillId="0" borderId="49" xfId="0" applyFont="1" applyBorder="1" applyAlignment="1">
      <alignment horizontal="center" vertical="center"/>
    </xf>
    <xf numFmtId="14" fontId="60" fillId="0" borderId="53" xfId="0" applyNumberFormat="1" applyFont="1" applyBorder="1" applyAlignment="1">
      <alignment horizontal="center" vertical="center"/>
    </xf>
    <xf numFmtId="14" fontId="60" fillId="0" borderId="49" xfId="0" applyNumberFormat="1" applyFont="1" applyBorder="1" applyAlignment="1">
      <alignment horizontal="center" vertical="center"/>
    </xf>
    <xf numFmtId="0" fontId="60" fillId="0" borderId="27" xfId="0" applyFont="1" applyBorder="1" applyAlignment="1">
      <alignment horizontal="center" vertical="center"/>
    </xf>
    <xf numFmtId="14" fontId="60" fillId="0" borderId="32" xfId="0" applyNumberFormat="1" applyFont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/>
    </xf>
    <xf numFmtId="0" fontId="63" fillId="0" borderId="324" xfId="0" applyFont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19" fillId="2" borderId="306" xfId="0" applyFont="1" applyFill="1" applyBorder="1" applyAlignment="1">
      <alignment horizontal="left" vertical="center"/>
    </xf>
    <xf numFmtId="0" fontId="19" fillId="2" borderId="309" xfId="0" applyFont="1" applyFill="1" applyBorder="1" applyAlignment="1">
      <alignment horizontal="left" vertical="center"/>
    </xf>
    <xf numFmtId="0" fontId="19" fillId="3" borderId="309" xfId="0" applyFont="1" applyFill="1" applyBorder="1" applyAlignment="1">
      <alignment horizontal="right" vertical="center"/>
    </xf>
    <xf numFmtId="0" fontId="19" fillId="3" borderId="309" xfId="0" applyFont="1" applyFill="1" applyBorder="1" applyAlignment="1">
      <alignment horizontal="right" wrapText="1"/>
    </xf>
    <xf numFmtId="0" fontId="19" fillId="2" borderId="311" xfId="0" applyFont="1" applyFill="1" applyBorder="1" applyAlignment="1">
      <alignment horizontal="left"/>
    </xf>
    <xf numFmtId="0" fontId="95" fillId="0" borderId="301" xfId="0" applyFont="1" applyBorder="1" applyAlignment="1">
      <alignment horizontal="center" wrapText="1"/>
    </xf>
    <xf numFmtId="0" fontId="95" fillId="0" borderId="326" xfId="0" applyFont="1" applyBorder="1" applyAlignment="1">
      <alignment horizontal="center" vertical="center" wrapText="1"/>
    </xf>
    <xf numFmtId="0" fontId="0" fillId="0" borderId="59" xfId="0" applyBorder="1" applyAlignment="1">
      <alignment vertical="center" wrapText="1"/>
    </xf>
    <xf numFmtId="0" fontId="15" fillId="0" borderId="45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/>
    </xf>
    <xf numFmtId="1" fontId="63" fillId="0" borderId="45" xfId="0" applyNumberFormat="1" applyFont="1" applyBorder="1" applyAlignment="1">
      <alignment horizontal="left" vertical="top"/>
    </xf>
    <xf numFmtId="0" fontId="61" fillId="0" borderId="46" xfId="0" applyFont="1" applyBorder="1" applyAlignment="1">
      <alignment horizontal="center"/>
    </xf>
    <xf numFmtId="0" fontId="61" fillId="0" borderId="47" xfId="0" applyFont="1" applyBorder="1" applyAlignment="1">
      <alignment horizontal="center"/>
    </xf>
    <xf numFmtId="0" fontId="30" fillId="6" borderId="1" xfId="0" applyFont="1" applyFill="1" applyBorder="1" applyAlignment="1">
      <alignment horizontal="center" vertical="center"/>
    </xf>
    <xf numFmtId="0" fontId="30" fillId="6" borderId="6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1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6" borderId="138" xfId="0" applyFont="1" applyFill="1" applyBorder="1" applyAlignment="1">
      <alignment horizontal="center" vertical="center"/>
    </xf>
    <xf numFmtId="0" fontId="31" fillId="6" borderId="139" xfId="0" applyFont="1" applyFill="1" applyBorder="1" applyAlignment="1">
      <alignment horizontal="center" vertical="center"/>
    </xf>
    <xf numFmtId="0" fontId="31" fillId="6" borderId="140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64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1" fillId="6" borderId="3" xfId="0" applyFont="1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49" fontId="66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1" xfId="0" applyFont="1" applyFill="1" applyBorder="1" applyAlignment="1">
      <alignment horizontal="center" vertical="center"/>
    </xf>
    <xf numFmtId="0" fontId="5" fillId="13" borderId="152" xfId="0" applyFont="1" applyFill="1" applyBorder="1" applyAlignment="1">
      <alignment horizontal="center" vertical="center"/>
    </xf>
    <xf numFmtId="49" fontId="56" fillId="13" borderId="200" xfId="0" applyNumberFormat="1" applyFont="1" applyFill="1" applyBorder="1" applyAlignment="1">
      <alignment horizontal="center" vertical="center"/>
    </xf>
    <xf numFmtId="49" fontId="56" fillId="13" borderId="25" xfId="0" applyNumberFormat="1" applyFont="1" applyFill="1" applyBorder="1" applyAlignment="1">
      <alignment horizontal="center" vertical="center"/>
    </xf>
    <xf numFmtId="0" fontId="17" fillId="6" borderId="152" xfId="0" applyFont="1" applyFill="1" applyBorder="1" applyAlignment="1">
      <alignment horizontal="center" vertical="center" wrapText="1"/>
    </xf>
    <xf numFmtId="0" fontId="17" fillId="6" borderId="153" xfId="0" applyFont="1" applyFill="1" applyBorder="1" applyAlignment="1">
      <alignment horizontal="center" vertical="center" wrapText="1"/>
    </xf>
    <xf numFmtId="0" fontId="25" fillId="13" borderId="172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79" xfId="0" applyFont="1" applyFill="1" applyBorder="1" applyAlignment="1">
      <alignment horizontal="center" vertical="center"/>
    </xf>
    <xf numFmtId="0" fontId="19" fillId="3" borderId="181" xfId="0" applyFont="1" applyFill="1" applyBorder="1" applyAlignment="1">
      <alignment horizontal="center" vertical="center"/>
    </xf>
    <xf numFmtId="0" fontId="19" fillId="3" borderId="173" xfId="0" applyFont="1" applyFill="1" applyBorder="1" applyAlignment="1">
      <alignment horizontal="center" vertical="center"/>
    </xf>
    <xf numFmtId="0" fontId="19" fillId="3" borderId="182" xfId="0" applyFont="1" applyFill="1" applyBorder="1" applyAlignment="1">
      <alignment horizontal="left" vertical="center" wrapText="1"/>
    </xf>
    <xf numFmtId="0" fontId="19" fillId="3" borderId="183" xfId="0" applyFont="1" applyFill="1" applyBorder="1" applyAlignment="1">
      <alignment horizontal="left" vertical="center" wrapText="1"/>
    </xf>
    <xf numFmtId="0" fontId="26" fillId="3" borderId="172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1" fillId="0" borderId="193" xfId="0" applyFont="1" applyBorder="1" applyAlignment="1">
      <alignment horizontal="left" vertical="top" wrapText="1"/>
    </xf>
    <xf numFmtId="0" fontId="61" fillId="0" borderId="139" xfId="0" applyFont="1" applyBorder="1" applyAlignment="1">
      <alignment horizontal="left" vertical="top" wrapText="1"/>
    </xf>
    <xf numFmtId="0" fontId="61" fillId="0" borderId="140" xfId="0" applyFont="1" applyBorder="1" applyAlignment="1">
      <alignment horizontal="left" vertical="top" wrapText="1"/>
    </xf>
    <xf numFmtId="0" fontId="22" fillId="0" borderId="73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0" fillId="0" borderId="113" xfId="0" applyNumberFormat="1" applyFont="1" applyBorder="1" applyAlignment="1">
      <alignment horizontal="center" vertical="center" wrapText="1"/>
    </xf>
    <xf numFmtId="0" fontId="60" fillId="0" borderId="114" xfId="0" applyFont="1" applyBorder="1" applyAlignment="1">
      <alignment horizontal="center" vertical="center" wrapText="1"/>
    </xf>
    <xf numFmtId="0" fontId="0" fillId="0" borderId="53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4" xfId="0" applyBorder="1" applyAlignment="1">
      <alignment horizontal="center"/>
    </xf>
    <xf numFmtId="0" fontId="79" fillId="13" borderId="19" xfId="0" applyFont="1" applyFill="1" applyBorder="1" applyAlignment="1">
      <alignment horizontal="center" vertical="center" wrapText="1"/>
    </xf>
    <xf numFmtId="0" fontId="79" fillId="13" borderId="198" xfId="0" applyFont="1" applyFill="1" applyBorder="1" applyAlignment="1">
      <alignment horizontal="center" vertical="center" wrapText="1"/>
    </xf>
    <xf numFmtId="14" fontId="60" fillId="0" borderId="12" xfId="0" applyNumberFormat="1" applyFont="1" applyBorder="1" applyAlignment="1">
      <alignment horizontal="center" vertical="center"/>
    </xf>
    <xf numFmtId="0" fontId="60" fillId="0" borderId="14" xfId="0" applyFont="1" applyBorder="1" applyAlignment="1">
      <alignment horizontal="center" vertical="center"/>
    </xf>
    <xf numFmtId="14" fontId="60" fillId="0" borderId="3" xfId="0" applyNumberFormat="1" applyFont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14" fontId="60" fillId="0" borderId="4" xfId="0" applyNumberFormat="1" applyFont="1" applyBorder="1" applyAlignment="1">
      <alignment horizontal="center" vertical="center"/>
    </xf>
    <xf numFmtId="0" fontId="61" fillId="0" borderId="45" xfId="0" applyFont="1" applyBorder="1" applyAlignment="1">
      <alignment horizontal="left" vertical="top" wrapText="1"/>
    </xf>
    <xf numFmtId="0" fontId="61" fillId="0" borderId="203" xfId="0" applyFont="1" applyBorder="1" applyAlignment="1">
      <alignment horizontal="left" vertical="top" wrapText="1"/>
    </xf>
    <xf numFmtId="0" fontId="61" fillId="0" borderId="152" xfId="0" applyFont="1" applyBorder="1" applyAlignment="1">
      <alignment horizontal="left" vertical="top" wrapText="1"/>
    </xf>
    <xf numFmtId="0" fontId="61" fillId="0" borderId="153" xfId="0" applyFont="1" applyBorder="1" applyAlignment="1">
      <alignment horizontal="left" vertical="top" wrapText="1"/>
    </xf>
    <xf numFmtId="0" fontId="61" fillId="0" borderId="49" xfId="0" applyFont="1" applyBorder="1" applyAlignment="1">
      <alignment horizontal="left" vertical="top" wrapText="1"/>
    </xf>
    <xf numFmtId="14" fontId="60" fillId="0" borderId="32" xfId="0" applyNumberFormat="1" applyFont="1" applyBorder="1" applyAlignment="1">
      <alignment horizontal="center" vertical="center"/>
    </xf>
    <xf numFmtId="0" fontId="60" fillId="0" borderId="32" xfId="0" applyFont="1" applyBorder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0" fontId="61" fillId="0" borderId="325" xfId="0" applyFont="1" applyBorder="1" applyAlignment="1">
      <alignment horizontal="left" vertical="top" wrapText="1"/>
    </xf>
    <xf numFmtId="0" fontId="61" fillId="0" borderId="16" xfId="0" applyFont="1" applyBorder="1" applyAlignment="1">
      <alignment horizontal="left" vertical="top" wrapText="1"/>
    </xf>
    <xf numFmtId="0" fontId="61" fillId="0" borderId="42" xfId="0" applyFont="1" applyBorder="1" applyAlignment="1">
      <alignment horizontal="left" vertical="top" wrapText="1"/>
    </xf>
    <xf numFmtId="0" fontId="68" fillId="0" borderId="46" xfId="0" applyFont="1" applyBorder="1" applyAlignment="1">
      <alignment horizontal="left" vertical="center"/>
    </xf>
    <xf numFmtId="0" fontId="68" fillId="0" borderId="50" xfId="0" applyFont="1" applyBorder="1" applyAlignment="1">
      <alignment horizontal="left" vertical="center"/>
    </xf>
    <xf numFmtId="0" fontId="68" fillId="0" borderId="47" xfId="0" applyFont="1" applyBorder="1" applyAlignment="1">
      <alignment horizontal="left" vertical="center"/>
    </xf>
    <xf numFmtId="0" fontId="54" fillId="0" borderId="125" xfId="0" applyFont="1" applyBorder="1" applyAlignment="1">
      <alignment horizontal="center" vertical="center" wrapText="1"/>
    </xf>
    <xf numFmtId="0" fontId="54" fillId="0" borderId="126" xfId="0" applyFont="1" applyBorder="1" applyAlignment="1">
      <alignment horizontal="center" vertical="center" wrapText="1"/>
    </xf>
    <xf numFmtId="0" fontId="54" fillId="0" borderId="127" xfId="0" applyFont="1" applyBorder="1" applyAlignment="1">
      <alignment horizontal="center" vertical="center" wrapText="1"/>
    </xf>
    <xf numFmtId="0" fontId="47" fillId="0" borderId="58" xfId="0" applyFont="1" applyBorder="1" applyAlignment="1">
      <alignment horizontal="center" vertical="center"/>
    </xf>
    <xf numFmtId="0" fontId="47" fillId="0" borderId="134" xfId="0" applyFont="1" applyBorder="1" applyAlignment="1">
      <alignment horizontal="center" vertical="center"/>
    </xf>
    <xf numFmtId="0" fontId="47" fillId="0" borderId="53" xfId="0" applyFont="1" applyBorder="1" applyAlignment="1">
      <alignment horizontal="center" vertical="center"/>
    </xf>
    <xf numFmtId="0" fontId="47" fillId="0" borderId="135" xfId="0" applyFont="1" applyBorder="1" applyAlignment="1">
      <alignment horizontal="center" vertical="center"/>
    </xf>
    <xf numFmtId="0" fontId="42" fillId="0" borderId="130" xfId="0" applyFont="1" applyBorder="1" applyAlignment="1">
      <alignment horizontal="center" vertical="center"/>
    </xf>
    <xf numFmtId="0" fontId="42" fillId="0" borderId="87" xfId="0" applyFont="1" applyBorder="1" applyAlignment="1">
      <alignment horizontal="center" vertical="center"/>
    </xf>
    <xf numFmtId="0" fontId="47" fillId="0" borderId="46" xfId="0" applyFont="1" applyBorder="1" applyAlignment="1">
      <alignment horizontal="center" vertical="center"/>
    </xf>
    <xf numFmtId="0" fontId="47" fillId="0" borderId="50" xfId="0" applyFont="1" applyBorder="1" applyAlignment="1">
      <alignment horizontal="center" vertical="center"/>
    </xf>
    <xf numFmtId="0" fontId="47" fillId="0" borderId="12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8" fillId="0" borderId="119" xfId="0" applyFont="1" applyBorder="1" applyAlignment="1">
      <alignment horizontal="left" vertical="center"/>
    </xf>
    <xf numFmtId="0" fontId="68" fillId="0" borderId="110" xfId="0" applyFont="1" applyBorder="1" applyAlignment="1">
      <alignment horizontal="left" vertical="center"/>
    </xf>
    <xf numFmtId="0" fontId="0" fillId="0" borderId="96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45" fillId="0" borderId="45" xfId="0" applyFont="1" applyBorder="1" applyAlignment="1">
      <alignment horizontal="center" vertical="top"/>
    </xf>
    <xf numFmtId="0" fontId="54" fillId="0" borderId="123" xfId="0" applyFont="1" applyBorder="1" applyAlignment="1">
      <alignment horizontal="center" vertical="top"/>
    </xf>
    <xf numFmtId="0" fontId="54" fillId="0" borderId="89" xfId="0" applyFont="1" applyBorder="1" applyAlignment="1">
      <alignment horizontal="center" vertical="top"/>
    </xf>
    <xf numFmtId="0" fontId="43" fillId="0" borderId="125" xfId="0" applyFont="1" applyBorder="1" applyAlignment="1">
      <alignment horizontal="center" vertical="center" wrapText="1"/>
    </xf>
    <xf numFmtId="0" fontId="43" fillId="0" borderId="126" xfId="0" applyFont="1" applyBorder="1" applyAlignment="1">
      <alignment horizontal="center" vertical="center" wrapText="1"/>
    </xf>
    <xf numFmtId="0" fontId="43" fillId="0" borderId="12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6" fillId="13" borderId="1" xfId="0" applyFont="1" applyFill="1" applyBorder="1" applyAlignment="1">
      <alignment horizontal="center" vertical="center" wrapText="1" readingOrder="1"/>
    </xf>
    <xf numFmtId="0" fontId="54" fillId="0" borderId="125" xfId="0" applyFont="1" applyBorder="1" applyAlignment="1">
      <alignment horizontal="center"/>
    </xf>
    <xf numFmtId="0" fontId="54" fillId="0" borderId="126" xfId="0" applyFont="1" applyBorder="1" applyAlignment="1">
      <alignment horizontal="center"/>
    </xf>
    <xf numFmtId="0" fontId="54" fillId="0" borderId="127" xfId="0" applyFont="1" applyBorder="1" applyAlignment="1">
      <alignment horizontal="center"/>
    </xf>
    <xf numFmtId="0" fontId="49" fillId="13" borderId="19" xfId="0" applyFont="1" applyFill="1" applyBorder="1" applyAlignment="1">
      <alignment horizontal="center" vertical="center" wrapText="1" readingOrder="1"/>
    </xf>
    <xf numFmtId="0" fontId="49" fillId="13" borderId="20" xfId="0" applyFont="1" applyFill="1" applyBorder="1" applyAlignment="1">
      <alignment horizontal="center" vertical="center" wrapText="1" readingOrder="1"/>
    </xf>
    <xf numFmtId="0" fontId="49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29" xfId="0" applyBorder="1" applyAlignment="1">
      <alignment horizontal="center" vertical="center"/>
    </xf>
    <xf numFmtId="0" fontId="0" fillId="0" borderId="13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3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7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0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94" xfId="0" applyBorder="1" applyAlignment="1">
      <alignment horizontal="center"/>
    </xf>
    <xf numFmtId="0" fontId="50" fillId="13" borderId="35" xfId="0" applyFont="1" applyFill="1" applyBorder="1" applyAlignment="1">
      <alignment horizontal="center" vertical="center"/>
    </xf>
    <xf numFmtId="0" fontId="50" fillId="13" borderId="36" xfId="0" applyFont="1" applyFill="1" applyBorder="1" applyAlignment="1">
      <alignment horizontal="center" vertical="center"/>
    </xf>
    <xf numFmtId="0" fontId="50" fillId="13" borderId="113" xfId="0" applyFont="1" applyFill="1" applyBorder="1" applyAlignment="1">
      <alignment horizontal="center" vertical="center"/>
    </xf>
    <xf numFmtId="0" fontId="0" fillId="0" borderId="163" xfId="0" applyBorder="1" applyAlignment="1">
      <alignment horizontal="center"/>
    </xf>
    <xf numFmtId="0" fontId="0" fillId="0" borderId="164" xfId="0" applyBorder="1" applyAlignment="1">
      <alignment horizontal="center"/>
    </xf>
    <xf numFmtId="0" fontId="0" fillId="0" borderId="120" xfId="0" applyBorder="1" applyAlignment="1">
      <alignment horizontal="center"/>
    </xf>
    <xf numFmtId="0" fontId="46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6" fillId="13" borderId="34" xfId="0" applyFont="1" applyFill="1" applyBorder="1" applyAlignment="1">
      <alignment horizontal="center" vertical="center" wrapText="1" readingOrder="1"/>
    </xf>
    <xf numFmtId="0" fontId="51" fillId="13" borderId="36" xfId="0" applyFont="1" applyFill="1" applyBorder="1" applyAlignment="1">
      <alignment horizontal="center" vertical="center"/>
    </xf>
    <xf numFmtId="0" fontId="51" fillId="13" borderId="37" xfId="0" applyFont="1" applyFill="1" applyBorder="1" applyAlignment="1">
      <alignment horizontal="center" vertical="center"/>
    </xf>
    <xf numFmtId="0" fontId="53" fillId="0" borderId="107" xfId="0" applyFont="1" applyBorder="1" applyAlignment="1">
      <alignment horizontal="center"/>
    </xf>
    <xf numFmtId="0" fontId="53" fillId="0" borderId="116" xfId="0" applyFont="1" applyBorder="1" applyAlignment="1">
      <alignment horizontal="center"/>
    </xf>
    <xf numFmtId="0" fontId="53" fillId="0" borderId="106" xfId="0" applyFont="1" applyBorder="1" applyAlignment="1">
      <alignment horizontal="center"/>
    </xf>
    <xf numFmtId="0" fontId="51" fillId="13" borderId="113" xfId="0" applyFont="1" applyFill="1" applyBorder="1" applyAlignment="1">
      <alignment horizontal="center" vertical="center"/>
    </xf>
    <xf numFmtId="0" fontId="51" fillId="13" borderId="60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51" fillId="13" borderId="35" xfId="0" applyFont="1" applyFill="1" applyBorder="1" applyAlignment="1">
      <alignment horizontal="center" vertical="center"/>
    </xf>
    <xf numFmtId="0" fontId="55" fillId="0" borderId="107" xfId="0" applyFont="1" applyBorder="1" applyAlignment="1">
      <alignment horizontal="center"/>
    </xf>
    <xf numFmtId="0" fontId="55" fillId="0" borderId="106" xfId="0" applyFont="1" applyBorder="1" applyAlignment="1">
      <alignment horizontal="center"/>
    </xf>
    <xf numFmtId="0" fontId="45" fillId="0" borderId="46" xfId="0" applyFont="1" applyBorder="1" applyAlignment="1">
      <alignment horizontal="center" vertical="top"/>
    </xf>
    <xf numFmtId="0" fontId="45" fillId="0" borderId="70" xfId="0" applyFont="1" applyBorder="1" applyAlignment="1">
      <alignment horizontal="center" vertical="top"/>
    </xf>
    <xf numFmtId="0" fontId="45" fillId="0" borderId="50" xfId="0" applyFont="1" applyBorder="1" applyAlignment="1">
      <alignment horizontal="center" vertical="top"/>
    </xf>
    <xf numFmtId="0" fontId="53" fillId="0" borderId="107" xfId="0" applyFont="1" applyBorder="1" applyAlignment="1">
      <alignment horizontal="right"/>
    </xf>
    <xf numFmtId="0" fontId="53" fillId="0" borderId="116" xfId="0" applyFont="1" applyBorder="1" applyAlignment="1">
      <alignment horizontal="right"/>
    </xf>
    <xf numFmtId="0" fontId="53" fillId="0" borderId="106" xfId="0" applyFont="1" applyBorder="1" applyAlignment="1">
      <alignment horizontal="right"/>
    </xf>
    <xf numFmtId="0" fontId="45" fillId="0" borderId="46" xfId="0" applyFont="1" applyBorder="1" applyAlignment="1">
      <alignment horizontal="center" vertical="center"/>
    </xf>
    <xf numFmtId="0" fontId="45" fillId="0" borderId="50" xfId="0" applyFont="1" applyBorder="1" applyAlignment="1">
      <alignment horizontal="center" vertical="center"/>
    </xf>
    <xf numFmtId="0" fontId="45" fillId="0" borderId="70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8" xfId="0" applyFont="1" applyFill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23" fillId="13" borderId="151" xfId="0" applyFont="1" applyFill="1" applyBorder="1" applyAlignment="1">
      <alignment horizontal="center" vertical="top" wrapText="1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49" fontId="24" fillId="13" borderId="159" xfId="0" applyNumberFormat="1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0" fontId="39" fillId="13" borderId="27" xfId="0" applyFont="1" applyFill="1" applyBorder="1" applyAlignment="1">
      <alignment horizontal="center" vertical="center"/>
    </xf>
    <xf numFmtId="0" fontId="39" fillId="13" borderId="32" xfId="0" applyFont="1" applyFill="1" applyBorder="1" applyAlignment="1">
      <alignment horizontal="center" vertical="center"/>
    </xf>
    <xf numFmtId="0" fontId="39" fillId="13" borderId="28" xfId="0" applyFont="1" applyFill="1" applyBorder="1" applyAlignment="1">
      <alignment horizontal="center" vertical="center"/>
    </xf>
    <xf numFmtId="0" fontId="39" fillId="13" borderId="143" xfId="0" applyFont="1" applyFill="1" applyBorder="1" applyAlignment="1">
      <alignment horizontal="center" vertical="center"/>
    </xf>
    <xf numFmtId="0" fontId="39" fillId="13" borderId="144" xfId="0" applyFont="1" applyFill="1" applyBorder="1" applyAlignment="1">
      <alignment horizontal="center" vertical="center"/>
    </xf>
    <xf numFmtId="0" fontId="39" fillId="13" borderId="145" xfId="0" applyFont="1" applyFill="1" applyBorder="1" applyAlignment="1">
      <alignment horizontal="center" vertical="center"/>
    </xf>
    <xf numFmtId="0" fontId="46" fillId="13" borderId="5" xfId="0" applyFont="1" applyFill="1" applyBorder="1" applyAlignment="1">
      <alignment horizontal="center" vertical="center" wrapText="1" readingOrder="1"/>
    </xf>
    <xf numFmtId="0" fontId="46" fillId="13" borderId="162" xfId="0" applyFont="1" applyFill="1" applyBorder="1" applyAlignment="1">
      <alignment horizontal="center" vertical="center" wrapText="1" readingOrder="1"/>
    </xf>
    <xf numFmtId="0" fontId="49" fillId="13" borderId="1" xfId="0" applyFont="1" applyFill="1" applyBorder="1" applyAlignment="1">
      <alignment horizontal="center" vertical="center" wrapText="1" readingOrder="1"/>
    </xf>
    <xf numFmtId="0" fontId="49" fillId="13" borderId="34" xfId="0" applyFont="1" applyFill="1" applyBorder="1" applyAlignment="1">
      <alignment horizontal="center" vertical="center" wrapText="1" readingOrder="1"/>
    </xf>
    <xf numFmtId="0" fontId="48" fillId="13" borderId="27" xfId="0" applyFont="1" applyFill="1" applyBorder="1" applyAlignment="1">
      <alignment horizontal="center" vertical="center" wrapText="1" readingOrder="1"/>
    </xf>
    <xf numFmtId="0" fontId="48" fillId="13" borderId="32" xfId="0" applyFont="1" applyFill="1" applyBorder="1" applyAlignment="1">
      <alignment horizontal="center" vertical="center" wrapText="1" readingOrder="1"/>
    </xf>
    <xf numFmtId="0" fontId="48" fillId="13" borderId="28" xfId="0" applyFont="1" applyFill="1" applyBorder="1" applyAlignment="1">
      <alignment horizontal="center" vertical="center" wrapText="1" readingOrder="1"/>
    </xf>
    <xf numFmtId="0" fontId="49" fillId="13" borderId="33" xfId="0" applyFont="1" applyFill="1" applyBorder="1" applyAlignment="1">
      <alignment horizontal="center" vertical="center" wrapText="1" readingOrder="1"/>
    </xf>
    <xf numFmtId="0" fontId="52" fillId="0" borderId="0" xfId="0" applyFont="1" applyAlignment="1">
      <alignment horizontal="center" vertical="center" textRotation="90"/>
    </xf>
    <xf numFmtId="0" fontId="30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10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9" fontId="19" fillId="9" borderId="313" xfId="0" applyNumberFormat="1" applyFont="1" applyFill="1" applyBorder="1" applyAlignment="1">
      <alignment horizontal="center" vertical="center"/>
    </xf>
    <xf numFmtId="0" fontId="85" fillId="0" borderId="49" xfId="0" applyFont="1" applyBorder="1" applyAlignment="1">
      <alignment horizontal="right" vertical="center"/>
    </xf>
    <xf numFmtId="0" fontId="85" fillId="0" borderId="45" xfId="0" applyFont="1" applyBorder="1" applyAlignment="1">
      <alignment horizontal="right" vertical="center"/>
    </xf>
    <xf numFmtId="0" fontId="93" fillId="13" borderId="139" xfId="0" applyFont="1" applyFill="1" applyBorder="1" applyAlignment="1">
      <alignment horizontal="center" vertical="center"/>
    </xf>
    <xf numFmtId="0" fontId="93" fillId="13" borderId="140" xfId="0" applyFont="1" applyFill="1" applyBorder="1" applyAlignment="1">
      <alignment horizontal="center" vertical="center"/>
    </xf>
    <xf numFmtId="0" fontId="72" fillId="0" borderId="139" xfId="0" applyFont="1" applyBorder="1" applyAlignment="1">
      <alignment horizontal="center"/>
    </xf>
    <xf numFmtId="0" fontId="72" fillId="0" borderId="140" xfId="0" applyFont="1" applyBorder="1" applyAlignment="1">
      <alignment horizontal="center"/>
    </xf>
    <xf numFmtId="0" fontId="92" fillId="13" borderId="152" xfId="0" applyFont="1" applyFill="1" applyBorder="1" applyAlignment="1">
      <alignment horizontal="center" vertical="center"/>
    </xf>
    <xf numFmtId="0" fontId="92" fillId="13" borderId="153" xfId="0" applyFont="1" applyFill="1" applyBorder="1" applyAlignment="1">
      <alignment horizontal="center" vertical="center"/>
    </xf>
    <xf numFmtId="0" fontId="94" fillId="13" borderId="182" xfId="0" applyFont="1" applyFill="1" applyBorder="1" applyAlignment="1">
      <alignment horizontal="center" vertical="center"/>
    </xf>
    <xf numFmtId="0" fontId="94" fillId="13" borderId="184" xfId="0" applyFont="1" applyFill="1" applyBorder="1" applyAlignment="1">
      <alignment horizontal="center" vertical="center"/>
    </xf>
    <xf numFmtId="0" fontId="81" fillId="0" borderId="64" xfId="0" applyFont="1" applyBorder="1" applyAlignment="1">
      <alignment horizontal="left" vertical="center"/>
    </xf>
    <xf numFmtId="0" fontId="86" fillId="0" borderId="45" xfId="0" applyFont="1" applyBorder="1" applyAlignment="1">
      <alignment horizontal="right" vertical="center"/>
    </xf>
    <xf numFmtId="0" fontId="96" fillId="0" borderId="219" xfId="0" applyFont="1" applyBorder="1" applyAlignment="1">
      <alignment horizontal="left" vertical="center"/>
    </xf>
    <xf numFmtId="0" fontId="96" fillId="0" borderId="220" xfId="0" applyFont="1" applyBorder="1" applyAlignment="1">
      <alignment horizontal="left" vertical="center"/>
    </xf>
    <xf numFmtId="0" fontId="96" fillId="0" borderId="221" xfId="0" applyFont="1" applyBorder="1" applyAlignment="1">
      <alignment horizontal="left" vertical="center"/>
    </xf>
    <xf numFmtId="0" fontId="51" fillId="13" borderId="315" xfId="0" applyFont="1" applyFill="1" applyBorder="1" applyAlignment="1">
      <alignment horizontal="center" vertical="center"/>
    </xf>
    <xf numFmtId="0" fontId="51" fillId="13" borderId="316" xfId="0" applyFont="1" applyFill="1" applyBorder="1" applyAlignment="1">
      <alignment horizontal="center" vertical="center"/>
    </xf>
    <xf numFmtId="0" fontId="51" fillId="13" borderId="15" xfId="0" applyFont="1" applyFill="1" applyBorder="1" applyAlignment="1">
      <alignment horizontal="center" vertical="center"/>
    </xf>
    <xf numFmtId="0" fontId="51" fillId="13" borderId="16" xfId="0" applyFont="1" applyFill="1" applyBorder="1" applyAlignment="1">
      <alignment horizontal="center" vertical="center"/>
    </xf>
    <xf numFmtId="0" fontId="51" fillId="13" borderId="42" xfId="0" applyFont="1" applyFill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0" fontId="95" fillId="0" borderId="153" xfId="0" applyFont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08" xfId="0" applyNumberFormat="1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/>
    </xf>
    <xf numFmtId="0" fontId="88" fillId="13" borderId="17" xfId="0" applyFont="1" applyFill="1" applyBorder="1" applyAlignment="1">
      <alignment horizontal="center" vertical="center"/>
    </xf>
    <xf numFmtId="0" fontId="88" fillId="13" borderId="24" xfId="0" applyFont="1" applyFill="1" applyBorder="1" applyAlignment="1">
      <alignment horizontal="center" vertical="center"/>
    </xf>
    <xf numFmtId="0" fontId="88" fillId="13" borderId="26" xfId="0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 wrapText="1"/>
    </xf>
    <xf numFmtId="0" fontId="88" fillId="13" borderId="20" xfId="0" applyFont="1" applyFill="1" applyBorder="1" applyAlignment="1">
      <alignment horizontal="center" vertical="center" wrapText="1"/>
    </xf>
    <xf numFmtId="0" fontId="88" fillId="13" borderId="17" xfId="0" applyFont="1" applyFill="1" applyBorder="1" applyAlignment="1">
      <alignment horizontal="center" vertical="center" wrapText="1"/>
    </xf>
    <xf numFmtId="0" fontId="88" fillId="13" borderId="24" xfId="0" applyFont="1" applyFill="1" applyBorder="1" applyAlignment="1">
      <alignment horizontal="center" vertical="center" wrapText="1"/>
    </xf>
    <xf numFmtId="0" fontId="88" fillId="13" borderId="25" xfId="0" applyFont="1" applyFill="1" applyBorder="1" applyAlignment="1">
      <alignment horizontal="center" vertical="center" wrapText="1"/>
    </xf>
    <xf numFmtId="0" fontId="88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88" fillId="13" borderId="61" xfId="0" applyFont="1" applyFill="1" applyBorder="1" applyAlignment="1">
      <alignment horizontal="center" vertical="center"/>
    </xf>
    <xf numFmtId="0" fontId="88" fillId="13" borderId="35" xfId="0" applyFont="1" applyFill="1" applyBorder="1" applyAlignment="1">
      <alignment horizontal="center" vertical="center"/>
    </xf>
    <xf numFmtId="0" fontId="88" fillId="13" borderId="6" xfId="0" applyFont="1" applyFill="1" applyBorder="1" applyAlignment="1">
      <alignment horizontal="center" vertical="center" wrapText="1"/>
    </xf>
    <xf numFmtId="0" fontId="88" fillId="13" borderId="36" xfId="0" applyFont="1" applyFill="1" applyBorder="1" applyAlignment="1">
      <alignment horizontal="center" vertical="center" wrapText="1"/>
    </xf>
    <xf numFmtId="0" fontId="88" fillId="13" borderId="22" xfId="0" applyFont="1" applyFill="1" applyBorder="1" applyAlignment="1">
      <alignment horizontal="center" vertical="center" wrapText="1"/>
    </xf>
    <xf numFmtId="0" fontId="88" fillId="13" borderId="321" xfId="0" applyFont="1" applyFill="1" applyBorder="1" applyAlignment="1">
      <alignment horizontal="center" vertical="center" wrapText="1"/>
    </xf>
    <xf numFmtId="0" fontId="88" fillId="13" borderId="320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85" fillId="0" borderId="289" xfId="0" applyFont="1" applyBorder="1" applyAlignment="1">
      <alignment horizontal="right" vertical="center"/>
    </xf>
    <xf numFmtId="0" fontId="85" fillId="0" borderId="286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73" fillId="13" borderId="19" xfId="0" applyFont="1" applyFill="1" applyBorder="1" applyAlignment="1">
      <alignment horizontal="center" vertical="center"/>
    </xf>
    <xf numFmtId="0" fontId="73" fillId="13" borderId="20" xfId="0" applyFont="1" applyFill="1" applyBorder="1" applyAlignment="1">
      <alignment horizontal="center" vertical="center"/>
    </xf>
    <xf numFmtId="0" fontId="73" fillId="13" borderId="24" xfId="0" applyFont="1" applyFill="1" applyBorder="1" applyAlignment="1">
      <alignment horizontal="center" vertical="center"/>
    </xf>
    <xf numFmtId="0" fontId="73" fillId="13" borderId="25" xfId="0" applyFont="1" applyFill="1" applyBorder="1" applyAlignment="1">
      <alignment horizontal="center" vertical="center"/>
    </xf>
    <xf numFmtId="0" fontId="73" fillId="13" borderId="17" xfId="0" applyFont="1" applyFill="1" applyBorder="1" applyAlignment="1">
      <alignment horizontal="center" vertical="center"/>
    </xf>
    <xf numFmtId="0" fontId="73" fillId="13" borderId="22" xfId="0" applyFont="1" applyFill="1" applyBorder="1" applyAlignment="1">
      <alignment horizontal="center" vertical="center"/>
    </xf>
    <xf numFmtId="0" fontId="73" fillId="13" borderId="23" xfId="0" applyFont="1" applyFill="1" applyBorder="1" applyAlignment="1">
      <alignment horizontal="center" vertical="center"/>
    </xf>
    <xf numFmtId="0" fontId="62" fillId="0" borderId="33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73" fillId="13" borderId="27" xfId="0" applyFont="1" applyFill="1" applyBorder="1" applyAlignment="1">
      <alignment horizontal="center" vertical="center" wrapText="1"/>
    </xf>
    <xf numFmtId="0" fontId="73" fillId="13" borderId="32" xfId="0" applyFont="1" applyFill="1" applyBorder="1" applyAlignment="1">
      <alignment horizontal="center" vertical="center" wrapText="1"/>
    </xf>
    <xf numFmtId="0" fontId="73" fillId="13" borderId="207" xfId="0" applyFont="1" applyFill="1" applyBorder="1" applyAlignment="1">
      <alignment horizontal="center" vertical="center" wrapText="1"/>
    </xf>
    <xf numFmtId="0" fontId="73" fillId="13" borderId="33" xfId="0" applyFont="1" applyFill="1" applyBorder="1" applyAlignment="1">
      <alignment horizontal="center" vertical="center" wrapText="1"/>
    </xf>
    <xf numFmtId="0" fontId="73" fillId="13" borderId="1" xfId="0" applyFont="1" applyFill="1" applyBorder="1" applyAlignment="1">
      <alignment horizontal="center" vertical="center" wrapText="1"/>
    </xf>
    <xf numFmtId="0" fontId="73" fillId="13" borderId="3" xfId="0" applyFont="1" applyFill="1" applyBorder="1" applyAlignment="1">
      <alignment horizontal="center" vertical="center" wrapText="1"/>
    </xf>
    <xf numFmtId="0" fontId="73" fillId="13" borderId="208" xfId="0" applyFont="1" applyFill="1" applyBorder="1" applyAlignment="1">
      <alignment horizontal="center" vertical="center" wrapText="1"/>
    </xf>
    <xf numFmtId="0" fontId="73" fillId="13" borderId="5" xfId="0" applyFont="1" applyFill="1" applyBorder="1" applyAlignment="1">
      <alignment horizontal="center" vertical="center" wrapText="1"/>
    </xf>
    <xf numFmtId="0" fontId="73" fillId="13" borderId="7" xfId="0" applyFont="1" applyFill="1" applyBorder="1" applyAlignment="1">
      <alignment horizontal="center" vertical="center" wrapText="1"/>
    </xf>
    <xf numFmtId="0" fontId="84" fillId="13" borderId="61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/>
    </xf>
    <xf numFmtId="0" fontId="84" fillId="13" borderId="208" xfId="0" applyFont="1" applyFill="1" applyBorder="1" applyAlignment="1">
      <alignment horizontal="center" vertical="center"/>
    </xf>
    <xf numFmtId="0" fontId="84" fillId="13" borderId="5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 wrapText="1"/>
    </xf>
    <xf numFmtId="0" fontId="84" fillId="13" borderId="44" xfId="0" applyFont="1" applyFill="1" applyBorder="1" applyAlignment="1">
      <alignment horizontal="center" vertical="center" wrapText="1"/>
    </xf>
    <xf numFmtId="0" fontId="84" fillId="13" borderId="5" xfId="0" applyFont="1" applyFill="1" applyBorder="1" applyAlignment="1">
      <alignment horizontal="center" vertical="center" wrapText="1"/>
    </xf>
    <xf numFmtId="0" fontId="84" fillId="13" borderId="162" xfId="0" applyFont="1" applyFill="1" applyBorder="1" applyAlignment="1">
      <alignment horizontal="center" vertical="center" wrapText="1"/>
    </xf>
    <xf numFmtId="0" fontId="84" fillId="13" borderId="22" xfId="0" applyFont="1" applyFill="1" applyBorder="1" applyAlignment="1">
      <alignment horizontal="center" vertical="center" wrapText="1"/>
    </xf>
    <xf numFmtId="0" fontId="84" fillId="13" borderId="0" xfId="0" applyFont="1" applyFill="1" applyAlignment="1">
      <alignment horizontal="center" vertical="center" wrapText="1"/>
    </xf>
    <xf numFmtId="0" fontId="72" fillId="13" borderId="138" xfId="0" applyFont="1" applyFill="1" applyBorder="1" applyAlignment="1">
      <alignment horizontal="center"/>
    </xf>
    <xf numFmtId="0" fontId="72" fillId="13" borderId="139" xfId="0" applyFont="1" applyFill="1" applyBorder="1" applyAlignment="1">
      <alignment horizontal="center"/>
    </xf>
    <xf numFmtId="0" fontId="72" fillId="13" borderId="140" xfId="0" applyFont="1" applyFill="1" applyBorder="1" applyAlignment="1">
      <alignment horizontal="center"/>
    </xf>
    <xf numFmtId="0" fontId="78" fillId="0" borderId="219" xfId="0" applyFont="1" applyBorder="1" applyAlignment="1">
      <alignment horizontal="left" vertical="center"/>
    </xf>
    <xf numFmtId="0" fontId="78" fillId="0" borderId="220" xfId="0" applyFont="1" applyBorder="1" applyAlignment="1">
      <alignment horizontal="left" vertical="center"/>
    </xf>
    <xf numFmtId="0" fontId="78" fillId="0" borderId="221" xfId="0" applyFont="1" applyBorder="1" applyAlignment="1">
      <alignment horizontal="left" vertical="center"/>
    </xf>
    <xf numFmtId="0" fontId="15" fillId="0" borderId="138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51" xfId="0" applyFont="1" applyBorder="1" applyAlignment="1">
      <alignment horizontal="center" vertical="center" wrapText="1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99" xfId="0" applyFont="1" applyBorder="1" applyAlignment="1">
      <alignment horizontal="center" vertical="center" wrapText="1"/>
    </xf>
    <xf numFmtId="0" fontId="15" fillId="0" borderId="182" xfId="0" applyFont="1" applyBorder="1" applyAlignment="1">
      <alignment horizontal="center" vertical="center" wrapText="1"/>
    </xf>
    <xf numFmtId="0" fontId="15" fillId="0" borderId="184" xfId="0" applyFont="1" applyBorder="1" applyAlignment="1">
      <alignment horizontal="center" vertical="center" wrapText="1"/>
    </xf>
    <xf numFmtId="0" fontId="75" fillId="0" borderId="203" xfId="0" applyFont="1" applyBorder="1" applyAlignment="1">
      <alignment horizontal="left" vertical="center"/>
    </xf>
    <xf numFmtId="0" fontId="75" fillId="0" borderId="152" xfId="0" applyFont="1" applyBorder="1" applyAlignment="1">
      <alignment horizontal="left" vertical="center"/>
    </xf>
    <xf numFmtId="0" fontId="75" fillId="0" borderId="153" xfId="0" applyFont="1" applyBorder="1" applyAlignment="1">
      <alignment horizontal="left" vertical="center"/>
    </xf>
    <xf numFmtId="0" fontId="75" fillId="0" borderId="53" xfId="0" applyFont="1" applyBorder="1" applyAlignment="1">
      <alignment horizontal="left" vertical="center"/>
    </xf>
    <xf numFmtId="0" fontId="75" fillId="0" borderId="48" xfId="0" applyFont="1" applyBorder="1" applyAlignment="1">
      <alignment horizontal="left" vertical="center"/>
    </xf>
    <xf numFmtId="0" fontId="75" fillId="0" borderId="135" xfId="0" applyFont="1" applyBorder="1" applyAlignment="1">
      <alignment horizontal="left" vertical="center"/>
    </xf>
    <xf numFmtId="0" fontId="72" fillId="0" borderId="138" xfId="0" applyFont="1" applyBorder="1" applyAlignment="1">
      <alignment horizontal="center"/>
    </xf>
    <xf numFmtId="0" fontId="81" fillId="0" borderId="203" xfId="0" applyFont="1" applyBorder="1" applyAlignment="1">
      <alignment horizontal="center" vertical="center"/>
    </xf>
    <xf numFmtId="0" fontId="81" fillId="0" borderId="152" xfId="0" applyFont="1" applyBorder="1" applyAlignment="1">
      <alignment horizontal="center" vertical="center"/>
    </xf>
    <xf numFmtId="0" fontId="81" fillId="0" borderId="153" xfId="0" applyFont="1" applyBorder="1" applyAlignment="1">
      <alignment horizontal="center" vertical="center"/>
    </xf>
    <xf numFmtId="0" fontId="81" fillId="0" borderId="53" xfId="0" applyFont="1" applyBorder="1" applyAlignment="1">
      <alignment horizontal="center" vertical="center"/>
    </xf>
    <xf numFmtId="0" fontId="81" fillId="0" borderId="48" xfId="0" applyFont="1" applyBorder="1" applyAlignment="1">
      <alignment horizontal="center" vertical="center"/>
    </xf>
    <xf numFmtId="0" fontId="81" fillId="0" borderId="135" xfId="0" applyFont="1" applyBorder="1" applyAlignment="1">
      <alignment horizontal="center" vertical="center"/>
    </xf>
    <xf numFmtId="0" fontId="45" fillId="0" borderId="58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5" fillId="0" borderId="134" xfId="0" applyFont="1" applyBorder="1" applyAlignment="1">
      <alignment horizontal="center" vertical="center"/>
    </xf>
    <xf numFmtId="0" fontId="45" fillId="0" borderId="204" xfId="0" applyFont="1" applyBorder="1" applyAlignment="1">
      <alignment horizontal="center" vertical="center"/>
    </xf>
    <xf numFmtId="0" fontId="45" fillId="0" borderId="182" xfId="0" applyFont="1" applyBorder="1" applyAlignment="1">
      <alignment horizontal="center" vertical="center"/>
    </xf>
    <xf numFmtId="0" fontId="45" fillId="0" borderId="184" xfId="0" applyFont="1" applyBorder="1" applyAlignment="1">
      <alignment horizontal="center" vertical="center"/>
    </xf>
    <xf numFmtId="0" fontId="74" fillId="13" borderId="199" xfId="0" applyFont="1" applyFill="1" applyBorder="1" applyAlignment="1">
      <alignment horizontal="center" vertical="center"/>
    </xf>
    <xf numFmtId="0" fontId="74" fillId="13" borderId="182" xfId="0" applyFont="1" applyFill="1" applyBorder="1" applyAlignment="1">
      <alignment horizontal="center" vertical="center"/>
    </xf>
    <xf numFmtId="0" fontId="74" fillId="13" borderId="184" xfId="0" applyFont="1" applyFill="1" applyBorder="1" applyAlignment="1">
      <alignment horizontal="center" vertical="center"/>
    </xf>
    <xf numFmtId="0" fontId="73" fillId="13" borderId="151" xfId="0" applyFont="1" applyFill="1" applyBorder="1" applyAlignment="1">
      <alignment horizontal="center"/>
    </xf>
    <xf numFmtId="0" fontId="73" fillId="13" borderId="152" xfId="0" applyFont="1" applyFill="1" applyBorder="1" applyAlignment="1">
      <alignment horizontal="center"/>
    </xf>
    <xf numFmtId="0" fontId="73" fillId="13" borderId="153" xfId="0" applyFont="1" applyFill="1" applyBorder="1" applyAlignment="1">
      <alignment horizontal="center"/>
    </xf>
    <xf numFmtId="0" fontId="81" fillId="0" borderId="57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179" xfId="0" applyFont="1" applyBorder="1" applyAlignment="1">
      <alignment horizontal="center" vertical="center"/>
    </xf>
    <xf numFmtId="0" fontId="81" fillId="0" borderId="203" xfId="0" applyFont="1" applyBorder="1" applyAlignment="1">
      <alignment horizontal="left" vertical="center"/>
    </xf>
    <xf numFmtId="0" fontId="81" fillId="0" borderId="153" xfId="0" applyFont="1" applyBorder="1" applyAlignment="1">
      <alignment horizontal="left" vertical="center"/>
    </xf>
    <xf numFmtId="0" fontId="81" fillId="0" borderId="53" xfId="0" applyFont="1" applyBorder="1" applyAlignment="1">
      <alignment horizontal="left" vertical="center"/>
    </xf>
    <xf numFmtId="0" fontId="81" fillId="0" borderId="135" xfId="0" applyFont="1" applyBorder="1" applyAlignment="1">
      <alignment horizontal="left" vertical="center"/>
    </xf>
    <xf numFmtId="0" fontId="0" fillId="0" borderId="113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4" xfId="0" applyBorder="1" applyAlignment="1">
      <alignment horizontal="center"/>
    </xf>
    <xf numFmtId="0" fontId="77" fillId="0" borderId="78" xfId="0" applyFont="1" applyBorder="1" applyAlignment="1">
      <alignment horizontal="center" vertical="center" wrapText="1"/>
    </xf>
    <xf numFmtId="0" fontId="77" fillId="0" borderId="20" xfId="0" applyFont="1" applyBorder="1" applyAlignment="1">
      <alignment horizontal="center" vertical="center" wrapText="1"/>
    </xf>
    <xf numFmtId="0" fontId="77" fillId="0" borderId="17" xfId="0" applyFont="1" applyBorder="1" applyAlignment="1">
      <alignment horizontal="center" vertical="center" wrapText="1"/>
    </xf>
    <xf numFmtId="0" fontId="77" fillId="0" borderId="53" xfId="0" applyFont="1" applyBorder="1" applyAlignment="1">
      <alignment horizontal="center" vertical="center" wrapText="1"/>
    </xf>
    <xf numFmtId="0" fontId="77" fillId="0" borderId="48" xfId="0" applyFont="1" applyBorder="1" applyAlignment="1">
      <alignment horizontal="center" vertical="center" wrapText="1"/>
    </xf>
    <xf numFmtId="0" fontId="77" fillId="0" borderId="69" xfId="0" applyFont="1" applyBorder="1" applyAlignment="1">
      <alignment horizontal="center" vertical="center" wrapText="1"/>
    </xf>
    <xf numFmtId="0" fontId="45" fillId="0" borderId="67" xfId="0" applyFont="1" applyBorder="1" applyAlignment="1">
      <alignment horizontal="center" vertical="center"/>
    </xf>
    <xf numFmtId="0" fontId="45" fillId="0" borderId="209" xfId="0" applyFont="1" applyBorder="1" applyAlignment="1">
      <alignment horizontal="center" vertical="center"/>
    </xf>
    <xf numFmtId="0" fontId="45" fillId="0" borderId="25" xfId="0" applyFont="1" applyBorder="1" applyAlignment="1">
      <alignment horizontal="center" vertical="center"/>
    </xf>
    <xf numFmtId="0" fontId="45" fillId="0" borderId="26" xfId="0" applyFont="1" applyBorder="1" applyAlignment="1">
      <alignment horizontal="center" vertical="center"/>
    </xf>
    <xf numFmtId="0" fontId="45" fillId="0" borderId="58" xfId="0" applyFont="1" applyBorder="1" applyAlignment="1">
      <alignment horizontal="left" vertical="center"/>
    </xf>
    <xf numFmtId="0" fontId="45" fillId="0" borderId="134" xfId="0" applyFont="1" applyBorder="1" applyAlignment="1">
      <alignment horizontal="left" vertical="center"/>
    </xf>
    <xf numFmtId="0" fontId="45" fillId="0" borderId="204" xfId="0" applyFont="1" applyBorder="1" applyAlignment="1">
      <alignment horizontal="left" vertical="center"/>
    </xf>
    <xf numFmtId="0" fontId="45" fillId="0" borderId="184" xfId="0" applyFont="1" applyBorder="1" applyAlignment="1">
      <alignment horizontal="left" vertical="center"/>
    </xf>
    <xf numFmtId="0" fontId="62" fillId="0" borderId="35" xfId="0" applyFont="1" applyBorder="1" applyAlignment="1">
      <alignment horizontal="center" vertical="center"/>
    </xf>
    <xf numFmtId="0" fontId="62" fillId="0" borderId="36" xfId="0" applyFont="1" applyBorder="1" applyAlignment="1">
      <alignment horizontal="center" vertical="center"/>
    </xf>
    <xf numFmtId="9" fontId="0" fillId="0" borderId="229" xfId="0" applyNumberFormat="1" applyBorder="1" applyAlignment="1">
      <alignment horizontal="center" vertical="center"/>
    </xf>
    <xf numFmtId="9" fontId="0" fillId="0" borderId="222" xfId="0" applyNumberFormat="1" applyBorder="1" applyAlignment="1">
      <alignment horizontal="center" vertical="center"/>
    </xf>
    <xf numFmtId="9" fontId="0" fillId="0" borderId="256" xfId="0" applyNumberFormat="1" applyBorder="1" applyAlignment="1">
      <alignment horizontal="center" vertical="center"/>
    </xf>
    <xf numFmtId="0" fontId="0" fillId="0" borderId="255" xfId="0" applyBorder="1" applyAlignment="1">
      <alignment horizontal="right"/>
    </xf>
    <xf numFmtId="0" fontId="0" fillId="0" borderId="222" xfId="0" applyBorder="1" applyAlignment="1">
      <alignment horizontal="right"/>
    </xf>
    <xf numFmtId="0" fontId="0" fillId="0" borderId="224" xfId="0" applyBorder="1" applyAlignment="1">
      <alignment horizontal="right"/>
    </xf>
    <xf numFmtId="0" fontId="0" fillId="0" borderId="255" xfId="0" applyBorder="1" applyAlignment="1">
      <alignment horizontal="right" vertical="center"/>
    </xf>
    <xf numFmtId="0" fontId="0" fillId="0" borderId="222" xfId="0" applyBorder="1" applyAlignment="1">
      <alignment horizontal="right" vertical="center"/>
    </xf>
    <xf numFmtId="0" fontId="0" fillId="0" borderId="224" xfId="0" applyBorder="1" applyAlignment="1">
      <alignment horizontal="right" vertical="center"/>
    </xf>
    <xf numFmtId="0" fontId="0" fillId="17" borderId="255" xfId="0" applyFill="1" applyBorder="1" applyAlignment="1">
      <alignment horizontal="left" vertical="center"/>
    </xf>
    <xf numFmtId="0" fontId="0" fillId="17" borderId="222" xfId="0" applyFill="1" applyBorder="1" applyAlignment="1">
      <alignment horizontal="left" vertical="center"/>
    </xf>
    <xf numFmtId="0" fontId="0" fillId="17" borderId="224" xfId="0" applyFill="1" applyBorder="1" applyAlignment="1">
      <alignment horizontal="left" vertical="center"/>
    </xf>
    <xf numFmtId="9" fontId="76" fillId="0" borderId="223" xfId="0" applyNumberFormat="1" applyFont="1" applyBorder="1" applyAlignment="1">
      <alignment horizontal="center" vertical="center"/>
    </xf>
    <xf numFmtId="9" fontId="76" fillId="0" borderId="222" xfId="0" applyNumberFormat="1" applyFont="1" applyBorder="1" applyAlignment="1">
      <alignment horizontal="center" vertical="center"/>
    </xf>
    <xf numFmtId="9" fontId="76" fillId="0" borderId="224" xfId="0" applyNumberFormat="1" applyFont="1" applyBorder="1" applyAlignment="1">
      <alignment horizontal="center" vertical="center"/>
    </xf>
    <xf numFmtId="9" fontId="0" fillId="0" borderId="225" xfId="0" applyNumberFormat="1" applyBorder="1" applyAlignment="1">
      <alignment horizontal="center" vertical="center"/>
    </xf>
    <xf numFmtId="9" fontId="0" fillId="0" borderId="226" xfId="0" applyNumberFormat="1" applyBorder="1" applyAlignment="1">
      <alignment horizontal="center" vertical="center"/>
    </xf>
    <xf numFmtId="9" fontId="0" fillId="17" borderId="225" xfId="0" applyNumberFormat="1" applyFill="1" applyBorder="1" applyAlignment="1">
      <alignment horizontal="center" vertical="center"/>
    </xf>
    <xf numFmtId="9" fontId="0" fillId="17" borderId="226" xfId="0" applyNumberFormat="1" applyFill="1" applyBorder="1" applyAlignment="1">
      <alignment horizontal="center" vertical="center"/>
    </xf>
    <xf numFmtId="9" fontId="76" fillId="17" borderId="223" xfId="0" applyNumberFormat="1" applyFont="1" applyFill="1" applyBorder="1" applyAlignment="1">
      <alignment horizontal="center" vertical="center"/>
    </xf>
    <xf numFmtId="9" fontId="76" fillId="17" borderId="222" xfId="0" applyNumberFormat="1" applyFont="1" applyFill="1" applyBorder="1" applyAlignment="1">
      <alignment horizontal="center" vertical="center"/>
    </xf>
    <xf numFmtId="9" fontId="76" fillId="17" borderId="224" xfId="0" applyNumberFormat="1" applyFont="1" applyFill="1" applyBorder="1" applyAlignment="1">
      <alignment horizontal="center" vertical="center"/>
    </xf>
    <xf numFmtId="0" fontId="15" fillId="0" borderId="267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7" borderId="252" xfId="0" applyNumberFormat="1" applyFill="1" applyBorder="1" applyAlignment="1">
      <alignment horizontal="center" vertical="center"/>
    </xf>
    <xf numFmtId="9" fontId="0" fillId="17" borderId="247" xfId="0" applyNumberFormat="1" applyFill="1" applyBorder="1" applyAlignment="1">
      <alignment horizontal="center" vertical="center"/>
    </xf>
    <xf numFmtId="9" fontId="0" fillId="17" borderId="254" xfId="0" applyNumberFormat="1" applyFill="1" applyBorder="1" applyAlignment="1">
      <alignment horizontal="center" vertical="center"/>
    </xf>
    <xf numFmtId="9" fontId="0" fillId="17" borderId="229" xfId="0" applyNumberFormat="1" applyFill="1" applyBorder="1" applyAlignment="1">
      <alignment horizontal="center" vertical="center"/>
    </xf>
    <xf numFmtId="9" fontId="0" fillId="17" borderId="222" xfId="0" applyNumberFormat="1" applyFill="1" applyBorder="1" applyAlignment="1">
      <alignment horizontal="center" vertical="center"/>
    </xf>
    <xf numFmtId="9" fontId="0" fillId="17" borderId="256" xfId="0" applyNumberFormat="1" applyFill="1" applyBorder="1" applyAlignment="1">
      <alignment horizontal="center" vertical="center"/>
    </xf>
    <xf numFmtId="9" fontId="0" fillId="0" borderId="230" xfId="0" applyNumberFormat="1" applyBorder="1" applyAlignment="1">
      <alignment horizontal="center" vertical="center"/>
    </xf>
    <xf numFmtId="0" fontId="15" fillId="0" borderId="268" xfId="0" applyFont="1" applyBorder="1" applyAlignment="1">
      <alignment horizontal="center" vertical="center"/>
    </xf>
    <xf numFmtId="9" fontId="0" fillId="17" borderId="253" xfId="0" applyNumberFormat="1" applyFill="1" applyBorder="1" applyAlignment="1">
      <alignment horizontal="center" vertical="center"/>
    </xf>
    <xf numFmtId="9" fontId="0" fillId="17" borderId="230" xfId="0" applyNumberFormat="1" applyFill="1" applyBorder="1" applyAlignment="1">
      <alignment horizontal="center" vertical="center"/>
    </xf>
    <xf numFmtId="9" fontId="0" fillId="17" borderId="264" xfId="0" applyNumberFormat="1" applyFill="1" applyBorder="1" applyAlignment="1">
      <alignment horizontal="center" vertical="center"/>
    </xf>
    <xf numFmtId="9" fontId="0" fillId="17" borderId="260" xfId="0" applyNumberFormat="1" applyFill="1" applyBorder="1" applyAlignment="1">
      <alignment horizontal="center" vertical="center"/>
    </xf>
    <xf numFmtId="9" fontId="0" fillId="17" borderId="265" xfId="0" applyNumberFormat="1" applyFill="1" applyBorder="1" applyAlignment="1">
      <alignment horizontal="center" vertical="center"/>
    </xf>
    <xf numFmtId="9" fontId="0" fillId="17" borderId="266" xfId="0" applyNumberFormat="1" applyFill="1" applyBorder="1" applyAlignment="1">
      <alignment horizontal="center" vertical="center"/>
    </xf>
    <xf numFmtId="0" fontId="7" fillId="13" borderId="273" xfId="0" applyFont="1" applyFill="1" applyBorder="1" applyAlignment="1">
      <alignment horizontal="center" vertical="center"/>
    </xf>
    <xf numFmtId="0" fontId="7" fillId="13" borderId="274" xfId="0" applyFont="1" applyFill="1" applyBorder="1" applyAlignment="1">
      <alignment horizontal="center" vertical="center"/>
    </xf>
    <xf numFmtId="0" fontId="7" fillId="13" borderId="275" xfId="0" applyFont="1" applyFill="1" applyBorder="1" applyAlignment="1">
      <alignment horizontal="center" vertical="center"/>
    </xf>
    <xf numFmtId="0" fontId="7" fillId="13" borderId="158" xfId="0" applyFont="1" applyFill="1" applyBorder="1" applyAlignment="1">
      <alignment horizontal="center" vertical="center"/>
    </xf>
    <xf numFmtId="0" fontId="7" fillId="13" borderId="276" xfId="0" applyFont="1" applyFill="1" applyBorder="1" applyAlignment="1">
      <alignment horizontal="center" vertical="center"/>
    </xf>
    <xf numFmtId="0" fontId="7" fillId="13" borderId="206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/>
    </xf>
    <xf numFmtId="0" fontId="58" fillId="13" borderId="160" xfId="0" applyFont="1" applyFill="1" applyBorder="1" applyAlignment="1">
      <alignment horizontal="center" vertical="center"/>
    </xf>
    <xf numFmtId="0" fontId="58" fillId="13" borderId="161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 wrapText="1"/>
    </xf>
    <xf numFmtId="0" fontId="58" fillId="13" borderId="161" xfId="0" applyFont="1" applyFill="1" applyBorder="1" applyAlignment="1">
      <alignment horizontal="center" vertical="center" wrapText="1"/>
    </xf>
    <xf numFmtId="9" fontId="0" fillId="17" borderId="244" xfId="0" applyNumberFormat="1" applyFill="1" applyBorder="1" applyAlignment="1">
      <alignment horizontal="center" vertical="center"/>
    </xf>
    <xf numFmtId="9" fontId="0" fillId="17" borderId="240" xfId="0" applyNumberFormat="1" applyFill="1" applyBorder="1" applyAlignment="1">
      <alignment horizontal="center" vertical="center"/>
    </xf>
    <xf numFmtId="9" fontId="0" fillId="17" borderId="258" xfId="0" applyNumberFormat="1" applyFill="1" applyBorder="1" applyAlignment="1">
      <alignment horizontal="center" vertical="center"/>
    </xf>
    <xf numFmtId="9" fontId="0" fillId="0" borderId="96" xfId="0" applyNumberFormat="1" applyBorder="1" applyAlignment="1">
      <alignment horizontal="center" vertical="center"/>
    </xf>
    <xf numFmtId="9" fontId="0" fillId="0" borderId="205" xfId="0" applyNumberFormat="1" applyBorder="1" applyAlignment="1">
      <alignment horizontal="center" vertical="center"/>
    </xf>
    <xf numFmtId="9" fontId="0" fillId="17" borderId="245" xfId="0" applyNumberFormat="1" applyFill="1" applyBorder="1" applyAlignment="1">
      <alignment horizontal="center" vertical="center"/>
    </xf>
    <xf numFmtId="9" fontId="0" fillId="17" borderId="242" xfId="0" applyNumberFormat="1" applyFill="1" applyBorder="1" applyAlignment="1">
      <alignment horizontal="center" vertical="center"/>
    </xf>
    <xf numFmtId="9" fontId="0" fillId="17" borderId="243" xfId="0" applyNumberFormat="1" applyFill="1" applyBorder="1" applyAlignment="1">
      <alignment horizontal="center" vertical="center"/>
    </xf>
    <xf numFmtId="0" fontId="62" fillId="0" borderId="171" xfId="0" applyFont="1" applyBorder="1" applyAlignment="1">
      <alignment horizontal="center" vertical="center"/>
    </xf>
    <xf numFmtId="9" fontId="0" fillId="17" borderId="250" xfId="0" applyNumberFormat="1" applyFill="1" applyBorder="1" applyAlignment="1">
      <alignment horizontal="center" vertical="center"/>
    </xf>
    <xf numFmtId="9" fontId="0" fillId="17" borderId="251" xfId="0" applyNumberFormat="1" applyFill="1" applyBorder="1" applyAlignment="1">
      <alignment horizontal="center" vertical="center"/>
    </xf>
    <xf numFmtId="9" fontId="76" fillId="17" borderId="262" xfId="0" applyNumberFormat="1" applyFont="1" applyFill="1" applyBorder="1" applyAlignment="1">
      <alignment horizontal="center" vertical="center"/>
    </xf>
    <xf numFmtId="9" fontId="76" fillId="17" borderId="260" xfId="0" applyNumberFormat="1" applyFont="1" applyFill="1" applyBorder="1" applyAlignment="1">
      <alignment horizontal="center" vertical="center"/>
    </xf>
    <xf numFmtId="9" fontId="76" fillId="17" borderId="261" xfId="0" applyNumberFormat="1" applyFont="1" applyFill="1" applyBorder="1" applyAlignment="1">
      <alignment horizontal="center" vertical="center"/>
    </xf>
    <xf numFmtId="9" fontId="0" fillId="17" borderId="263" xfId="0" applyNumberFormat="1" applyFill="1" applyBorder="1" applyAlignment="1">
      <alignment horizontal="center" vertical="center"/>
    </xf>
    <xf numFmtId="9" fontId="0" fillId="17" borderId="182" xfId="0" applyNumberFormat="1" applyFill="1" applyBorder="1" applyAlignment="1">
      <alignment horizontal="center" vertical="center"/>
    </xf>
    <xf numFmtId="9" fontId="76" fillId="0" borderId="96" xfId="0" applyNumberFormat="1" applyFont="1" applyBorder="1" applyAlignment="1">
      <alignment horizontal="center" vertical="center"/>
    </xf>
    <xf numFmtId="9" fontId="76" fillId="17" borderId="239" xfId="0" applyNumberFormat="1" applyFont="1" applyFill="1" applyBorder="1" applyAlignment="1">
      <alignment horizontal="center" vertical="center"/>
    </xf>
    <xf numFmtId="9" fontId="76" fillId="17" borderId="240" xfId="0" applyNumberFormat="1" applyFont="1" applyFill="1" applyBorder="1" applyAlignment="1">
      <alignment horizontal="center" vertical="center"/>
    </xf>
    <xf numFmtId="9" fontId="76" fillId="17" borderId="241" xfId="0" applyNumberFormat="1" applyFont="1" applyFill="1" applyBorder="1" applyAlignment="1">
      <alignment horizontal="center" vertical="center"/>
    </xf>
    <xf numFmtId="0" fontId="0" fillId="17" borderId="246" xfId="0" applyFill="1" applyBorder="1" applyAlignment="1">
      <alignment horizontal="left" vertical="center"/>
    </xf>
    <xf numFmtId="0" fontId="0" fillId="17" borderId="247" xfId="0" applyFill="1" applyBorder="1" applyAlignment="1">
      <alignment horizontal="left" vertical="center"/>
    </xf>
    <xf numFmtId="0" fontId="0" fillId="17" borderId="248" xfId="0" applyFill="1" applyBorder="1" applyAlignment="1">
      <alignment horizontal="left" vertical="center"/>
    </xf>
    <xf numFmtId="9" fontId="76" fillId="17" borderId="249" xfId="0" applyNumberFormat="1" applyFont="1" applyFill="1" applyBorder="1" applyAlignment="1">
      <alignment horizontal="center" vertical="center"/>
    </xf>
    <xf numFmtId="9" fontId="76" fillId="17" borderId="247" xfId="0" applyNumberFormat="1" applyFont="1" applyFill="1" applyBorder="1" applyAlignment="1">
      <alignment horizontal="center" vertical="center"/>
    </xf>
    <xf numFmtId="9" fontId="76" fillId="17" borderId="248" xfId="0" applyNumberFormat="1" applyFont="1" applyFill="1" applyBorder="1" applyAlignment="1">
      <alignment horizontal="center" vertical="center"/>
    </xf>
    <xf numFmtId="0" fontId="0" fillId="17" borderId="259" xfId="0" applyFill="1" applyBorder="1" applyAlignment="1">
      <alignment horizontal="center"/>
    </xf>
    <xf numFmtId="0" fontId="0" fillId="17" borderId="260" xfId="0" applyFill="1" applyBorder="1" applyAlignment="1">
      <alignment horizontal="center"/>
    </xf>
    <xf numFmtId="0" fontId="0" fillId="17" borderId="261" xfId="0" applyFill="1" applyBorder="1" applyAlignment="1">
      <alignment horizontal="center"/>
    </xf>
    <xf numFmtId="0" fontId="0" fillId="17" borderId="257" xfId="0" applyFill="1" applyBorder="1" applyAlignment="1">
      <alignment horizontal="left"/>
    </xf>
    <xf numFmtId="0" fontId="0" fillId="17" borderId="240" xfId="0" applyFill="1" applyBorder="1" applyAlignment="1">
      <alignment horizontal="left"/>
    </xf>
    <xf numFmtId="0" fontId="0" fillId="17" borderId="241" xfId="0" applyFill="1" applyBorder="1" applyAlignment="1">
      <alignment horizontal="left"/>
    </xf>
    <xf numFmtId="0" fontId="0" fillId="0" borderId="156" xfId="0" applyBorder="1" applyAlignment="1">
      <alignment horizontal="center"/>
    </xf>
    <xf numFmtId="0" fontId="0" fillId="0" borderId="96" xfId="0" applyBorder="1" applyAlignment="1">
      <alignment horizontal="center"/>
    </xf>
    <xf numFmtId="0" fontId="58" fillId="13" borderId="159" xfId="0" applyFont="1" applyFill="1" applyBorder="1" applyAlignment="1">
      <alignment horizontal="center" vertical="top" wrapText="1"/>
    </xf>
    <xf numFmtId="0" fontId="58" fillId="13" borderId="161" xfId="0" applyFont="1" applyFill="1" applyBorder="1" applyAlignment="1">
      <alignment horizontal="center" vertical="top" wrapText="1"/>
    </xf>
    <xf numFmtId="0" fontId="7" fillId="13" borderId="159" xfId="0" applyFont="1" applyFill="1" applyBorder="1" applyAlignment="1">
      <alignment horizontal="center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image" Target="../media/image30.png"/><Relationship Id="rId7" Type="http://schemas.openxmlformats.org/officeDocument/2006/relationships/chart" Target="../charts/chart12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1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8278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8278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8278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8278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8278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8278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8278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8278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8279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8279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2"/>
      <c r="D11" s="212"/>
      <c r="E11" s="217"/>
      <c r="F11" s="218" t="s">
        <v>119</v>
      </c>
      <c r="G11" s="544">
        <v>2025</v>
      </c>
      <c r="H11" s="544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19"/>
      <c r="F12" s="545" t="s">
        <v>154</v>
      </c>
      <c r="G12" s="546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16"/>
      <c r="F15" s="542" t="s">
        <v>120</v>
      </c>
      <c r="G15" s="542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16"/>
      <c r="F16" s="542" t="s">
        <v>121</v>
      </c>
      <c r="G16" s="542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3"/>
      <c r="F17" s="214"/>
      <c r="G17" s="214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15"/>
      <c r="F18" s="543" t="s">
        <v>122</v>
      </c>
      <c r="G18" s="543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64"/>
      <c r="C2" s="364"/>
      <c r="D2" s="364"/>
      <c r="E2" s="364"/>
      <c r="F2" s="364"/>
      <c r="G2" s="364"/>
      <c r="H2" s="364"/>
      <c r="I2" s="364"/>
      <c r="J2" s="558" t="s">
        <v>126</v>
      </c>
      <c r="K2" s="558"/>
      <c r="L2" s="558"/>
      <c r="M2" s="558"/>
      <c r="N2" s="558"/>
      <c r="O2" s="558"/>
      <c r="P2" s="364"/>
      <c r="Q2" s="364"/>
      <c r="R2" s="364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65" t="s">
        <v>123</v>
      </c>
      <c r="C4" s="365"/>
      <c r="D4" s="365"/>
      <c r="E4" s="365"/>
      <c r="F4" s="365"/>
      <c r="G4" s="365"/>
      <c r="H4" s="365"/>
      <c r="I4" s="365" t="s">
        <v>124</v>
      </c>
      <c r="J4" s="557" t="s">
        <v>125</v>
      </c>
      <c r="K4" s="557"/>
      <c r="L4" s="557"/>
      <c r="M4" s="557"/>
      <c r="N4" s="557"/>
      <c r="O4" s="557"/>
      <c r="P4" s="366"/>
      <c r="Q4" s="366"/>
      <c r="R4" s="367"/>
      <c r="S4" s="22"/>
    </row>
    <row r="5" spans="1:19" ht="29.25" customHeight="1">
      <c r="A5" s="23"/>
      <c r="B5" s="368"/>
      <c r="C5" s="368"/>
      <c r="D5" s="368"/>
      <c r="E5" s="368"/>
      <c r="F5" s="368"/>
      <c r="G5" s="368"/>
      <c r="H5" s="368"/>
      <c r="I5" s="369"/>
      <c r="J5" s="550" t="s">
        <v>117</v>
      </c>
      <c r="K5" s="550"/>
      <c r="L5" s="550"/>
      <c r="M5" s="550"/>
      <c r="N5" s="562" t="s">
        <v>154</v>
      </c>
      <c r="O5" s="562"/>
      <c r="P5" s="562"/>
      <c r="Q5" s="370"/>
      <c r="R5" s="370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53" t="str">
        <f>_xlfn.CONCAT("PERIODO ", N5)</f>
        <v>PERIODO ABRIL - 2025</v>
      </c>
      <c r="D8" s="554"/>
      <c r="E8" s="555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5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556" t="s">
        <v>5</v>
      </c>
      <c r="D10" s="556"/>
      <c r="E10" s="556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49">
        <f>R13</f>
        <v>0</v>
      </c>
      <c r="E11" s="549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49">
        <f>R12</f>
        <v>0</v>
      </c>
      <c r="E12" s="549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49">
        <f>R10</f>
        <v>0</v>
      </c>
      <c r="E13" s="549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49">
        <f>R11</f>
        <v>0</v>
      </c>
      <c r="E14" s="549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48">
        <f>R14</f>
        <v>0</v>
      </c>
      <c r="E15" s="548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59" t="s">
        <v>12</v>
      </c>
      <c r="D24" s="560"/>
      <c r="E24" s="561"/>
      <c r="S24" s="22"/>
    </row>
    <row r="25" spans="1:19" ht="32.25" customHeight="1">
      <c r="A25" s="23"/>
      <c r="C25" s="38" t="s">
        <v>6</v>
      </c>
      <c r="D25" s="551">
        <f>SUM(M13:O13)</f>
        <v>0</v>
      </c>
      <c r="E25" s="552"/>
      <c r="S25" s="22"/>
    </row>
    <row r="26" spans="1:19" ht="33.75" customHeight="1">
      <c r="A26" s="23"/>
      <c r="C26" s="39" t="s">
        <v>7</v>
      </c>
      <c r="D26" s="551">
        <f>SUM(M12:O12)</f>
        <v>0</v>
      </c>
      <c r="E26" s="552"/>
      <c r="S26" s="22"/>
    </row>
    <row r="27" spans="1:19" ht="38.25" customHeight="1">
      <c r="A27" s="23"/>
      <c r="C27" s="39" t="s">
        <v>8</v>
      </c>
      <c r="D27" s="549">
        <f>SUM(M10:O10)</f>
        <v>0</v>
      </c>
      <c r="E27" s="549"/>
      <c r="S27" s="22"/>
    </row>
    <row r="28" spans="1:19" ht="25.5" customHeight="1">
      <c r="A28" s="23"/>
      <c r="C28" s="39" t="s">
        <v>9</v>
      </c>
      <c r="D28" s="549">
        <f>SUM(M11:O11)</f>
        <v>0</v>
      </c>
      <c r="E28" s="549"/>
      <c r="S28" s="22"/>
    </row>
    <row r="29" spans="1:19" ht="33" customHeight="1">
      <c r="A29" s="23"/>
      <c r="C29" s="37" t="s">
        <v>11</v>
      </c>
      <c r="D29" s="547">
        <f>SUM(M14:O14)</f>
        <v>0</v>
      </c>
      <c r="E29" s="547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05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563" t="s">
        <v>116</v>
      </c>
      <c r="B2" s="564"/>
      <c r="C2" s="564"/>
      <c r="D2" s="564"/>
      <c r="E2" s="564"/>
      <c r="F2" s="564"/>
      <c r="G2" s="564"/>
      <c r="H2" s="564"/>
      <c r="I2" s="564"/>
      <c r="J2" s="564"/>
      <c r="K2" s="564"/>
      <c r="L2" s="564"/>
      <c r="M2" s="564"/>
      <c r="N2" s="564"/>
      <c r="O2" s="564"/>
      <c r="P2" s="564"/>
      <c r="Q2" s="564"/>
      <c r="R2" s="564"/>
      <c r="S2" s="564"/>
      <c r="T2" s="565" t="s">
        <v>154</v>
      </c>
      <c r="U2" s="565"/>
      <c r="V2" s="565"/>
      <c r="W2" s="565"/>
      <c r="X2" s="565"/>
      <c r="Y2" s="565"/>
      <c r="Z2" s="565"/>
      <c r="AA2" s="566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567" t="s">
        <v>40</v>
      </c>
      <c r="B1" s="568"/>
      <c r="C1" s="568"/>
      <c r="D1" s="568"/>
      <c r="E1" s="568"/>
      <c r="F1" s="568"/>
      <c r="G1" s="568"/>
      <c r="H1" s="568"/>
      <c r="I1" s="568"/>
      <c r="J1" s="568"/>
      <c r="K1" s="568"/>
      <c r="L1" s="568"/>
      <c r="M1" s="568"/>
      <c r="N1" s="568"/>
      <c r="O1" s="568"/>
      <c r="P1" s="568"/>
      <c r="Q1" s="568"/>
      <c r="R1" s="568"/>
    </row>
    <row r="2" spans="1:21" ht="19.5" thickBot="1">
      <c r="A2" s="569" t="s">
        <v>154</v>
      </c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  <c r="N2" s="570"/>
      <c r="O2" s="570"/>
      <c r="P2" s="570"/>
      <c r="Q2" s="570"/>
      <c r="R2" s="570"/>
    </row>
    <row r="3" spans="1:21">
      <c r="A3" s="30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03"/>
      <c r="B4" s="304"/>
      <c r="C4" s="30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03"/>
      <c r="B5" s="321" t="s">
        <v>41</v>
      </c>
      <c r="C5" s="571" t="s">
        <v>42</v>
      </c>
      <c r="D5" s="571"/>
      <c r="E5" s="571"/>
      <c r="F5" s="571" t="s">
        <v>43</v>
      </c>
      <c r="G5" s="571"/>
      <c r="H5" s="571"/>
      <c r="I5" s="571" t="s">
        <v>136</v>
      </c>
      <c r="J5" s="571"/>
      <c r="K5" s="571"/>
      <c r="L5" s="571" t="s">
        <v>44</v>
      </c>
      <c r="M5" s="571"/>
      <c r="N5" s="571"/>
      <c r="O5" s="571" t="s">
        <v>137</v>
      </c>
      <c r="P5" s="571"/>
      <c r="Q5" s="572"/>
      <c r="R5" s="301"/>
      <c r="S5" s="300"/>
      <c r="T5" s="3"/>
      <c r="U5" s="3"/>
    </row>
    <row r="6" spans="1:21" ht="21">
      <c r="A6" s="303"/>
      <c r="B6" s="322" t="s">
        <v>23</v>
      </c>
      <c r="C6" s="307"/>
      <c r="D6" s="308" t="str">
        <f>IF(data_status_reg!$E4="bajo",0,IF(data_status_reg!$E4="medio",0.5,IF(data_status_reg!$E4="alto",1,"falta riesgo")))</f>
        <v>falta riesgo</v>
      </c>
      <c r="E6" s="309"/>
      <c r="F6" s="309"/>
      <c r="G6" s="308" t="str">
        <f>IF(data_status_reg!$E20="bajo",0,IF(data_status_reg!$E20="medio",0.5,IF(data_status_reg!$E20="alto",1,"falta riesgo")))</f>
        <v>falta riesgo</v>
      </c>
      <c r="H6" s="309"/>
      <c r="I6" s="309"/>
      <c r="J6" s="308" t="str">
        <f>IF(data_status_reg!$E36="bajo",0,IF(data_status_reg!$E36="medio",0.5,IF(data_status_reg!$E36="alto",1,"falta riesgo")))</f>
        <v>falta riesgo</v>
      </c>
      <c r="K6" s="309"/>
      <c r="L6" s="309"/>
      <c r="M6" s="308" t="str">
        <f>IF(data_status_reg!$E52="bajo",0,IF(data_status_reg!$E52="medio",0.5,IF(data_status_reg!$E52="alto",1,"falta riesgo")))</f>
        <v>falta riesgo</v>
      </c>
      <c r="N6" s="310"/>
      <c r="O6" s="324"/>
      <c r="P6" s="308" t="str">
        <f>IF(data_status_reg!$E68="bajo",0,IF(data_status_reg!$E68="medio",0.5,IF(data_status_reg!$E68="alto",1,"falta riesgo")))</f>
        <v>falta riesgo</v>
      </c>
      <c r="Q6" s="311"/>
      <c r="R6" s="302"/>
    </row>
    <row r="7" spans="1:21" ht="21">
      <c r="A7" s="303"/>
      <c r="B7" s="322" t="s">
        <v>24</v>
      </c>
      <c r="C7" s="312"/>
      <c r="D7" s="297" t="str">
        <f>IF(data_status_reg!$E5="bajo",0,IF(data_status_reg!$E5="medio",0.5,IF(data_status_reg!$E5="alto",1,"falta riesgo")))</f>
        <v>falta riesgo</v>
      </c>
      <c r="E7" s="298"/>
      <c r="F7" s="298"/>
      <c r="G7" s="297" t="str">
        <f>IF(data_status_reg!$E21="bajo",0,IF(data_status_reg!$E21="medio",0.5,IF(data_status_reg!$E21="alto",1,"falta riesgo")))</f>
        <v>falta riesgo</v>
      </c>
      <c r="H7" s="298"/>
      <c r="I7" s="298"/>
      <c r="J7" s="297" t="str">
        <f>IF(data_status_reg!$E37="bajo",0,IF(data_status_reg!$E37="medio",0.5,IF(data_status_reg!$E37="alto",1,"falta riesgo")))</f>
        <v>falta riesgo</v>
      </c>
      <c r="K7" s="298"/>
      <c r="L7" s="298"/>
      <c r="M7" s="297" t="str">
        <f>IF(data_status_reg!$E53="bajo",0,IF(data_status_reg!$E53="medio",0.5,IF(data_status_reg!$E53="alto",1,"falta riesgo")))</f>
        <v>falta riesgo</v>
      </c>
      <c r="N7" s="295"/>
      <c r="O7" s="325"/>
      <c r="P7" s="297" t="str">
        <f>IF(data_status_reg!$E69="bajo",0,IF(data_status_reg!$E69="medio",0.5,IF(data_status_reg!$E69="alto",1,"falta riesgo")))</f>
        <v>falta riesgo</v>
      </c>
      <c r="Q7" s="313"/>
      <c r="R7" s="3"/>
    </row>
    <row r="8" spans="1:21" ht="21">
      <c r="A8" s="303"/>
      <c r="B8" s="322" t="s">
        <v>25</v>
      </c>
      <c r="C8" s="312"/>
      <c r="D8" s="297" t="str">
        <f>IF(data_status_reg!$E6="bajo",0,IF(data_status_reg!$E6="medio",0.5,IF(data_status_reg!$E6="alto",1,"falta riesgo")))</f>
        <v>falta riesgo</v>
      </c>
      <c r="E8" s="298"/>
      <c r="F8" s="298"/>
      <c r="G8" s="297" t="str">
        <f>IF(data_status_reg!$E22="bajo",0,IF(data_status_reg!$E22="medio",0.5,IF(data_status_reg!$E22="alto",1,"falta riesgo")))</f>
        <v>falta riesgo</v>
      </c>
      <c r="H8" s="298"/>
      <c r="I8" s="298"/>
      <c r="J8" s="297" t="str">
        <f>IF(data_status_reg!$E38="bajo",0,IF(data_status_reg!$E38="medio",0.5,IF(data_status_reg!$E38="alto",1,"falta riesgo")))</f>
        <v>falta riesgo</v>
      </c>
      <c r="K8" s="298"/>
      <c r="L8" s="298"/>
      <c r="M8" s="297" t="str">
        <f>IF(data_status_reg!$E54="bajo",0,IF(data_status_reg!$E54="medio",0.5,IF(data_status_reg!$E54="alto",1,"falta riesgo")))</f>
        <v>falta riesgo</v>
      </c>
      <c r="N8" s="295"/>
      <c r="O8" s="325"/>
      <c r="P8" s="297" t="str">
        <f>IF(data_status_reg!$E70="bajo",0,IF(data_status_reg!$E70="medio",0.5,IF(data_status_reg!$E70="alto",1,"falta riesgo")))</f>
        <v>falta riesgo</v>
      </c>
      <c r="Q8" s="313"/>
      <c r="R8" s="3"/>
    </row>
    <row r="9" spans="1:21" ht="21">
      <c r="A9" s="303"/>
      <c r="B9" s="322" t="s">
        <v>26</v>
      </c>
      <c r="C9" s="312"/>
      <c r="D9" s="297" t="str">
        <f>IF(data_status_reg!$E7="bajo",0,IF(data_status_reg!$E7="medio",0.5,IF(data_status_reg!$E7="alto",1,"falta riesgo")))</f>
        <v>falta riesgo</v>
      </c>
      <c r="E9" s="298"/>
      <c r="F9" s="298"/>
      <c r="G9" s="297" t="str">
        <f>IF(data_status_reg!$E23="bajo",0,IF(data_status_reg!$E23="medio",0.5,IF(data_status_reg!$E23="alto",1,"falta riesgo")))</f>
        <v>falta riesgo</v>
      </c>
      <c r="H9" s="298"/>
      <c r="I9" s="298"/>
      <c r="J9" s="297" t="str">
        <f>IF(data_status_reg!$E39="bajo",0,IF(data_status_reg!$E39="medio",0.5,IF(data_status_reg!$E39="alto",1,"falta riesgo")))</f>
        <v>falta riesgo</v>
      </c>
      <c r="K9" s="298"/>
      <c r="L9" s="298"/>
      <c r="M9" s="297" t="str">
        <f>IF(data_status_reg!$E55="bajo",0,IF(data_status_reg!$E55="medio",0.5,IF(data_status_reg!$E55="alto",1,"falta riesgo")))</f>
        <v>falta riesgo</v>
      </c>
      <c r="N9" s="295"/>
      <c r="O9" s="325"/>
      <c r="P9" s="297" t="str">
        <f>IF(data_status_reg!$E71="bajo",0,IF(data_status_reg!$E71="medio",0.5,IF(data_status_reg!$E71="alto",1,"falta riesgo")))</f>
        <v>falta riesgo</v>
      </c>
      <c r="Q9" s="313"/>
      <c r="R9" s="3"/>
    </row>
    <row r="10" spans="1:21" ht="21">
      <c r="A10" s="303"/>
      <c r="B10" s="322" t="s">
        <v>27</v>
      </c>
      <c r="C10" s="312"/>
      <c r="D10" s="297" t="str">
        <f>IF(data_status_reg!$E8="bajo",0,IF(data_status_reg!$E8="medio",0.5,IF(data_status_reg!$E8="alto",1,"falta riesgo")))</f>
        <v>falta riesgo</v>
      </c>
      <c r="E10" s="298"/>
      <c r="F10" s="298"/>
      <c r="G10" s="297" t="str">
        <f>IF(data_status_reg!$E24="bajo",0,IF(data_status_reg!$E24="medio",0.5,IF(data_status_reg!$E24="alto",1,"falta riesgo")))</f>
        <v>falta riesgo</v>
      </c>
      <c r="H10" s="298"/>
      <c r="I10" s="298"/>
      <c r="J10" s="297" t="str">
        <f>IF(data_status_reg!$E40="bajo",0,IF(data_status_reg!$E40="medio",0.5,IF(data_status_reg!$E40="alto",1,"falta riesgo")))</f>
        <v>falta riesgo</v>
      </c>
      <c r="K10" s="298"/>
      <c r="L10" s="298"/>
      <c r="M10" s="297" t="str">
        <f>IF(data_status_reg!$E56="bajo",0,IF(data_status_reg!$E56="medio",0.5,IF(data_status_reg!$E56="alto",1,"falta riesgo")))</f>
        <v>falta riesgo</v>
      </c>
      <c r="N10" s="295"/>
      <c r="O10" s="325"/>
      <c r="P10" s="297" t="str">
        <f>IF(data_status_reg!$E72="bajo",0,IF(data_status_reg!$E72="medio",0.5,IF(data_status_reg!$E72="alto",1,"falta riesgo")))</f>
        <v>falta riesgo</v>
      </c>
      <c r="Q10" s="313"/>
      <c r="R10" s="3"/>
    </row>
    <row r="11" spans="1:21" ht="21">
      <c r="A11" s="303"/>
      <c r="B11" s="322" t="s">
        <v>28</v>
      </c>
      <c r="C11" s="312"/>
      <c r="D11" s="297" t="str">
        <f>IF(data_status_reg!$E9="bajo",0,IF(data_status_reg!$E9="medio",0.5,IF(data_status_reg!$E9="alto",1,"falta riesgo")))</f>
        <v>falta riesgo</v>
      </c>
      <c r="E11" s="298"/>
      <c r="F11" s="298"/>
      <c r="G11" s="297" t="str">
        <f>IF(data_status_reg!$E25="bajo",0,IF(data_status_reg!$E25="medio",0.5,IF(data_status_reg!$E25="alto",1,"falta riesgo")))</f>
        <v>falta riesgo</v>
      </c>
      <c r="H11" s="298"/>
      <c r="I11" s="298"/>
      <c r="J11" s="297" t="str">
        <f>IF(data_status_reg!$E41="bajo",0,IF(data_status_reg!$E41="medio",0.5,IF(data_status_reg!$E41="alto",1,"falta riesgo")))</f>
        <v>falta riesgo</v>
      </c>
      <c r="K11" s="298"/>
      <c r="L11" s="298"/>
      <c r="M11" s="297" t="str">
        <f>IF(data_status_reg!$E57="bajo",0,IF(data_status_reg!$E57="medio",0.5,IF(data_status_reg!$E57="alto",1,"falta riesgo")))</f>
        <v>falta riesgo</v>
      </c>
      <c r="N11" s="295"/>
      <c r="O11" s="325"/>
      <c r="P11" s="297" t="str">
        <f>IF(data_status_reg!$E73="bajo",0,IF(data_status_reg!$E73="medio",0.5,IF(data_status_reg!$E73="alto",1,"falta riesgo")))</f>
        <v>falta riesgo</v>
      </c>
      <c r="Q11" s="313"/>
      <c r="R11" s="3"/>
    </row>
    <row r="12" spans="1:21" ht="21">
      <c r="A12" s="303"/>
      <c r="B12" s="322" t="s">
        <v>29</v>
      </c>
      <c r="C12" s="312"/>
      <c r="D12" s="297" t="str">
        <f>IF(data_status_reg!$E10="bajo",0,IF(data_status_reg!$E10="medio",0.5,IF(data_status_reg!$E10="alto",1,"falta riesgo")))</f>
        <v>falta riesgo</v>
      </c>
      <c r="E12" s="298"/>
      <c r="F12" s="298"/>
      <c r="G12" s="297" t="str">
        <f>IF(data_status_reg!$E26="bajo",0,IF(data_status_reg!$E26="medio",0.5,IF(data_status_reg!$E26="alto",1,"falta riesgo")))</f>
        <v>falta riesgo</v>
      </c>
      <c r="H12" s="298"/>
      <c r="I12" s="299"/>
      <c r="J12" s="297" t="str">
        <f>IF(data_status_reg!$E42="bajo",0,IF(data_status_reg!$E42="medio",0.5,IF(data_status_reg!$E42="alto",1,"falta riesgo")))</f>
        <v>falta riesgo</v>
      </c>
      <c r="K12" s="299"/>
      <c r="L12" s="299"/>
      <c r="M12" s="297" t="str">
        <f>IF(data_status_reg!$E58="bajo",0,IF(data_status_reg!$E58="medio",0.5,IF(data_status_reg!$E58="alto",1,"falta riesgo")))</f>
        <v>falta riesgo</v>
      </c>
      <c r="N12" s="296"/>
      <c r="O12" s="326"/>
      <c r="P12" s="297" t="str">
        <f>IF(data_status_reg!$E74="bajo",0,IF(data_status_reg!$E74="medio",0.5,IF(data_status_reg!$E74="alto",1,"falta riesgo")))</f>
        <v>falta riesgo</v>
      </c>
      <c r="Q12" s="313"/>
      <c r="R12" s="3"/>
    </row>
    <row r="13" spans="1:21" ht="21">
      <c r="A13" s="303"/>
      <c r="B13" s="322" t="s">
        <v>30</v>
      </c>
      <c r="C13" s="312"/>
      <c r="D13" s="297" t="str">
        <f>IF(data_status_reg!$E11="bajo",0,IF(data_status_reg!$E11="medio",0.5,IF(data_status_reg!$E11="alto",1,"falta riesgo")))</f>
        <v>falta riesgo</v>
      </c>
      <c r="E13" s="298"/>
      <c r="F13" s="298"/>
      <c r="G13" s="297" t="str">
        <f>IF(data_status_reg!$E27="bajo",0,IF(data_status_reg!$E27="medio",0.5,IF(data_status_reg!$E27="alto",1,"falta riesgo")))</f>
        <v>falta riesgo</v>
      </c>
      <c r="H13" s="298"/>
      <c r="I13" s="298"/>
      <c r="J13" s="297" t="str">
        <f>IF(data_status_reg!$E43="bajo",0,IF(data_status_reg!$E43="medio",0.5,IF(data_status_reg!$E43="alto",1,"falta riesgo")))</f>
        <v>falta riesgo</v>
      </c>
      <c r="K13" s="298"/>
      <c r="L13" s="298"/>
      <c r="M13" s="297" t="str">
        <f>IF(data_status_reg!$E59="bajo",0,IF(data_status_reg!$E59="medio",0.5,IF(data_status_reg!$E59="alto",1,"falta riesgo")))</f>
        <v>falta riesgo</v>
      </c>
      <c r="N13" s="295"/>
      <c r="O13" s="325"/>
      <c r="P13" s="297" t="str">
        <f>IF(data_status_reg!$E75="bajo",0,IF(data_status_reg!$E75="medio",0.5,IF(data_status_reg!$E75="alto",1,"falta riesgo")))</f>
        <v>falta riesgo</v>
      </c>
      <c r="Q13" s="313"/>
      <c r="R13" s="3"/>
      <c r="U13" s="10"/>
    </row>
    <row r="14" spans="1:21" ht="21">
      <c r="A14" s="303"/>
      <c r="B14" s="322" t="s">
        <v>31</v>
      </c>
      <c r="C14" s="312"/>
      <c r="D14" s="297" t="str">
        <f>IF(data_status_reg!$E12="bajo",0,IF(data_status_reg!$E12="medio",0.5,IF(data_status_reg!$E12="alto",1,"falta riesgo")))</f>
        <v>falta riesgo</v>
      </c>
      <c r="E14" s="298"/>
      <c r="F14" s="298"/>
      <c r="G14" s="297" t="str">
        <f>IF(data_status_reg!$E28="bajo",0,IF(data_status_reg!$E28="medio",0.5,IF(data_status_reg!$E28="alto",1,"falta riesgo")))</f>
        <v>falta riesgo</v>
      </c>
      <c r="H14" s="298"/>
      <c r="I14" s="298"/>
      <c r="J14" s="297" t="str">
        <f>IF(data_status_reg!$E44="bajo",0,IF(data_status_reg!$E44="medio",0.5,IF(data_status_reg!$E44="alto",1,"falta riesgo")))</f>
        <v>falta riesgo</v>
      </c>
      <c r="K14" s="298"/>
      <c r="L14" s="298"/>
      <c r="M14" s="297" t="str">
        <f>IF(data_status_reg!$E60="bajo",0,IF(data_status_reg!$E60="medio",0.5,IF(data_status_reg!$E60="alto",1,"falta riesgo")))</f>
        <v>falta riesgo</v>
      </c>
      <c r="N14" s="295"/>
      <c r="O14" s="325"/>
      <c r="P14" s="297" t="str">
        <f>IF(data_status_reg!$E76="bajo",0,IF(data_status_reg!$E76="medio",0.5,IF(data_status_reg!$E76="alto",1,"falta riesgo")))</f>
        <v>falta riesgo</v>
      </c>
      <c r="Q14" s="313"/>
      <c r="R14" s="3"/>
    </row>
    <row r="15" spans="1:21" ht="21">
      <c r="A15" s="303"/>
      <c r="B15" s="322" t="s">
        <v>32</v>
      </c>
      <c r="C15" s="312"/>
      <c r="D15" s="297" t="str">
        <f>IF(data_status_reg!$E13="bajo",0,IF(data_status_reg!$E13="medio",0.5,IF(data_status_reg!$E13="alto",1,"falta riesgo")))</f>
        <v>falta riesgo</v>
      </c>
      <c r="E15" s="298"/>
      <c r="F15" s="298"/>
      <c r="G15" s="297" t="str">
        <f>IF(data_status_reg!$E29="bajo",0,IF(data_status_reg!$E29="medio",0.5,IF(data_status_reg!$E29="alto",1,"falta riesgo")))</f>
        <v>falta riesgo</v>
      </c>
      <c r="H15" s="298"/>
      <c r="I15" s="299"/>
      <c r="J15" s="297" t="str">
        <f>IF(data_status_reg!$E45="bajo",0,IF(data_status_reg!$E45="medio",0.5,IF(data_status_reg!$E45="alto",1,"falta riesgo")))</f>
        <v>falta riesgo</v>
      </c>
      <c r="K15" s="299"/>
      <c r="L15" s="299"/>
      <c r="M15" s="297" t="str">
        <f>IF(data_status_reg!$E61="bajo",0,IF(data_status_reg!$E61="medio",0.5,IF(data_status_reg!$E61="alto",1,"falta riesgo")))</f>
        <v>falta riesgo</v>
      </c>
      <c r="N15" s="296"/>
      <c r="O15" s="326"/>
      <c r="P15" s="297" t="str">
        <f>IF(data_status_reg!$E77="bajo",0,IF(data_status_reg!$E77="medio",0.5,IF(data_status_reg!$E77="alto",1,"falta riesgo")))</f>
        <v>falta riesgo</v>
      </c>
      <c r="Q15" s="313"/>
      <c r="R15" s="3"/>
    </row>
    <row r="16" spans="1:21" ht="21">
      <c r="A16" s="303"/>
      <c r="B16" s="322" t="s">
        <v>33</v>
      </c>
      <c r="C16" s="312"/>
      <c r="D16" s="297" t="str">
        <f>IF(data_status_reg!$E14="bajo",0,IF(data_status_reg!$E14="medio",0.5,IF(data_status_reg!$E14="alto",1,"falta riesgo")))</f>
        <v>falta riesgo</v>
      </c>
      <c r="E16" s="298"/>
      <c r="F16" s="298"/>
      <c r="G16" s="297" t="str">
        <f>IF(data_status_reg!$E30="bajo",0,IF(data_status_reg!$E30="medio",0.5,IF(data_status_reg!$E30="alto",1,"falta riesgo")))</f>
        <v>falta riesgo</v>
      </c>
      <c r="H16" s="298"/>
      <c r="I16" s="298"/>
      <c r="J16" s="297" t="str">
        <f>IF(data_status_reg!$E46="bajo",0,IF(data_status_reg!$E46="medio",0.5,IF(data_status_reg!$E46="alto",1,"falta riesgo")))</f>
        <v>falta riesgo</v>
      </c>
      <c r="K16" s="298"/>
      <c r="L16" s="298"/>
      <c r="M16" s="297" t="str">
        <f>IF(data_status_reg!$E62="bajo",0,IF(data_status_reg!$E62="medio",0.5,IF(data_status_reg!$E62="alto",1,"falta riesgo")))</f>
        <v>falta riesgo</v>
      </c>
      <c r="N16" s="295"/>
      <c r="O16" s="325"/>
      <c r="P16" s="297" t="str">
        <f>IF(data_status_reg!$E78="bajo",0,IF(data_status_reg!$E78="medio",0.5,IF(data_status_reg!$E78="alto",1,"falta riesgo")))</f>
        <v>falta riesgo</v>
      </c>
      <c r="Q16" s="313"/>
      <c r="R16" s="3"/>
    </row>
    <row r="17" spans="1:18" ht="21">
      <c r="A17" s="303"/>
      <c r="B17" s="322" t="s">
        <v>34</v>
      </c>
      <c r="C17" s="312"/>
      <c r="D17" s="297" t="str">
        <f>IF(data_status_reg!$E15="bajo",0,IF(data_status_reg!$E15="medio",0.5,IF(data_status_reg!$E15="alto",1,"falta riesgo")))</f>
        <v>falta riesgo</v>
      </c>
      <c r="E17" s="298"/>
      <c r="F17" s="298"/>
      <c r="G17" s="297" t="str">
        <f>IF(data_status_reg!$E31="bajo",0,IF(data_status_reg!$E31="medio",0.5,IF(data_status_reg!$E31="alto",1,"falta riesgo")))</f>
        <v>falta riesgo</v>
      </c>
      <c r="H17" s="298"/>
      <c r="I17" s="298"/>
      <c r="J17" s="297" t="str">
        <f>IF(data_status_reg!$E47="bajo",0,IF(data_status_reg!$E47="medio",0.5,IF(data_status_reg!$E47="alto",1,"falta riesgo")))</f>
        <v>falta riesgo</v>
      </c>
      <c r="K17" s="298"/>
      <c r="L17" s="298"/>
      <c r="M17" s="297" t="str">
        <f>IF(data_status_reg!$E63="bajo",0,IF(data_status_reg!$E63="medio",0.5,IF(data_status_reg!$E63="alto",1,"falta riesgo")))</f>
        <v>falta riesgo</v>
      </c>
      <c r="N17" s="295"/>
      <c r="O17" s="325"/>
      <c r="P17" s="297" t="str">
        <f>IF(data_status_reg!$E79="bajo",0,IF(data_status_reg!$E79="medio",0.5,IF(data_status_reg!$E79="alto",1,"falta riesgo")))</f>
        <v>falta riesgo</v>
      </c>
      <c r="Q17" s="313"/>
      <c r="R17" s="3"/>
    </row>
    <row r="18" spans="1:18" ht="21">
      <c r="A18" s="303"/>
      <c r="B18" s="322" t="s">
        <v>35</v>
      </c>
      <c r="C18" s="312"/>
      <c r="D18" s="297" t="str">
        <f>IF(data_status_reg!$E16="bajo",0,IF(data_status_reg!$E16="medio",0.5,IF(data_status_reg!$E16="alto",1,"falta riesgo")))</f>
        <v>falta riesgo</v>
      </c>
      <c r="E18" s="298"/>
      <c r="F18" s="298"/>
      <c r="G18" s="328" t="s">
        <v>45</v>
      </c>
      <c r="H18" s="298"/>
      <c r="I18" s="298"/>
      <c r="J18" s="297" t="str">
        <f>IF(data_status_reg!$E48="bajo",0,IF(data_status_reg!$E48="medio",0.5,IF(data_status_reg!$E48="alto",1,"falta riesgo")))</f>
        <v>falta riesgo</v>
      </c>
      <c r="K18" s="298"/>
      <c r="M18" s="297" t="str">
        <f>IF(data_status_reg!$E64="bajo",0,IF(data_status_reg!$E64="medio",0.5,IF(data_status_reg!$E64="alto",1,"falta riesgo")))</f>
        <v>falta riesgo</v>
      </c>
      <c r="N18" s="296"/>
      <c r="O18" s="326"/>
      <c r="P18" s="297" t="str">
        <f>IF(data_status_reg!$E80="bajo",0,IF(data_status_reg!$E80="medio",0.5,IF(data_status_reg!$E80="alto",1,"falta riesgo")))</f>
        <v>falta riesgo</v>
      </c>
      <c r="Q18" s="313"/>
      <c r="R18" s="3"/>
    </row>
    <row r="19" spans="1:18" ht="21">
      <c r="A19" s="303"/>
      <c r="B19" s="322" t="s">
        <v>36</v>
      </c>
      <c r="C19" s="312"/>
      <c r="D19" s="297" t="str">
        <f>IF(data_status_reg!$E17="bajo",0,IF(data_status_reg!$E17="medio",0.5,IF(data_status_reg!$E17="alto",1,"falta riesgo")))</f>
        <v>falta riesgo</v>
      </c>
      <c r="E19" s="298"/>
      <c r="F19" s="298"/>
      <c r="G19" s="297" t="str">
        <f>IF(data_status_reg!$E33="bajo",0,IF(data_status_reg!$E33="medio",0.5,IF(data_status_reg!$E33="alto",1,"falta riesgo")))</f>
        <v>falta riesgo</v>
      </c>
      <c r="H19" s="298"/>
      <c r="I19" s="298"/>
      <c r="J19" s="297" t="str">
        <f>IF(data_status_reg!$E49="bajo",0,IF(data_status_reg!$E49="medio",0.5,IF(data_status_reg!$E49="alto",1,"falta riesgo")))</f>
        <v>falta riesgo</v>
      </c>
      <c r="K19" s="298"/>
      <c r="L19" s="298"/>
      <c r="M19" s="297" t="str">
        <f>IF(data_status_reg!$E65="bajo",0,IF(data_status_reg!$E65="medio",0.5,IF(data_status_reg!$E65="alto",1,"falta riesgo")))</f>
        <v>falta riesgo</v>
      </c>
      <c r="N19" s="295"/>
      <c r="O19" s="325"/>
      <c r="P19" s="297" t="str">
        <f>IF(data_status_reg!$E81="bajo",0,IF(data_status_reg!$E81="medio",0.5,IF(data_status_reg!$E81="alto",1,"falta riesgo")))</f>
        <v>falta riesgo</v>
      </c>
      <c r="Q19" s="313"/>
      <c r="R19" s="3"/>
    </row>
    <row r="20" spans="1:18" ht="21">
      <c r="A20" s="303"/>
      <c r="B20" s="322" t="s">
        <v>37</v>
      </c>
      <c r="C20" s="312"/>
      <c r="D20" s="297" t="str">
        <f>IF(data_status_reg!$E18="bajo",0,IF(data_status_reg!$E18="medio",0.5,IF(data_status_reg!$E18="alto",1,"falta riesgo")))</f>
        <v>falta riesgo</v>
      </c>
      <c r="E20" s="298"/>
      <c r="F20" s="298"/>
      <c r="G20" s="297" t="str">
        <f>IF(data_status_reg!$E34="bajo",0,IF(data_status_reg!$E34="medio",0.5,IF(data_status_reg!$E34="alto",1,"falta riesgo")))</f>
        <v>falta riesgo</v>
      </c>
      <c r="H20" s="298"/>
      <c r="I20" s="298"/>
      <c r="J20" s="297" t="str">
        <f>IF(data_status_reg!$E50="bajo",0,IF(data_status_reg!$E50="medio",0.5,IF(data_status_reg!$E50="alto",1,"falta riesgo")))</f>
        <v>falta riesgo</v>
      </c>
      <c r="K20" s="298"/>
      <c r="L20" s="298"/>
      <c r="M20" s="297" t="str">
        <f>IF(data_status_reg!$E66="bajo",0,IF(data_status_reg!$E66="medio",0.5,IF(data_status_reg!$E66="alto",1,"falta riesgo")))</f>
        <v>falta riesgo</v>
      </c>
      <c r="N20" s="295"/>
      <c r="O20" s="325"/>
      <c r="P20" s="297" t="str">
        <f>IF(data_status_reg!$E82="bajo",0,IF(data_status_reg!$E82="medio",0.5,IF(data_status_reg!$E82="alto",1,"falta riesgo")))</f>
        <v>falta riesgo</v>
      </c>
      <c r="Q20" s="313"/>
      <c r="R20" s="3"/>
    </row>
    <row r="21" spans="1:18" ht="21.75" thickBot="1">
      <c r="A21" s="303"/>
      <c r="B21" s="323" t="s">
        <v>38</v>
      </c>
      <c r="C21" s="314"/>
      <c r="D21" s="315" t="str">
        <f>IF(data_status_reg!$E19="bajo",0,IF(data_status_reg!$E19="medio",0.5,IF(data_status_reg!$E19="alto",1,"falta riesgo")))</f>
        <v>falta riesgo</v>
      </c>
      <c r="E21" s="316"/>
      <c r="F21" s="316"/>
      <c r="G21" s="329" t="s">
        <v>45</v>
      </c>
      <c r="H21" s="316"/>
      <c r="I21" s="316"/>
      <c r="J21" s="315" t="str">
        <f>IF(data_status_reg!$E51="bajo",0,IF(data_status_reg!$E51="medio",0.5,IF(data_status_reg!$E51="alto",1,"falta riesgo")))</f>
        <v>falta riesgo</v>
      </c>
      <c r="K21" s="316"/>
      <c r="L21" s="317"/>
      <c r="M21" s="318" t="str">
        <f>IF(data_status_reg!$E67="bajo",0,IF(data_status_reg!$E67="medio",0.5,IF(data_status_reg!$E67="alto",1,"falta riesgo")))</f>
        <v>falta riesgo</v>
      </c>
      <c r="N21" s="319"/>
      <c r="O21" s="327"/>
      <c r="P21" s="315" t="str">
        <f>IF(data_status_reg!$E83="bajo",0,IF(data_status_reg!$E83="medio",0.5,IF(data_status_reg!$E83="alto",1,"falta riesgo")))</f>
        <v>falta riesgo</v>
      </c>
      <c r="Q21" s="320"/>
      <c r="R21" s="3"/>
    </row>
    <row r="22" spans="1:18">
      <c r="A22" s="30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05"/>
      <c r="B23" s="306"/>
      <c r="C23" s="306"/>
      <c r="D23" s="306"/>
      <c r="E23" s="306"/>
      <c r="F23" s="306"/>
      <c r="G23" s="306"/>
      <c r="H23" s="306"/>
      <c r="I23" s="306"/>
      <c r="J23" s="306"/>
      <c r="K23" s="306"/>
      <c r="L23" s="306"/>
      <c r="M23" s="306"/>
      <c r="N23" s="306"/>
      <c r="O23" s="306"/>
      <c r="P23" s="306"/>
      <c r="Q23" s="306"/>
      <c r="R23" s="30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498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498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498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498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498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498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498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498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498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498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498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498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498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498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498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498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498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498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498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498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498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498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498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498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498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498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498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498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498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498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498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498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498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498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498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498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498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498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498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498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498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498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498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498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31"/>
      <c r="B1" s="251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</row>
    <row r="2" spans="1:16" ht="13.5" customHeight="1">
      <c r="A2" s="249"/>
      <c r="B2" s="250"/>
      <c r="N2" s="247"/>
      <c r="O2" s="252"/>
      <c r="P2" s="250"/>
    </row>
    <row r="3" spans="1:16" ht="37.35" customHeight="1">
      <c r="A3" s="31"/>
      <c r="B3" s="573" t="s">
        <v>47</v>
      </c>
      <c r="C3" s="574"/>
      <c r="D3" s="574"/>
      <c r="E3" s="574"/>
      <c r="F3" s="574"/>
      <c r="G3" s="574"/>
      <c r="H3" s="574"/>
      <c r="I3" s="574"/>
      <c r="J3" s="574"/>
      <c r="K3" s="574"/>
      <c r="L3" s="574"/>
      <c r="M3" s="574"/>
      <c r="N3" s="574"/>
      <c r="O3" s="575"/>
    </row>
    <row r="4" spans="1:16" ht="7.35" customHeight="1">
      <c r="A4" s="32"/>
      <c r="B4" s="580" t="s">
        <v>48</v>
      </c>
      <c r="C4" s="581"/>
      <c r="D4" s="581"/>
      <c r="E4" s="581"/>
      <c r="F4" s="581"/>
      <c r="G4" s="581"/>
      <c r="H4" s="581"/>
      <c r="I4" s="581"/>
      <c r="J4" s="581"/>
      <c r="K4" s="581"/>
      <c r="L4" s="581"/>
      <c r="M4" s="581"/>
      <c r="N4" s="581"/>
      <c r="O4" s="246"/>
    </row>
    <row r="5" spans="1:16" ht="43.5" customHeight="1">
      <c r="A5" s="32"/>
      <c r="B5" s="580"/>
      <c r="C5" s="581"/>
      <c r="D5" s="581"/>
      <c r="E5" s="581"/>
      <c r="F5" s="581"/>
      <c r="G5" s="581"/>
      <c r="H5" s="581"/>
      <c r="I5" s="581"/>
      <c r="J5" s="581"/>
      <c r="K5" s="581"/>
      <c r="L5" s="581"/>
      <c r="M5" s="581"/>
      <c r="N5" s="581"/>
      <c r="O5" s="246"/>
    </row>
    <row r="6" spans="1:16" ht="43.5" customHeight="1">
      <c r="A6" s="32"/>
      <c r="B6" s="580"/>
      <c r="C6" s="581"/>
      <c r="D6" s="581"/>
      <c r="E6" s="581"/>
      <c r="F6" s="581"/>
      <c r="G6" s="581"/>
      <c r="H6" s="581"/>
      <c r="I6" s="581"/>
      <c r="J6" s="581"/>
      <c r="K6" s="581"/>
      <c r="L6" s="581"/>
      <c r="M6" s="581"/>
      <c r="N6" s="581"/>
      <c r="O6" s="246"/>
    </row>
    <row r="7" spans="1:16" ht="8.1" customHeight="1">
      <c r="A7" s="32"/>
      <c r="B7" s="236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46"/>
    </row>
    <row r="8" spans="1:16" ht="32.25" customHeight="1" thickBot="1">
      <c r="A8" s="235"/>
      <c r="B8" s="237"/>
      <c r="O8" s="246"/>
    </row>
    <row r="9" spans="1:16" ht="17.25" customHeight="1" thickBot="1">
      <c r="A9" s="230"/>
      <c r="B9" s="237"/>
      <c r="C9" s="228"/>
      <c r="D9" s="584" t="s">
        <v>49</v>
      </c>
      <c r="E9" s="582"/>
      <c r="F9" s="582"/>
      <c r="G9" s="583"/>
      <c r="I9" s="228"/>
      <c r="J9" s="589" t="s">
        <v>49</v>
      </c>
      <c r="K9" s="586"/>
      <c r="L9" s="587"/>
      <c r="M9" s="588"/>
      <c r="O9" s="246"/>
    </row>
    <row r="10" spans="1:16" ht="37.5" customHeight="1" thickBot="1">
      <c r="A10" s="230"/>
      <c r="B10" s="239"/>
      <c r="C10" s="62" t="s">
        <v>50</v>
      </c>
      <c r="D10" s="585"/>
      <c r="E10" s="63" t="s">
        <v>51</v>
      </c>
      <c r="F10" s="63" t="s">
        <v>52</v>
      </c>
      <c r="G10" s="64" t="s">
        <v>53</v>
      </c>
      <c r="I10" s="66" t="s">
        <v>50</v>
      </c>
      <c r="J10" s="590"/>
      <c r="K10" s="67" t="s">
        <v>51</v>
      </c>
      <c r="L10" s="67" t="s">
        <v>52</v>
      </c>
      <c r="M10" s="68" t="s">
        <v>53</v>
      </c>
      <c r="O10" s="246"/>
    </row>
    <row r="11" spans="1:16" ht="18.75">
      <c r="A11" s="232"/>
      <c r="B11" s="237"/>
      <c r="C11" s="65"/>
      <c r="D11" s="330"/>
      <c r="E11" s="330"/>
      <c r="F11" s="330"/>
      <c r="G11" s="331"/>
      <c r="I11" s="518"/>
      <c r="J11" s="330"/>
      <c r="K11" s="330"/>
      <c r="L11" s="330"/>
      <c r="M11" s="331"/>
      <c r="O11" s="246"/>
    </row>
    <row r="12" spans="1:16" ht="18.75">
      <c r="A12" s="32"/>
      <c r="B12" s="237"/>
      <c r="C12" s="34"/>
      <c r="D12" s="332"/>
      <c r="E12" s="332"/>
      <c r="F12" s="332"/>
      <c r="G12" s="333"/>
      <c r="I12" s="519"/>
      <c r="J12" s="332"/>
      <c r="K12" s="332"/>
      <c r="L12" s="332"/>
      <c r="M12" s="333"/>
      <c r="N12" s="247"/>
      <c r="O12" s="238"/>
    </row>
    <row r="13" spans="1:16" ht="18.75">
      <c r="A13" s="32"/>
      <c r="B13" s="237"/>
      <c r="C13" s="34"/>
      <c r="D13" s="332"/>
      <c r="E13" s="332"/>
      <c r="F13" s="332"/>
      <c r="G13" s="333"/>
      <c r="I13" s="519"/>
      <c r="J13" s="332"/>
      <c r="K13" s="332"/>
      <c r="L13" s="332"/>
      <c r="M13" s="333"/>
      <c r="N13" s="247"/>
      <c r="O13" s="238"/>
    </row>
    <row r="14" spans="1:16" ht="18.75">
      <c r="A14" s="233"/>
      <c r="B14" s="237"/>
      <c r="C14" s="34"/>
      <c r="D14" s="332"/>
      <c r="E14" s="332"/>
      <c r="F14" s="332"/>
      <c r="G14" s="333"/>
      <c r="I14" s="519"/>
      <c r="J14" s="332"/>
      <c r="K14" s="332"/>
      <c r="L14" s="332"/>
      <c r="M14" s="333"/>
      <c r="N14" s="247"/>
      <c r="O14" s="238"/>
    </row>
    <row r="15" spans="1:16" ht="18.75">
      <c r="A15" s="32"/>
      <c r="B15" s="237"/>
      <c r="C15" s="57"/>
      <c r="D15" s="332"/>
      <c r="E15" s="332"/>
      <c r="F15" s="332"/>
      <c r="G15" s="333"/>
      <c r="I15" s="519"/>
      <c r="J15" s="332"/>
      <c r="K15" s="332"/>
      <c r="L15" s="332"/>
      <c r="M15" s="333"/>
      <c r="N15" s="247"/>
      <c r="O15" s="238"/>
    </row>
    <row r="16" spans="1:16" ht="18.75">
      <c r="A16" s="32"/>
      <c r="B16" s="237"/>
      <c r="C16" s="57"/>
      <c r="D16" s="332"/>
      <c r="E16" s="332"/>
      <c r="F16" s="332"/>
      <c r="G16" s="333"/>
      <c r="I16" s="519"/>
      <c r="J16" s="332"/>
      <c r="K16" s="332"/>
      <c r="L16" s="332"/>
      <c r="M16" s="333"/>
      <c r="N16" s="247"/>
      <c r="O16" s="238"/>
    </row>
    <row r="17" spans="1:15" ht="18.75">
      <c r="A17" s="32"/>
      <c r="B17" s="237"/>
      <c r="C17" s="57"/>
      <c r="D17" s="332"/>
      <c r="E17" s="332"/>
      <c r="F17" s="332"/>
      <c r="G17" s="333"/>
      <c r="I17" s="519"/>
      <c r="J17" s="332"/>
      <c r="K17" s="332"/>
      <c r="L17" s="332"/>
      <c r="M17" s="333"/>
      <c r="N17" s="247"/>
      <c r="O17" s="238"/>
    </row>
    <row r="18" spans="1:15" ht="18.75">
      <c r="A18" s="32"/>
      <c r="B18" s="237"/>
      <c r="C18" s="57"/>
      <c r="D18" s="332"/>
      <c r="E18" s="332"/>
      <c r="F18" s="332"/>
      <c r="G18" s="333"/>
      <c r="I18" s="519"/>
      <c r="J18" s="332"/>
      <c r="K18" s="332"/>
      <c r="L18" s="332"/>
      <c r="M18" s="333"/>
      <c r="N18" s="247"/>
      <c r="O18" s="238"/>
    </row>
    <row r="19" spans="1:15" ht="18.75">
      <c r="A19" s="32"/>
      <c r="B19" s="237"/>
      <c r="C19" s="34"/>
      <c r="D19" s="332"/>
      <c r="E19" s="332"/>
      <c r="F19" s="332"/>
      <c r="G19" s="333"/>
      <c r="I19" s="519"/>
      <c r="J19" s="332"/>
      <c r="K19" s="332"/>
      <c r="L19" s="332"/>
      <c r="M19" s="333"/>
      <c r="N19" s="247"/>
      <c r="O19" s="238"/>
    </row>
    <row r="20" spans="1:15" ht="18.75">
      <c r="A20" s="32"/>
      <c r="B20" s="237"/>
      <c r="C20" s="34"/>
      <c r="D20" s="332"/>
      <c r="E20" s="332"/>
      <c r="F20" s="332"/>
      <c r="G20" s="333"/>
      <c r="I20" s="519"/>
      <c r="J20" s="332"/>
      <c r="K20" s="332"/>
      <c r="L20" s="332"/>
      <c r="M20" s="333"/>
      <c r="N20" s="247"/>
      <c r="O20" s="238"/>
    </row>
    <row r="21" spans="1:15" ht="18.75">
      <c r="A21" s="32"/>
      <c r="B21" s="237"/>
      <c r="C21" s="33"/>
      <c r="D21" s="332"/>
      <c r="E21" s="332"/>
      <c r="F21" s="332"/>
      <c r="G21" s="333"/>
      <c r="I21" s="519"/>
      <c r="J21" s="332"/>
      <c r="K21" s="332"/>
      <c r="L21" s="332"/>
      <c r="M21" s="333"/>
      <c r="N21" s="247"/>
      <c r="O21" s="238"/>
    </row>
    <row r="22" spans="1:15" ht="18.75">
      <c r="A22" s="32"/>
      <c r="B22" s="237"/>
      <c r="C22" s="33"/>
      <c r="D22" s="332"/>
      <c r="E22" s="332"/>
      <c r="F22" s="332"/>
      <c r="G22" s="333"/>
      <c r="I22" s="519"/>
      <c r="J22" s="332"/>
      <c r="K22" s="332"/>
      <c r="L22" s="332"/>
      <c r="M22" s="333"/>
      <c r="N22" s="247"/>
      <c r="O22" s="238"/>
    </row>
    <row r="23" spans="1:15" ht="18.75">
      <c r="A23" s="32"/>
      <c r="B23" s="237"/>
      <c r="C23" s="34"/>
      <c r="D23" s="332"/>
      <c r="E23" s="332"/>
      <c r="F23" s="332"/>
      <c r="G23" s="333"/>
      <c r="I23" s="519"/>
      <c r="J23" s="332"/>
      <c r="K23" s="332"/>
      <c r="L23" s="332"/>
      <c r="M23" s="333"/>
      <c r="N23" s="247"/>
      <c r="O23" s="238"/>
    </row>
    <row r="24" spans="1:15" ht="18.75">
      <c r="A24" s="32"/>
      <c r="B24" s="237"/>
      <c r="C24" s="33"/>
      <c r="D24" s="332"/>
      <c r="E24" s="332"/>
      <c r="F24" s="332"/>
      <c r="G24" s="333"/>
      <c r="I24" s="519"/>
      <c r="J24" s="332"/>
      <c r="K24" s="332"/>
      <c r="L24" s="332"/>
      <c r="M24" s="333"/>
      <c r="N24" s="247"/>
      <c r="O24" s="238"/>
    </row>
    <row r="25" spans="1:15" ht="18.75">
      <c r="A25" s="32"/>
      <c r="B25" s="237"/>
      <c r="C25" s="33"/>
      <c r="D25" s="332"/>
      <c r="E25" s="332"/>
      <c r="F25" s="332"/>
      <c r="G25" s="333"/>
      <c r="I25" s="519"/>
      <c r="J25" s="332"/>
      <c r="K25" s="332"/>
      <c r="L25" s="332"/>
      <c r="M25" s="333"/>
      <c r="N25" s="247"/>
      <c r="O25" s="238"/>
    </row>
    <row r="26" spans="1:15" ht="19.5" thickBot="1">
      <c r="A26" s="32"/>
      <c r="B26" s="237"/>
      <c r="C26" s="33"/>
      <c r="D26" s="332"/>
      <c r="E26" s="332"/>
      <c r="F26" s="332"/>
      <c r="G26" s="333"/>
      <c r="I26" s="520"/>
      <c r="J26" s="334"/>
      <c r="K26" s="334"/>
      <c r="L26" s="334"/>
      <c r="M26" s="335"/>
      <c r="N26" s="247"/>
      <c r="O26" s="238"/>
    </row>
    <row r="27" spans="1:15" ht="23.25" customHeight="1">
      <c r="A27" s="32"/>
      <c r="B27" s="237"/>
      <c r="C27" s="33"/>
      <c r="D27" s="332"/>
      <c r="E27" s="332"/>
      <c r="F27" s="332"/>
      <c r="G27" s="333"/>
      <c r="N27" s="247"/>
      <c r="O27" s="238"/>
    </row>
    <row r="28" spans="1:15" ht="23.25" customHeight="1" thickBot="1">
      <c r="A28" s="32"/>
      <c r="B28" s="237"/>
      <c r="C28" s="294"/>
      <c r="D28" s="334"/>
      <c r="E28" s="334"/>
      <c r="F28" s="334"/>
      <c r="G28" s="335"/>
      <c r="I28" s="517"/>
      <c r="J28" s="517"/>
      <c r="N28" s="247"/>
      <c r="O28" s="238"/>
    </row>
    <row r="29" spans="1:15" ht="28.5" customHeight="1" thickBot="1">
      <c r="B29" s="237"/>
      <c r="N29" s="247"/>
      <c r="O29" s="238"/>
    </row>
    <row r="30" spans="1:15" ht="42" customHeight="1" thickBot="1">
      <c r="A30" s="32"/>
      <c r="B30" s="239"/>
      <c r="C30" s="599" t="s">
        <v>54</v>
      </c>
      <c r="D30" s="600"/>
      <c r="E30" s="600"/>
      <c r="F30" s="600"/>
      <c r="G30" s="601"/>
      <c r="N30" s="247"/>
      <c r="O30" s="238"/>
    </row>
    <row r="31" spans="1:15" ht="49.5" customHeight="1">
      <c r="A31" s="32"/>
      <c r="B31" s="237"/>
      <c r="C31" s="591" t="s">
        <v>51</v>
      </c>
      <c r="D31" s="592"/>
      <c r="E31" s="593" t="s">
        <v>55</v>
      </c>
      <c r="F31" s="593"/>
      <c r="G31" s="594"/>
      <c r="N31" s="247"/>
      <c r="O31" s="238"/>
    </row>
    <row r="32" spans="1:15" ht="60" customHeight="1">
      <c r="A32" s="32"/>
      <c r="B32" s="237"/>
      <c r="C32" s="595" t="s">
        <v>52</v>
      </c>
      <c r="D32" s="596"/>
      <c r="E32" s="597" t="s">
        <v>56</v>
      </c>
      <c r="F32" s="597"/>
      <c r="G32" s="598"/>
      <c r="N32" s="247"/>
      <c r="O32" s="238"/>
    </row>
    <row r="33" spans="1:15" ht="66.75" customHeight="1" thickBot="1">
      <c r="A33" s="32"/>
      <c r="B33" s="239"/>
      <c r="C33" s="576" t="s">
        <v>53</v>
      </c>
      <c r="D33" s="577"/>
      <c r="E33" s="578" t="s">
        <v>57</v>
      </c>
      <c r="F33" s="578"/>
      <c r="G33" s="579"/>
      <c r="H33" s="243"/>
      <c r="J33" s="245"/>
      <c r="K33" s="245"/>
      <c r="L33" s="245"/>
      <c r="M33" s="245"/>
      <c r="N33" s="245"/>
      <c r="O33" s="246"/>
    </row>
    <row r="34" spans="1:15" ht="22.5" customHeight="1" thickBot="1">
      <c r="A34" s="242"/>
      <c r="B34" s="248"/>
      <c r="C34" s="240"/>
      <c r="D34" s="240"/>
      <c r="E34" s="240"/>
      <c r="F34" s="240"/>
      <c r="G34" s="240"/>
      <c r="H34" s="240"/>
      <c r="I34" s="244"/>
      <c r="J34" s="240"/>
      <c r="K34" s="240"/>
      <c r="L34" s="240"/>
      <c r="M34" s="240"/>
      <c r="N34" s="240"/>
      <c r="O34" s="241"/>
    </row>
    <row r="35" spans="1:15" ht="12" customHeight="1">
      <c r="A35" s="229"/>
    </row>
    <row r="36" spans="1:15" ht="8.25" customHeight="1"/>
    <row r="38" spans="1:15" ht="3" customHeight="1">
      <c r="C38" s="234"/>
      <c r="D38" s="234"/>
      <c r="E38" s="234"/>
      <c r="F38" s="234"/>
      <c r="G38" s="234"/>
      <c r="H38" s="23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9"/>
      <c r="C1" s="610"/>
      <c r="D1" s="61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160</v>
      </c>
      <c r="C2" s="120"/>
      <c r="D2" s="82"/>
      <c r="E2" s="88"/>
      <c r="G2" s="90"/>
      <c r="H2" s="82"/>
      <c r="I2" s="605" t="s">
        <v>155</v>
      </c>
      <c r="J2" s="60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63" t="s">
        <v>58</v>
      </c>
      <c r="C5" s="612" t="s">
        <v>169</v>
      </c>
      <c r="D5" s="613"/>
      <c r="E5" s="360" t="s">
        <v>60</v>
      </c>
      <c r="F5" s="360" t="s">
        <v>59</v>
      </c>
      <c r="G5" s="360" t="s">
        <v>61</v>
      </c>
      <c r="H5" s="361" t="s">
        <v>118</v>
      </c>
      <c r="I5" s="361" t="s">
        <v>62</v>
      </c>
      <c r="J5" s="362" t="s">
        <v>63</v>
      </c>
      <c r="K5" s="205"/>
      <c r="L5" s="82"/>
      <c r="M5" s="82"/>
      <c r="N5" s="82"/>
      <c r="O5" s="81"/>
      <c r="P5" s="104"/>
    </row>
    <row r="6" spans="1:17" ht="51" customHeight="1">
      <c r="B6" s="209"/>
      <c r="C6" s="614"/>
      <c r="D6" s="615"/>
      <c r="E6" s="438"/>
      <c r="F6" s="438"/>
      <c r="G6" s="438"/>
      <c r="H6" s="438"/>
      <c r="I6" s="438"/>
      <c r="J6" s="441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0"/>
      <c r="C7" s="616"/>
      <c r="D7" s="617"/>
      <c r="E7" s="439"/>
      <c r="F7" s="439"/>
      <c r="G7" s="439"/>
      <c r="H7" s="439"/>
      <c r="I7" s="439"/>
      <c r="J7" s="442"/>
      <c r="L7" s="82"/>
      <c r="M7" s="82"/>
      <c r="N7" s="82"/>
      <c r="O7" s="81"/>
      <c r="P7" s="90"/>
    </row>
    <row r="8" spans="1:17" ht="44.25" customHeight="1">
      <c r="A8" s="100"/>
      <c r="B8" s="210"/>
      <c r="C8" s="616"/>
      <c r="D8" s="617"/>
      <c r="E8" s="439"/>
      <c r="F8" s="439"/>
      <c r="G8" s="439"/>
      <c r="H8" s="439"/>
      <c r="I8" s="439"/>
      <c r="J8" s="442"/>
      <c r="K8" s="206"/>
      <c r="L8" s="82"/>
      <c r="M8" s="82"/>
      <c r="N8" s="82"/>
      <c r="P8" s="82"/>
      <c r="Q8" s="82"/>
    </row>
    <row r="9" spans="1:17" ht="39.75" customHeight="1">
      <c r="A9" s="100"/>
      <c r="B9" s="210"/>
      <c r="C9" s="616"/>
      <c r="D9" s="617"/>
      <c r="E9" s="439"/>
      <c r="F9" s="439"/>
      <c r="G9" s="439"/>
      <c r="H9" s="439"/>
      <c r="I9" s="439"/>
      <c r="J9" s="442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0"/>
      <c r="C10" s="616"/>
      <c r="D10" s="617"/>
      <c r="E10" s="439"/>
      <c r="F10" s="439"/>
      <c r="G10" s="439"/>
      <c r="H10" s="439"/>
      <c r="I10" s="439"/>
      <c r="J10" s="442"/>
      <c r="K10" s="116"/>
      <c r="L10" s="82"/>
      <c r="M10" s="82"/>
      <c r="N10" s="90"/>
      <c r="O10" s="81"/>
      <c r="P10" s="82"/>
    </row>
    <row r="11" spans="1:17" ht="55.5" customHeight="1">
      <c r="A11" s="101"/>
      <c r="B11" s="210"/>
      <c r="C11" s="616"/>
      <c r="D11" s="618"/>
      <c r="E11" s="439"/>
      <c r="F11" s="439"/>
      <c r="G11" s="439"/>
      <c r="H11" s="439"/>
      <c r="I11" s="439"/>
      <c r="J11" s="442"/>
      <c r="L11" s="82"/>
      <c r="M11" s="90"/>
      <c r="N11" s="90"/>
      <c r="O11" s="98"/>
      <c r="P11" s="82"/>
    </row>
    <row r="12" spans="1:17" ht="44.25" customHeight="1">
      <c r="A12" s="101"/>
      <c r="B12" s="210"/>
      <c r="C12" s="616"/>
      <c r="D12" s="617"/>
      <c r="E12" s="439"/>
      <c r="F12" s="439"/>
      <c r="G12" s="439"/>
      <c r="H12" s="439"/>
      <c r="I12" s="439"/>
      <c r="J12" s="442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1"/>
      <c r="C13" s="607"/>
      <c r="D13" s="608"/>
      <c r="E13" s="440"/>
      <c r="F13" s="440"/>
      <c r="G13" s="440"/>
      <c r="H13" s="440"/>
      <c r="I13" s="440"/>
      <c r="J13" s="443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46" t="s">
        <v>67</v>
      </c>
      <c r="C15" s="444"/>
      <c r="D15" s="279" t="s">
        <v>68</v>
      </c>
      <c r="E15" s="126"/>
      <c r="F15" s="127"/>
      <c r="G15" s="128"/>
      <c r="H15" s="129"/>
      <c r="I15" s="130"/>
      <c r="J15" s="131"/>
      <c r="K15" s="290"/>
      <c r="L15" s="82"/>
      <c r="M15" s="82"/>
      <c r="N15" s="106"/>
      <c r="O15" s="82"/>
      <c r="P15" s="79"/>
    </row>
    <row r="16" spans="1:17" ht="135.75" customHeight="1" thickBot="1">
      <c r="A16" s="79"/>
      <c r="B16" s="448" t="s">
        <v>135</v>
      </c>
      <c r="C16" s="447"/>
      <c r="D16" s="284"/>
      <c r="E16" s="602"/>
      <c r="F16" s="603"/>
      <c r="G16" s="603"/>
      <c r="H16" s="603"/>
      <c r="I16" s="603"/>
      <c r="J16" s="604"/>
      <c r="K16" s="291"/>
      <c r="L16" s="115"/>
      <c r="M16" s="113"/>
      <c r="N16" s="112"/>
      <c r="P16" s="79"/>
    </row>
    <row r="17" spans="1:16" ht="108.75" customHeight="1" thickBot="1">
      <c r="A17" s="87"/>
      <c r="B17" s="450" t="s">
        <v>65</v>
      </c>
      <c r="C17" s="449"/>
      <c r="D17" s="284"/>
      <c r="E17" s="602"/>
      <c r="F17" s="603"/>
      <c r="G17" s="603"/>
      <c r="H17" s="603"/>
      <c r="I17" s="603"/>
      <c r="J17" s="604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285"/>
      <c r="E18" s="602"/>
      <c r="F18" s="603"/>
      <c r="G18" s="603"/>
      <c r="H18" s="603"/>
      <c r="I18" s="603"/>
      <c r="J18" s="604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86"/>
      <c r="E19" s="602"/>
      <c r="F19" s="603"/>
      <c r="G19" s="603"/>
      <c r="H19" s="603"/>
      <c r="I19" s="603"/>
      <c r="J19" s="604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85"/>
      <c r="E20" s="602"/>
      <c r="F20" s="603"/>
      <c r="G20" s="603"/>
      <c r="H20" s="603"/>
      <c r="I20" s="603"/>
      <c r="J20" s="604"/>
      <c r="K20" s="292"/>
      <c r="L20" s="287"/>
      <c r="M20" s="114"/>
      <c r="N20" s="112"/>
      <c r="O20" s="110"/>
    </row>
    <row r="21" spans="1:16" ht="84.75" customHeight="1" thickBot="1">
      <c r="B21" s="90"/>
      <c r="D21" s="285"/>
      <c r="E21" s="602"/>
      <c r="F21" s="603"/>
      <c r="G21" s="603"/>
      <c r="H21" s="603"/>
      <c r="I21" s="603"/>
      <c r="J21" s="604"/>
      <c r="K21" s="292"/>
      <c r="L21" s="58"/>
      <c r="M21" s="114"/>
      <c r="N21" s="112"/>
      <c r="O21" s="541"/>
    </row>
    <row r="22" spans="1:16" s="220" customFormat="1" ht="105" customHeight="1" thickBot="1">
      <c r="B22" s="221"/>
      <c r="C22" s="222"/>
      <c r="D22" s="285"/>
      <c r="E22" s="602"/>
      <c r="F22" s="603"/>
      <c r="G22" s="603"/>
      <c r="H22" s="603"/>
      <c r="I22" s="603"/>
      <c r="J22" s="604"/>
      <c r="K22" s="29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9"/>
      <c r="C1" s="610"/>
      <c r="D1" s="61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161</v>
      </c>
      <c r="C2" s="120"/>
      <c r="D2" s="82"/>
      <c r="E2" s="88"/>
      <c r="G2" s="90"/>
      <c r="H2" s="82"/>
      <c r="I2" s="605" t="s">
        <v>155</v>
      </c>
      <c r="J2" s="60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21" t="s">
        <v>58</v>
      </c>
      <c r="C5" s="612" t="s">
        <v>169</v>
      </c>
      <c r="D5" s="613"/>
      <c r="E5" s="522" t="s">
        <v>60</v>
      </c>
      <c r="F5" s="522" t="s">
        <v>59</v>
      </c>
      <c r="G5" s="522" t="s">
        <v>61</v>
      </c>
      <c r="H5" s="523" t="s">
        <v>118</v>
      </c>
      <c r="I5" s="523" t="s">
        <v>62</v>
      </c>
      <c r="J5" s="524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28"/>
      <c r="C6" s="624"/>
      <c r="D6" s="625"/>
      <c r="E6" s="529"/>
      <c r="F6" s="529"/>
      <c r="G6" s="529"/>
      <c r="H6" s="529"/>
      <c r="I6" s="529"/>
      <c r="J6" s="530"/>
      <c r="K6" s="78"/>
      <c r="L6" s="82"/>
      <c r="M6" s="82"/>
      <c r="N6" s="82"/>
      <c r="O6" s="82"/>
      <c r="P6" s="79"/>
    </row>
    <row r="7" spans="1:17" ht="28.5">
      <c r="A7" s="79"/>
      <c r="B7" s="210"/>
      <c r="C7" s="616"/>
      <c r="D7" s="618"/>
      <c r="E7" s="439"/>
      <c r="F7" s="439"/>
      <c r="G7" s="439"/>
      <c r="H7" s="439"/>
      <c r="I7" s="439"/>
      <c r="J7" s="442"/>
      <c r="K7" s="78"/>
      <c r="L7" s="82"/>
      <c r="M7" s="82"/>
      <c r="N7" s="82"/>
      <c r="O7" s="82"/>
      <c r="P7" s="79"/>
    </row>
    <row r="8" spans="1:17" ht="28.5">
      <c r="A8" s="79"/>
      <c r="B8" s="210"/>
      <c r="C8" s="628"/>
      <c r="D8" s="628"/>
      <c r="E8" s="439"/>
      <c r="F8" s="439"/>
      <c r="G8" s="439"/>
      <c r="H8" s="439"/>
      <c r="I8" s="439"/>
      <c r="J8" s="442"/>
      <c r="K8" s="78"/>
      <c r="L8" s="82"/>
      <c r="M8" s="82"/>
      <c r="N8" s="82"/>
      <c r="O8" s="82"/>
      <c r="P8" s="79"/>
    </row>
    <row r="9" spans="1:17" ht="29.25" thickBot="1">
      <c r="A9" s="79"/>
      <c r="B9" s="531"/>
      <c r="C9" s="629"/>
      <c r="D9" s="629"/>
      <c r="E9" s="440"/>
      <c r="F9" s="440"/>
      <c r="G9" s="440"/>
      <c r="H9" s="440"/>
      <c r="I9" s="440"/>
      <c r="J9" s="443"/>
      <c r="K9" s="78"/>
      <c r="L9" s="82"/>
      <c r="M9" s="82"/>
      <c r="N9" s="82"/>
      <c r="O9" s="82"/>
      <c r="P9" s="79"/>
    </row>
    <row r="10" spans="1:17" ht="28.5">
      <c r="A10" s="79"/>
      <c r="B10" s="525"/>
      <c r="C10" s="626"/>
      <c r="D10" s="627"/>
      <c r="E10" s="526"/>
      <c r="F10" s="526"/>
      <c r="G10" s="526"/>
      <c r="H10" s="526"/>
      <c r="I10" s="527"/>
      <c r="J10" s="527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495"/>
      <c r="E13" s="497"/>
      <c r="F13" s="497"/>
      <c r="G13" s="497"/>
      <c r="H13" s="497"/>
      <c r="I13" s="496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46" t="s">
        <v>67</v>
      </c>
      <c r="C14" s="456"/>
      <c r="D14" s="279" t="s">
        <v>68</v>
      </c>
      <c r="E14" s="126"/>
      <c r="F14" s="127"/>
      <c r="G14" s="128"/>
      <c r="H14" s="129"/>
      <c r="I14" s="130"/>
      <c r="J14" s="131"/>
      <c r="K14" s="290"/>
      <c r="L14" s="82"/>
      <c r="M14" s="82"/>
      <c r="N14" s="82"/>
      <c r="O14" s="82"/>
      <c r="P14" s="79"/>
    </row>
    <row r="15" spans="1:17" ht="8.25" customHeight="1" thickBot="1">
      <c r="A15" s="87"/>
      <c r="B15" s="445"/>
      <c r="C15" s="289"/>
      <c r="D15" s="280"/>
      <c r="E15" s="281"/>
      <c r="F15" s="281"/>
      <c r="G15" s="282"/>
      <c r="H15" s="281"/>
      <c r="I15" s="282"/>
      <c r="J15" s="283"/>
      <c r="L15" s="82"/>
      <c r="M15" s="82"/>
      <c r="N15" s="82"/>
      <c r="O15" s="82"/>
      <c r="P15" s="79"/>
    </row>
    <row r="16" spans="1:17" ht="74.25" customHeight="1" thickBot="1">
      <c r="A16" s="79"/>
      <c r="B16" s="448" t="s">
        <v>135</v>
      </c>
      <c r="C16" s="455"/>
      <c r="D16" s="284"/>
      <c r="E16" s="602"/>
      <c r="F16" s="603"/>
      <c r="G16" s="603"/>
      <c r="H16" s="603"/>
      <c r="I16" s="603"/>
      <c r="J16" s="604"/>
      <c r="K16" s="291"/>
      <c r="L16" s="115"/>
      <c r="M16" s="115"/>
      <c r="N16" s="115"/>
      <c r="O16" s="82"/>
      <c r="P16" s="79"/>
    </row>
    <row r="17" spans="1:16" ht="108.75" customHeight="1" thickBot="1">
      <c r="A17" s="87"/>
      <c r="B17" s="450" t="s">
        <v>65</v>
      </c>
      <c r="C17" s="454"/>
      <c r="D17" s="284"/>
      <c r="E17" s="602"/>
      <c r="F17" s="603"/>
      <c r="G17" s="603"/>
      <c r="H17" s="603"/>
      <c r="I17" s="603"/>
      <c r="J17" s="604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532"/>
      <c r="E18" s="620"/>
      <c r="F18" s="621"/>
      <c r="G18" s="621"/>
      <c r="H18" s="621"/>
      <c r="I18" s="621"/>
      <c r="J18" s="622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33"/>
      <c r="E19" s="630"/>
      <c r="F19" s="631"/>
      <c r="G19" s="631"/>
      <c r="H19" s="631"/>
      <c r="I19" s="631"/>
      <c r="J19" s="632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57"/>
      <c r="E20" s="623"/>
      <c r="F20" s="623"/>
      <c r="G20" s="623"/>
      <c r="H20" s="623"/>
      <c r="I20" s="623"/>
      <c r="J20" s="623"/>
      <c r="K20" s="83"/>
      <c r="L20" s="287"/>
      <c r="M20" s="114"/>
      <c r="N20" s="112"/>
      <c r="O20" s="110"/>
    </row>
    <row r="21" spans="1:16" s="220" customFormat="1" ht="81.75" customHeight="1">
      <c r="B21" s="221"/>
      <c r="C21" s="222"/>
      <c r="D21" s="453"/>
      <c r="E21" s="619"/>
      <c r="F21" s="619"/>
      <c r="G21" s="619"/>
      <c r="H21" s="619"/>
      <c r="I21" s="619"/>
      <c r="J21" s="619"/>
      <c r="K21" s="451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52"/>
      <c r="E22" s="619"/>
      <c r="F22" s="619"/>
      <c r="G22" s="619"/>
      <c r="H22" s="619"/>
      <c r="I22" s="619"/>
      <c r="J22" s="619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2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24" t="s">
        <v>0</v>
      </c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725"/>
      <c r="N1" s="725"/>
      <c r="O1" s="725"/>
      <c r="P1" s="725"/>
      <c r="Q1" s="725"/>
      <c r="R1" s="725"/>
      <c r="S1" s="725"/>
      <c r="T1" s="725"/>
      <c r="U1" s="725"/>
      <c r="V1" s="725"/>
      <c r="W1" s="725"/>
      <c r="X1" s="725"/>
      <c r="Y1" s="726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27" t="s">
        <v>134</v>
      </c>
      <c r="C3" s="728"/>
      <c r="D3" s="728"/>
      <c r="E3" s="728"/>
      <c r="F3" s="728"/>
      <c r="G3" s="728"/>
      <c r="H3" s="728"/>
      <c r="I3" s="728"/>
      <c r="J3" s="728"/>
      <c r="K3" s="728"/>
      <c r="L3" s="728"/>
      <c r="M3" s="728"/>
      <c r="N3" s="728"/>
      <c r="O3" s="728"/>
      <c r="P3" s="728"/>
      <c r="Q3" s="728"/>
      <c r="R3" s="728"/>
      <c r="S3" s="728"/>
      <c r="T3" s="728"/>
      <c r="U3" s="728"/>
      <c r="V3" s="728"/>
      <c r="W3" s="728"/>
      <c r="X3" s="728"/>
      <c r="Y3" s="729"/>
      <c r="Z3" s="174"/>
      <c r="AA3" s="103"/>
    </row>
    <row r="4" spans="1:28" ht="23.25" customHeight="1" thickBot="1">
      <c r="A4" s="180" t="s">
        <v>115</v>
      </c>
      <c r="B4" s="730" t="s">
        <v>154</v>
      </c>
      <c r="C4" s="731"/>
      <c r="D4" s="731"/>
      <c r="E4" s="731"/>
      <c r="F4" s="731"/>
      <c r="G4" s="731"/>
      <c r="H4" s="731"/>
      <c r="I4" s="731"/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1"/>
      <c r="U4" s="731"/>
      <c r="V4" s="731"/>
      <c r="W4" s="731"/>
      <c r="X4" s="731"/>
      <c r="Y4" s="732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36" t="s">
        <v>71</v>
      </c>
      <c r="C6" s="737"/>
      <c r="D6" s="737"/>
      <c r="E6" s="738"/>
      <c r="F6" s="89"/>
      <c r="G6" s="142"/>
      <c r="H6" s="702" t="s">
        <v>76</v>
      </c>
      <c r="I6" s="703"/>
      <c r="J6" s="703"/>
      <c r="K6" s="704"/>
      <c r="L6" s="89"/>
      <c r="M6" s="142"/>
      <c r="N6" s="714" t="s">
        <v>95</v>
      </c>
      <c r="O6" s="715"/>
      <c r="P6" s="716"/>
      <c r="Q6" s="149"/>
      <c r="R6" s="151"/>
      <c r="S6" s="709" t="s">
        <v>77</v>
      </c>
      <c r="T6" s="710"/>
      <c r="U6" s="152"/>
      <c r="V6" s="156"/>
      <c r="W6" s="143"/>
      <c r="X6" s="709" t="s">
        <v>78</v>
      </c>
      <c r="Y6" s="710"/>
      <c r="Z6" s="80"/>
      <c r="AA6" s="103"/>
    </row>
    <row r="7" spans="1:28" ht="30.75" customHeight="1" thickBot="1">
      <c r="A7" s="181"/>
      <c r="B7" s="352" t="s">
        <v>72</v>
      </c>
      <c r="C7" s="353" t="s">
        <v>73</v>
      </c>
      <c r="D7" s="354" t="s">
        <v>74</v>
      </c>
      <c r="E7" s="355" t="s">
        <v>75</v>
      </c>
      <c r="F7" s="89"/>
      <c r="G7" s="116"/>
      <c r="H7" s="711">
        <f>I23</f>
        <v>0</v>
      </c>
      <c r="I7" s="713"/>
      <c r="J7" s="713"/>
      <c r="K7" s="712"/>
      <c r="L7" s="89"/>
      <c r="M7" s="116"/>
      <c r="N7" s="717">
        <f>L23</f>
        <v>0</v>
      </c>
      <c r="O7" s="718"/>
      <c r="P7" s="719"/>
      <c r="Q7" s="150"/>
      <c r="R7" s="152"/>
      <c r="S7" s="711">
        <f>O23</f>
        <v>0</v>
      </c>
      <c r="T7" s="712"/>
      <c r="U7" s="89"/>
      <c r="V7" s="155"/>
      <c r="W7" s="82"/>
      <c r="X7" s="711">
        <f>R23</f>
        <v>0</v>
      </c>
      <c r="Y7" s="712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43" t="s">
        <v>79</v>
      </c>
      <c r="H10" s="744"/>
      <c r="I10" s="744"/>
      <c r="J10" s="744"/>
      <c r="K10" s="744"/>
      <c r="L10" s="744"/>
      <c r="M10" s="744"/>
      <c r="N10" s="744"/>
      <c r="O10" s="744"/>
      <c r="P10" s="744"/>
      <c r="Q10" s="744"/>
      <c r="R10" s="744"/>
      <c r="S10" s="744"/>
      <c r="T10" s="744"/>
      <c r="U10" s="744"/>
      <c r="V10" s="744"/>
      <c r="W10" s="744"/>
      <c r="X10" s="744"/>
      <c r="Y10" s="745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46" t="s">
        <v>80</v>
      </c>
      <c r="H11" s="741"/>
      <c r="I11" s="741" t="s">
        <v>81</v>
      </c>
      <c r="J11" s="741"/>
      <c r="K11" s="741"/>
      <c r="L11" s="741" t="s">
        <v>82</v>
      </c>
      <c r="M11" s="741"/>
      <c r="N11" s="741"/>
      <c r="O11" s="741" t="s">
        <v>83</v>
      </c>
      <c r="P11" s="741"/>
      <c r="Q11" s="741"/>
      <c r="R11" s="741" t="s">
        <v>78</v>
      </c>
      <c r="S11" s="741"/>
      <c r="T11" s="741"/>
      <c r="U11" s="741"/>
      <c r="V11" s="741"/>
      <c r="W11" s="741"/>
      <c r="X11" s="741"/>
      <c r="Y11" s="742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46"/>
      <c r="H12" s="741"/>
      <c r="I12" s="741"/>
      <c r="J12" s="741"/>
      <c r="K12" s="741"/>
      <c r="L12" s="741"/>
      <c r="M12" s="741"/>
      <c r="N12" s="741"/>
      <c r="O12" s="741"/>
      <c r="P12" s="741"/>
      <c r="Q12" s="741"/>
      <c r="R12" s="668" t="s">
        <v>84</v>
      </c>
      <c r="S12" s="668"/>
      <c r="T12" s="668" t="s">
        <v>85</v>
      </c>
      <c r="U12" s="668"/>
      <c r="V12" s="668" t="s">
        <v>86</v>
      </c>
      <c r="W12" s="668"/>
      <c r="X12" s="668" t="s">
        <v>87</v>
      </c>
      <c r="Y12" s="699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46"/>
      <c r="H13" s="741"/>
      <c r="I13" s="741"/>
      <c r="J13" s="741"/>
      <c r="K13" s="741"/>
      <c r="L13" s="741"/>
      <c r="M13" s="741"/>
      <c r="N13" s="741"/>
      <c r="O13" s="741"/>
      <c r="P13" s="741"/>
      <c r="Q13" s="741"/>
      <c r="R13" s="668"/>
      <c r="S13" s="668"/>
      <c r="T13" s="668"/>
      <c r="U13" s="668"/>
      <c r="V13" s="668"/>
      <c r="W13" s="668"/>
      <c r="X13" s="739"/>
      <c r="Y13" s="740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20" t="s">
        <v>18</v>
      </c>
      <c r="H14" s="721"/>
      <c r="I14" s="698"/>
      <c r="J14" s="722"/>
      <c r="K14" s="723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8"/>
      <c r="X14" s="696"/>
      <c r="Y14" s="697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20" t="s">
        <v>16</v>
      </c>
      <c r="H15" s="721"/>
      <c r="I15" s="698"/>
      <c r="J15" s="722"/>
      <c r="K15" s="723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8"/>
      <c r="X15" s="696"/>
      <c r="Y15" s="697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20" t="s">
        <v>19</v>
      </c>
      <c r="H16" s="721"/>
      <c r="I16" s="698"/>
      <c r="J16" s="722"/>
      <c r="K16" s="723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8"/>
      <c r="X16" s="696"/>
      <c r="Y16" s="697"/>
      <c r="Z16" s="80"/>
      <c r="AA16" s="103"/>
      <c r="AB16" s="194"/>
    </row>
    <row r="17" spans="1:27" ht="21" customHeight="1">
      <c r="A17" s="79"/>
      <c r="B17" s="733" t="s">
        <v>89</v>
      </c>
      <c r="C17" s="734"/>
      <c r="D17" s="734"/>
      <c r="E17" s="735"/>
      <c r="F17" s="89"/>
      <c r="G17" s="720" t="s">
        <v>17</v>
      </c>
      <c r="H17" s="721"/>
      <c r="I17" s="698"/>
      <c r="J17" s="722"/>
      <c r="K17" s="723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8"/>
      <c r="X17" s="696"/>
      <c r="Y17" s="697"/>
      <c r="Z17" s="80"/>
      <c r="AA17" s="103"/>
    </row>
    <row r="18" spans="1:27" ht="34.5" customHeight="1">
      <c r="A18" s="79"/>
      <c r="B18" s="356" t="s">
        <v>90</v>
      </c>
      <c r="C18" s="357" t="s">
        <v>84</v>
      </c>
      <c r="D18" s="358" t="s">
        <v>70</v>
      </c>
      <c r="E18" s="359" t="s">
        <v>91</v>
      </c>
      <c r="F18" s="89"/>
      <c r="G18" s="720" t="s">
        <v>157</v>
      </c>
      <c r="H18" s="721"/>
      <c r="I18" s="698"/>
      <c r="J18" s="722"/>
      <c r="K18" s="723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8"/>
      <c r="X18" s="696"/>
      <c r="Y18" s="697"/>
      <c r="Z18" s="80"/>
      <c r="AA18" s="103"/>
    </row>
    <row r="19" spans="1:27" ht="45" customHeight="1">
      <c r="A19" s="79"/>
      <c r="B19" s="157"/>
      <c r="C19" s="134"/>
      <c r="D19" s="506"/>
      <c r="E19" s="201"/>
      <c r="F19" s="89"/>
      <c r="G19" s="720" t="s">
        <v>158</v>
      </c>
      <c r="H19" s="721"/>
      <c r="I19" s="698"/>
      <c r="J19" s="722"/>
      <c r="K19" s="723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8"/>
      <c r="X19" s="696"/>
      <c r="Y19" s="697"/>
      <c r="Z19" s="80"/>
      <c r="AA19" s="103"/>
    </row>
    <row r="20" spans="1:27" ht="41.25" customHeight="1">
      <c r="A20" s="79"/>
      <c r="B20" s="157"/>
      <c r="C20" s="139"/>
      <c r="D20" s="506"/>
      <c r="E20" s="201"/>
      <c r="F20" s="89"/>
      <c r="G20" s="720" t="s">
        <v>22</v>
      </c>
      <c r="H20" s="721"/>
      <c r="I20" s="698"/>
      <c r="J20" s="722"/>
      <c r="K20" s="723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8"/>
      <c r="X20" s="696"/>
      <c r="Y20" s="697"/>
      <c r="Z20" s="80"/>
      <c r="AA20" s="103"/>
    </row>
    <row r="21" spans="1:27" ht="45" customHeight="1">
      <c r="A21" s="79"/>
      <c r="B21" s="157"/>
      <c r="C21" s="139"/>
      <c r="D21" s="506"/>
      <c r="E21" s="201"/>
      <c r="F21" s="89"/>
      <c r="G21" s="720" t="s">
        <v>20</v>
      </c>
      <c r="H21" s="721"/>
      <c r="I21" s="698"/>
      <c r="J21" s="722"/>
      <c r="K21" s="723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8"/>
      <c r="X21" s="696"/>
      <c r="Y21" s="697"/>
      <c r="Z21" s="80"/>
      <c r="AA21" s="103"/>
    </row>
    <row r="22" spans="1:27" ht="50.25" customHeight="1">
      <c r="A22" s="79"/>
      <c r="B22" s="157"/>
      <c r="C22" s="139"/>
      <c r="D22" s="506"/>
      <c r="E22" s="201"/>
      <c r="F22" s="89"/>
      <c r="G22" s="720" t="s">
        <v>159</v>
      </c>
      <c r="H22" s="721"/>
      <c r="I22" s="698"/>
      <c r="J22" s="722"/>
      <c r="K22" s="723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8"/>
      <c r="X22" s="696"/>
      <c r="Y22" s="697"/>
      <c r="Z22" s="80"/>
      <c r="AA22" s="103"/>
    </row>
    <row r="23" spans="1:27" ht="42" customHeight="1" thickBot="1">
      <c r="A23" s="79"/>
      <c r="B23" s="158"/>
      <c r="C23" s="159"/>
      <c r="D23" s="507"/>
      <c r="E23" s="202"/>
      <c r="F23" s="89"/>
      <c r="G23" s="708" t="s">
        <v>88</v>
      </c>
      <c r="H23" s="700"/>
      <c r="I23" s="700">
        <f>SUM(I14:K22)</f>
        <v>0</v>
      </c>
      <c r="J23" s="700"/>
      <c r="K23" s="700"/>
      <c r="L23" s="700">
        <f>SUM(L14:N22)</f>
        <v>0</v>
      </c>
      <c r="M23" s="700"/>
      <c r="N23" s="700"/>
      <c r="O23" s="705">
        <f>SUM(O14:Q22)</f>
        <v>0</v>
      </c>
      <c r="P23" s="706"/>
      <c r="Q23" s="707"/>
      <c r="R23" s="705">
        <f>SUM(R14:S22)</f>
        <v>0</v>
      </c>
      <c r="S23" s="707"/>
      <c r="T23" s="705">
        <f>SUM(T14:U22)</f>
        <v>0</v>
      </c>
      <c r="U23" s="707"/>
      <c r="V23" s="705">
        <f>SUM(V14:W22)</f>
        <v>0</v>
      </c>
      <c r="W23" s="706"/>
      <c r="X23" s="700">
        <f>SUM(X14:Y22)</f>
        <v>0</v>
      </c>
      <c r="Y23" s="701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663" t="s">
        <v>103</v>
      </c>
      <c r="I26" s="664"/>
      <c r="J26" s="665"/>
      <c r="K26" s="89"/>
      <c r="L26" s="672" t="s">
        <v>96</v>
      </c>
      <c r="M26" s="673"/>
      <c r="N26" s="673"/>
      <c r="O26" s="673"/>
      <c r="P26" s="673"/>
      <c r="Q26" s="673"/>
      <c r="R26" s="673"/>
      <c r="S26" s="673"/>
      <c r="T26" s="673"/>
      <c r="U26" s="673"/>
      <c r="V26" s="673"/>
      <c r="W26" s="673"/>
      <c r="X26" s="673"/>
      <c r="Y26" s="674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45">
        <f>Y38</f>
        <v>0</v>
      </c>
      <c r="I27" s="646"/>
      <c r="J27" s="647"/>
      <c r="K27" s="89"/>
      <c r="L27" s="694" t="s">
        <v>80</v>
      </c>
      <c r="M27" s="668"/>
      <c r="N27" s="668"/>
      <c r="O27" s="668" t="s">
        <v>97</v>
      </c>
      <c r="P27" s="668"/>
      <c r="Q27" s="668" t="s">
        <v>98</v>
      </c>
      <c r="R27" s="668"/>
      <c r="S27" s="668" t="s">
        <v>99</v>
      </c>
      <c r="T27" s="668" t="s">
        <v>100</v>
      </c>
      <c r="U27" s="668"/>
      <c r="V27" s="668" t="s">
        <v>101</v>
      </c>
      <c r="W27" s="668" t="s">
        <v>102</v>
      </c>
      <c r="X27" s="668"/>
      <c r="Y27" s="699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694"/>
      <c r="M28" s="668"/>
      <c r="N28" s="668"/>
      <c r="O28" s="668"/>
      <c r="P28" s="668"/>
      <c r="Q28" s="668"/>
      <c r="R28" s="668"/>
      <c r="S28" s="668"/>
      <c r="T28" s="668"/>
      <c r="U28" s="668"/>
      <c r="V28" s="668"/>
      <c r="W28" s="668"/>
      <c r="X28" s="668"/>
      <c r="Y28" s="699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680" t="s">
        <v>18</v>
      </c>
      <c r="M29" s="648"/>
      <c r="N29" s="648"/>
      <c r="O29" s="648"/>
      <c r="P29" s="648"/>
      <c r="Q29" s="648"/>
      <c r="R29" s="648"/>
      <c r="S29" s="71"/>
      <c r="T29" s="648"/>
      <c r="U29" s="648"/>
      <c r="V29" s="71"/>
      <c r="W29" s="648"/>
      <c r="X29" s="649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680" t="s">
        <v>16</v>
      </c>
      <c r="M30" s="648"/>
      <c r="N30" s="648"/>
      <c r="O30" s="648"/>
      <c r="P30" s="648"/>
      <c r="Q30" s="648"/>
      <c r="R30" s="648"/>
      <c r="S30" s="71"/>
      <c r="T30" s="648"/>
      <c r="U30" s="648"/>
      <c r="V30" s="71"/>
      <c r="W30" s="648"/>
      <c r="X30" s="649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669" t="s">
        <v>93</v>
      </c>
      <c r="I31" s="670"/>
      <c r="J31" s="671"/>
      <c r="K31" s="89"/>
      <c r="L31" s="680" t="s">
        <v>19</v>
      </c>
      <c r="M31" s="648"/>
      <c r="N31" s="648"/>
      <c r="O31" s="648"/>
      <c r="P31" s="648"/>
      <c r="Q31" s="648"/>
      <c r="R31" s="648"/>
      <c r="S31" s="71"/>
      <c r="T31" s="648"/>
      <c r="U31" s="648"/>
      <c r="V31" s="71"/>
      <c r="W31" s="648"/>
      <c r="X31" s="649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680" t="s">
        <v>17</v>
      </c>
      <c r="M32" s="648"/>
      <c r="N32" s="648"/>
      <c r="O32" s="648"/>
      <c r="P32" s="648"/>
      <c r="Q32" s="648"/>
      <c r="R32" s="648"/>
      <c r="S32" s="71"/>
      <c r="T32" s="648"/>
      <c r="U32" s="648"/>
      <c r="V32" s="71"/>
      <c r="W32" s="648"/>
      <c r="X32" s="649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45">
        <f>O38</f>
        <v>0</v>
      </c>
      <c r="I33" s="646"/>
      <c r="J33" s="647"/>
      <c r="K33" s="89"/>
      <c r="L33" s="680" t="s">
        <v>157</v>
      </c>
      <c r="M33" s="648"/>
      <c r="N33" s="648"/>
      <c r="O33" s="648"/>
      <c r="P33" s="648"/>
      <c r="Q33" s="648"/>
      <c r="R33" s="648"/>
      <c r="S33" s="71"/>
      <c r="T33" s="648"/>
      <c r="U33" s="648"/>
      <c r="V33" s="71"/>
      <c r="W33" s="648"/>
      <c r="X33" s="649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680" t="s">
        <v>158</v>
      </c>
      <c r="M34" s="648"/>
      <c r="N34" s="648"/>
      <c r="O34" s="648"/>
      <c r="P34" s="648"/>
      <c r="Q34" s="648"/>
      <c r="R34" s="648"/>
      <c r="S34" s="71"/>
      <c r="T34" s="648"/>
      <c r="U34" s="648"/>
      <c r="V34" s="71"/>
      <c r="W34" s="648"/>
      <c r="X34" s="649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680" t="s">
        <v>22</v>
      </c>
      <c r="M35" s="648"/>
      <c r="N35" s="648"/>
      <c r="O35" s="675"/>
      <c r="P35" s="675"/>
      <c r="Q35" s="675"/>
      <c r="R35" s="675"/>
      <c r="S35" s="162"/>
      <c r="T35" s="675"/>
      <c r="U35" s="675"/>
      <c r="V35" s="162"/>
      <c r="W35" s="675"/>
      <c r="X35" s="69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680" t="s">
        <v>20</v>
      </c>
      <c r="M36" s="648"/>
      <c r="N36" s="649"/>
      <c r="O36" s="652"/>
      <c r="P36" s="652"/>
      <c r="Q36" s="652"/>
      <c r="R36" s="652"/>
      <c r="S36" s="163"/>
      <c r="T36" s="652"/>
      <c r="U36" s="652"/>
      <c r="V36" s="163"/>
      <c r="W36" s="652"/>
      <c r="X36" s="676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669" t="s">
        <v>92</v>
      </c>
      <c r="I37" s="670"/>
      <c r="J37" s="671"/>
      <c r="K37" s="89"/>
      <c r="L37" s="680" t="s">
        <v>159</v>
      </c>
      <c r="M37" s="648"/>
      <c r="N37" s="649"/>
      <c r="O37" s="652"/>
      <c r="P37" s="652"/>
      <c r="Q37" s="652"/>
      <c r="R37" s="652"/>
      <c r="S37" s="163"/>
      <c r="T37" s="652"/>
      <c r="U37" s="652"/>
      <c r="V37" s="163"/>
      <c r="W37" s="652"/>
      <c r="X37" s="676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688" t="s">
        <v>88</v>
      </c>
      <c r="M38" s="689"/>
      <c r="N38" s="690"/>
      <c r="O38" s="653">
        <f>SUM(O29:P37)</f>
        <v>0</v>
      </c>
      <c r="P38" s="653"/>
      <c r="Q38" s="653">
        <f>SUM(Q29:R37)</f>
        <v>0</v>
      </c>
      <c r="R38" s="653"/>
      <c r="S38" s="196">
        <f>SUM(S29:S37)</f>
        <v>0</v>
      </c>
      <c r="T38" s="653">
        <f>SUM(T29:U37)</f>
        <v>0</v>
      </c>
      <c r="U38" s="653"/>
      <c r="V38" s="196">
        <f>SUM(V29:V37)</f>
        <v>0</v>
      </c>
      <c r="W38" s="653">
        <f>SUM(W29:X37)</f>
        <v>0</v>
      </c>
      <c r="X38" s="653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45">
        <f>S38</f>
        <v>0</v>
      </c>
      <c r="I39" s="646"/>
      <c r="J39" s="647"/>
      <c r="K39" s="89"/>
      <c r="L39" s="683"/>
      <c r="M39" s="691"/>
      <c r="N39" s="692"/>
      <c r="O39" s="683"/>
      <c r="P39" s="684"/>
      <c r="Q39" s="666"/>
      <c r="R39" s="667"/>
      <c r="S39" s="104"/>
      <c r="T39" s="654"/>
      <c r="U39" s="654"/>
      <c r="V39" s="104"/>
      <c r="W39" s="654"/>
      <c r="X39" s="654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656"/>
      <c r="M40" s="693"/>
      <c r="N40" s="657"/>
      <c r="O40" s="685"/>
      <c r="P40" s="682"/>
      <c r="Q40" s="681"/>
      <c r="R40" s="682"/>
      <c r="S40" s="82"/>
      <c r="T40" s="655"/>
      <c r="U40" s="655"/>
      <c r="V40" s="82"/>
      <c r="W40" s="655"/>
      <c r="X40" s="655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656"/>
      <c r="M41" s="693"/>
      <c r="N41" s="657"/>
      <c r="O41" s="686"/>
      <c r="P41" s="687"/>
      <c r="Q41" s="656"/>
      <c r="R41" s="657"/>
      <c r="S41" s="82"/>
      <c r="T41" s="656"/>
      <c r="U41" s="657"/>
      <c r="V41" s="82"/>
      <c r="W41" s="656"/>
      <c r="X41" s="657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677"/>
      <c r="M42" s="678"/>
      <c r="N42" s="679"/>
      <c r="O42" s="666"/>
      <c r="P42" s="667"/>
      <c r="Q42" s="82"/>
      <c r="R42" s="650" t="s">
        <v>127</v>
      </c>
      <c r="S42" s="651"/>
      <c r="T42" s="105"/>
      <c r="U42" s="658"/>
      <c r="V42" s="659"/>
      <c r="W42" s="658"/>
      <c r="X42" s="659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661" t="s">
        <v>104</v>
      </c>
      <c r="I43" s="661"/>
      <c r="J43" s="662"/>
      <c r="K43" s="89"/>
      <c r="L43" s="135"/>
      <c r="M43" s="164"/>
      <c r="N43" s="636" t="s">
        <v>94</v>
      </c>
      <c r="O43" s="637"/>
      <c r="P43" s="638"/>
      <c r="Q43" s="136"/>
      <c r="R43" s="254" t="s">
        <v>128</v>
      </c>
      <c r="S43" s="267"/>
      <c r="T43" s="264" t="s">
        <v>131</v>
      </c>
      <c r="U43" s="255"/>
      <c r="V43" s="255"/>
      <c r="W43" s="255"/>
      <c r="X43" s="268"/>
      <c r="Y43" s="261"/>
      <c r="Z43" s="257"/>
      <c r="AA43" s="26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74"/>
      <c r="R44" s="256"/>
      <c r="S44" s="271"/>
      <c r="T44" s="272"/>
      <c r="U44" s="269"/>
      <c r="V44" s="270"/>
      <c r="W44" s="270"/>
      <c r="X44" s="270"/>
      <c r="Y44" s="276"/>
      <c r="Z44" s="270"/>
      <c r="AA44" s="271"/>
    </row>
    <row r="45" spans="1:27" ht="27" customHeight="1">
      <c r="A45" s="82"/>
      <c r="B45" s="82"/>
      <c r="C45" s="82"/>
      <c r="D45" s="82"/>
      <c r="E45" s="82"/>
      <c r="F45" s="79"/>
      <c r="G45" s="136"/>
      <c r="H45" s="645">
        <f>SUM(V38)</f>
        <v>0</v>
      </c>
      <c r="I45" s="646"/>
      <c r="J45" s="647"/>
      <c r="K45" s="89"/>
      <c r="L45" s="136"/>
      <c r="M45" s="82"/>
      <c r="N45" s="82"/>
      <c r="O45" s="639">
        <f>SUM(Q38,T38,W38)</f>
        <v>0</v>
      </c>
      <c r="P45" s="640"/>
      <c r="Q45" s="136"/>
      <c r="R45" s="255" t="s">
        <v>129</v>
      </c>
      <c r="S45" s="265"/>
      <c r="T45" s="263" t="s">
        <v>132</v>
      </c>
      <c r="U45" s="264"/>
      <c r="V45" s="257"/>
      <c r="W45" s="257"/>
      <c r="X45" s="262"/>
      <c r="Y45" s="275"/>
      <c r="Z45" s="257"/>
      <c r="AA45" s="26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41"/>
      <c r="P46" s="642"/>
      <c r="Q46" s="136"/>
      <c r="R46" s="256"/>
      <c r="S46" s="271"/>
      <c r="T46" s="272"/>
      <c r="U46" s="269"/>
      <c r="V46" s="270"/>
      <c r="W46" s="270"/>
      <c r="X46" s="270"/>
      <c r="Y46" s="277"/>
      <c r="Z46" s="270"/>
      <c r="AA46" s="27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63" t="s">
        <v>130</v>
      </c>
      <c r="S47" s="262"/>
      <c r="T47" s="263" t="s">
        <v>133</v>
      </c>
      <c r="U47" s="264"/>
      <c r="V47" s="257"/>
      <c r="W47" s="257"/>
      <c r="X47" s="262"/>
      <c r="Y47" s="278"/>
      <c r="Z47" s="257"/>
      <c r="AA47" s="26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43"/>
      <c r="I50" s="643"/>
      <c r="J50" s="644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660"/>
      <c r="I52" s="660"/>
      <c r="J52" s="660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33"/>
      <c r="Y55" s="634"/>
      <c r="Z55" s="634"/>
      <c r="AA55" s="634"/>
      <c r="AB55" s="635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58"/>
      <c r="Y56" s="25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60"/>
      <c r="Y57" s="25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58"/>
      <c r="Y58" s="25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60"/>
      <c r="Y59" s="25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33"/>
      <c r="V63" s="634"/>
      <c r="W63" s="634"/>
      <c r="X63" s="634"/>
      <c r="Y63" s="635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58"/>
      <c r="V64" s="25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60"/>
      <c r="V65" s="25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58"/>
      <c r="V66" s="25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60"/>
      <c r="V67" s="25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49" t="s">
        <v>105</v>
      </c>
      <c r="C2" s="749"/>
      <c r="D2" s="749"/>
      <c r="E2" s="749"/>
      <c r="F2" s="749"/>
    </row>
    <row r="3" spans="1:6">
      <c r="B3" s="750" t="s">
        <v>106</v>
      </c>
      <c r="C3" s="750"/>
      <c r="D3" s="750"/>
      <c r="E3" s="750"/>
      <c r="F3" s="750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07" t="s">
        <v>112</v>
      </c>
      <c r="D14" s="207" t="s">
        <v>106</v>
      </c>
      <c r="E14" s="208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47" t="s">
        <v>112</v>
      </c>
      <c r="H26" s="748">
        <v>5</v>
      </c>
    </row>
    <row r="27" spans="3:8">
      <c r="C27" s="73">
        <v>3</v>
      </c>
      <c r="D27" s="73">
        <v>3</v>
      </c>
      <c r="E27" s="2">
        <v>96</v>
      </c>
      <c r="G27" s="747"/>
      <c r="H27" s="748"/>
    </row>
    <row r="28" spans="3:8">
      <c r="C28" s="73">
        <v>4</v>
      </c>
      <c r="D28" s="73">
        <v>3</v>
      </c>
      <c r="E28" s="2">
        <v>21</v>
      </c>
      <c r="G28" s="747"/>
      <c r="H28" s="748"/>
    </row>
    <row r="29" spans="3:8">
      <c r="C29" s="73">
        <v>5</v>
      </c>
      <c r="D29" s="73">
        <v>3</v>
      </c>
      <c r="E29" s="2">
        <v>2</v>
      </c>
      <c r="G29" s="747"/>
      <c r="H29" s="748"/>
    </row>
    <row r="30" spans="3:8">
      <c r="C30" s="73">
        <v>1</v>
      </c>
      <c r="D30" s="73">
        <v>4</v>
      </c>
      <c r="E30" s="2">
        <v>22</v>
      </c>
      <c r="G30" s="747"/>
      <c r="H30" s="748"/>
    </row>
    <row r="31" spans="3:8">
      <c r="C31" s="73">
        <v>2</v>
      </c>
      <c r="D31" s="73">
        <v>4</v>
      </c>
      <c r="E31" s="2">
        <v>31</v>
      </c>
      <c r="G31" s="747"/>
      <c r="H31" s="748">
        <v>4</v>
      </c>
    </row>
    <row r="32" spans="3:8">
      <c r="C32" s="73">
        <v>3</v>
      </c>
      <c r="D32" s="73">
        <v>4</v>
      </c>
      <c r="E32" s="2">
        <v>45</v>
      </c>
      <c r="G32" s="747"/>
      <c r="H32" s="748"/>
    </row>
    <row r="33" spans="3:8">
      <c r="C33" s="73">
        <v>4</v>
      </c>
      <c r="D33" s="73">
        <v>4</v>
      </c>
      <c r="E33" s="2">
        <v>18</v>
      </c>
      <c r="G33" s="747"/>
      <c r="H33" s="748"/>
    </row>
    <row r="34" spans="3:8">
      <c r="C34" s="73">
        <v>5</v>
      </c>
      <c r="D34" s="73">
        <v>4</v>
      </c>
      <c r="E34" s="2">
        <v>0</v>
      </c>
      <c r="G34" s="747"/>
      <c r="H34" s="748"/>
    </row>
    <row r="35" spans="3:8">
      <c r="C35" s="73">
        <v>1</v>
      </c>
      <c r="D35" s="73">
        <v>5</v>
      </c>
      <c r="E35" s="2">
        <v>14</v>
      </c>
      <c r="G35" s="747"/>
      <c r="H35" s="748"/>
    </row>
    <row r="36" spans="3:8">
      <c r="C36" s="73">
        <v>2</v>
      </c>
      <c r="D36" s="73">
        <v>5</v>
      </c>
      <c r="E36" s="2">
        <v>10</v>
      </c>
      <c r="G36" s="747"/>
      <c r="H36" s="748">
        <v>3</v>
      </c>
    </row>
    <row r="37" spans="3:8">
      <c r="C37" s="73">
        <v>3</v>
      </c>
      <c r="D37" s="73">
        <v>5</v>
      </c>
      <c r="E37" s="2">
        <v>2</v>
      </c>
      <c r="G37" s="747"/>
      <c r="H37" s="748"/>
    </row>
    <row r="38" spans="3:8">
      <c r="C38" s="73">
        <v>4</v>
      </c>
      <c r="D38" s="73">
        <v>5</v>
      </c>
      <c r="E38" s="2">
        <v>0</v>
      </c>
      <c r="G38" s="747"/>
      <c r="H38" s="748"/>
    </row>
    <row r="39" spans="3:8">
      <c r="C39" s="73">
        <v>5</v>
      </c>
      <c r="D39" s="73">
        <v>5</v>
      </c>
      <c r="E39" s="2">
        <v>0</v>
      </c>
      <c r="G39" s="747"/>
      <c r="H39" s="748"/>
    </row>
    <row r="40" spans="3:8">
      <c r="G40" s="747"/>
      <c r="H40" s="748"/>
    </row>
    <row r="41" spans="3:8">
      <c r="G41" s="747"/>
      <c r="H41" s="748">
        <v>2</v>
      </c>
    </row>
    <row r="42" spans="3:8">
      <c r="G42" s="747"/>
      <c r="H42" s="748"/>
    </row>
    <row r="43" spans="3:8">
      <c r="G43" s="747"/>
      <c r="H43" s="748"/>
    </row>
    <row r="44" spans="3:8">
      <c r="G44" s="747"/>
      <c r="H44" s="748"/>
    </row>
    <row r="45" spans="3:8">
      <c r="G45" s="747"/>
      <c r="H45" s="748"/>
    </row>
    <row r="46" spans="3:8">
      <c r="G46" s="747"/>
      <c r="H46" s="748">
        <v>1</v>
      </c>
    </row>
    <row r="47" spans="3:8">
      <c r="G47" s="747"/>
      <c r="H47" s="748"/>
    </row>
    <row r="48" spans="3:8">
      <c r="G48" s="747"/>
      <c r="H48" s="748"/>
    </row>
    <row r="49" spans="7:10">
      <c r="G49" s="747"/>
      <c r="H49" s="748"/>
    </row>
    <row r="50" spans="7:10">
      <c r="G50" s="747"/>
      <c r="H50" s="748"/>
    </row>
    <row r="55" spans="7:10">
      <c r="H55" s="172"/>
      <c r="I55" s="748"/>
      <c r="J55" s="747"/>
    </row>
    <row r="56" spans="7:10">
      <c r="H56" s="172"/>
      <c r="I56" s="748"/>
      <c r="J56" s="747"/>
    </row>
    <row r="57" spans="7:10">
      <c r="H57" s="172"/>
      <c r="I57" s="748"/>
      <c r="J57" s="747"/>
    </row>
    <row r="58" spans="7:10">
      <c r="H58" s="172"/>
      <c r="I58" s="748"/>
      <c r="J58" s="747"/>
    </row>
    <row r="59" spans="7:10">
      <c r="H59" s="172"/>
      <c r="I59" s="748"/>
      <c r="J59" s="747"/>
    </row>
    <row r="60" spans="7:10">
      <c r="H60" s="172"/>
      <c r="I60" s="748"/>
      <c r="J60" s="747"/>
    </row>
    <row r="61" spans="7:10">
      <c r="H61" s="172"/>
      <c r="I61" s="748"/>
      <c r="J61" s="747"/>
    </row>
    <row r="62" spans="7:10">
      <c r="H62" s="172"/>
      <c r="I62" s="748"/>
      <c r="J62" s="747"/>
    </row>
    <row r="63" spans="7:10">
      <c r="H63" s="172"/>
      <c r="I63" s="748"/>
      <c r="J63" s="747"/>
    </row>
    <row r="64" spans="7:10">
      <c r="H64" s="172"/>
      <c r="I64" s="748"/>
      <c r="J64" s="747"/>
    </row>
    <row r="65" spans="8:11">
      <c r="H65" s="172"/>
      <c r="I65" s="748"/>
      <c r="J65" s="747"/>
    </row>
    <row r="66" spans="8:11">
      <c r="H66" s="172"/>
      <c r="I66" s="748"/>
      <c r="J66" s="747"/>
    </row>
    <row r="67" spans="8:11">
      <c r="H67" s="172"/>
      <c r="I67" s="748"/>
      <c r="J67" s="747"/>
    </row>
    <row r="68" spans="8:11">
      <c r="H68" s="172"/>
      <c r="I68" s="748"/>
      <c r="J68" s="747"/>
    </row>
    <row r="69" spans="8:11">
      <c r="H69" s="172"/>
      <c r="I69" s="748"/>
      <c r="J69" s="747"/>
    </row>
    <row r="70" spans="8:11">
      <c r="H70" s="172"/>
      <c r="I70" s="748"/>
      <c r="J70" s="747"/>
      <c r="K70" s="747" t="s">
        <v>113</v>
      </c>
    </row>
    <row r="71" spans="8:11">
      <c r="H71" s="172"/>
      <c r="I71" s="748"/>
      <c r="J71" s="747"/>
      <c r="K71" s="747"/>
    </row>
    <row r="72" spans="8:11">
      <c r="H72" s="172"/>
      <c r="I72" s="748"/>
      <c r="J72" s="747"/>
      <c r="K72" s="747"/>
    </row>
    <row r="73" spans="8:11">
      <c r="H73" s="172"/>
      <c r="I73" s="748"/>
      <c r="J73" s="747"/>
      <c r="K73" s="747"/>
    </row>
    <row r="74" spans="8:11">
      <c r="H74" s="172"/>
      <c r="I74" s="748"/>
      <c r="J74" s="747"/>
      <c r="K74" s="747"/>
    </row>
    <row r="75" spans="8:11">
      <c r="H75" s="172"/>
      <c r="I75" s="748"/>
      <c r="J75" s="747"/>
      <c r="K75" s="747"/>
    </row>
    <row r="76" spans="8:11">
      <c r="H76" s="172"/>
      <c r="I76" s="748"/>
      <c r="J76" s="747"/>
      <c r="K76" s="747"/>
    </row>
    <row r="77" spans="8:11">
      <c r="H77" s="172"/>
      <c r="I77" s="748"/>
      <c r="J77" s="747"/>
      <c r="K77" s="747"/>
    </row>
    <row r="78" spans="8:11">
      <c r="H78" s="172"/>
      <c r="I78" s="748"/>
      <c r="J78" s="747"/>
      <c r="K78" s="747"/>
    </row>
    <row r="79" spans="8:11">
      <c r="H79" s="172"/>
      <c r="I79" s="748"/>
      <c r="J79" s="747"/>
      <c r="K79" s="747"/>
    </row>
    <row r="80" spans="8:11">
      <c r="K80" s="747"/>
    </row>
    <row r="81" spans="11:11">
      <c r="K81" s="747"/>
    </row>
    <row r="82" spans="11:11">
      <c r="K82" s="747"/>
    </row>
    <row r="83" spans="11:11">
      <c r="K83" s="747"/>
    </row>
    <row r="84" spans="11:11">
      <c r="K84" s="747"/>
    </row>
    <row r="85" spans="11:11">
      <c r="K85" s="747"/>
    </row>
    <row r="86" spans="11:11">
      <c r="K86" s="747"/>
    </row>
    <row r="87" spans="11:11">
      <c r="K87" s="747"/>
    </row>
    <row r="88" spans="11:11">
      <c r="K88" s="747"/>
    </row>
    <row r="89" spans="11:11">
      <c r="K89" s="747"/>
    </row>
    <row r="90" spans="11:11">
      <c r="K90" s="747"/>
    </row>
    <row r="91" spans="11:11">
      <c r="K91" s="747"/>
    </row>
    <row r="92" spans="11:11">
      <c r="K92" s="747"/>
    </row>
    <row r="93" spans="11:11">
      <c r="K93" s="747"/>
    </row>
    <row r="94" spans="11:11">
      <c r="K94" s="747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57" t="s">
        <v>0</v>
      </c>
      <c r="B1" s="757"/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8"/>
    </row>
    <row r="2" spans="1:15" ht="6.75" customHeight="1" thickBot="1">
      <c r="A2" s="759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60"/>
    </row>
    <row r="3" spans="1:15" ht="21" customHeight="1">
      <c r="A3" s="761" t="s">
        <v>138</v>
      </c>
      <c r="B3" s="761"/>
      <c r="C3" s="761"/>
      <c r="D3" s="761"/>
      <c r="E3" s="761"/>
      <c r="F3" s="761"/>
      <c r="G3" s="761"/>
      <c r="H3" s="761"/>
      <c r="I3" s="761"/>
      <c r="J3" s="761"/>
      <c r="K3" s="761"/>
      <c r="L3" s="761"/>
      <c r="M3" s="761"/>
      <c r="N3" s="761"/>
      <c r="O3" s="762"/>
    </row>
    <row r="4" spans="1:15" ht="24" customHeight="1" thickBot="1">
      <c r="A4" s="763" t="s">
        <v>166</v>
      </c>
      <c r="B4" s="763"/>
      <c r="C4" s="763"/>
      <c r="D4" s="763"/>
      <c r="E4" s="763"/>
      <c r="F4" s="763"/>
      <c r="G4" s="763"/>
      <c r="H4" s="763"/>
      <c r="I4" s="763"/>
      <c r="J4" s="763"/>
      <c r="K4" s="763"/>
      <c r="L4" s="763"/>
      <c r="M4" s="763"/>
      <c r="N4" s="763"/>
      <c r="O4" s="764"/>
    </row>
    <row r="5" spans="1:15" ht="14.25" customHeight="1" thickBot="1">
      <c r="A5" s="90"/>
      <c r="B5" s="475"/>
      <c r="C5" s="82"/>
      <c r="D5" s="476"/>
      <c r="E5" s="477"/>
      <c r="F5" s="80"/>
      <c r="G5" s="478"/>
      <c r="H5" s="476"/>
      <c r="I5" s="82"/>
      <c r="J5" s="765"/>
      <c r="K5" s="765"/>
      <c r="L5" s="481"/>
      <c r="M5" s="478"/>
      <c r="N5" s="482"/>
      <c r="O5" s="391"/>
    </row>
    <row r="6" spans="1:15" ht="51.75" customHeight="1">
      <c r="A6" s="135"/>
      <c r="B6" s="484" t="s">
        <v>145</v>
      </c>
      <c r="C6" s="89"/>
      <c r="D6" s="135"/>
      <c r="E6" s="508" t="s">
        <v>92</v>
      </c>
      <c r="F6" s="89"/>
      <c r="G6" s="135"/>
      <c r="H6" s="488" t="s">
        <v>93</v>
      </c>
      <c r="I6" s="89"/>
      <c r="J6" s="486"/>
      <c r="K6" s="508" t="s">
        <v>104</v>
      </c>
      <c r="L6" s="479"/>
      <c r="M6" s="135"/>
      <c r="N6" s="484" t="s">
        <v>165</v>
      </c>
      <c r="O6" s="225"/>
    </row>
    <row r="7" spans="1:15" ht="40.5" customHeight="1" thickBot="1">
      <c r="A7" s="137"/>
      <c r="B7" s="485">
        <f>SUM(E13:E15)</f>
        <v>0</v>
      </c>
      <c r="C7" s="89"/>
      <c r="D7" s="137"/>
      <c r="E7" s="485">
        <f>E13</f>
        <v>0</v>
      </c>
      <c r="F7" s="89"/>
      <c r="G7" s="137"/>
      <c r="H7" s="485">
        <f>E14</f>
        <v>0</v>
      </c>
      <c r="I7" s="89"/>
      <c r="J7" s="487"/>
      <c r="K7" s="485">
        <f>E15</f>
        <v>0</v>
      </c>
      <c r="L7" s="480"/>
      <c r="M7" s="137"/>
      <c r="N7" s="485">
        <f>F25</f>
        <v>0</v>
      </c>
      <c r="O7" s="391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755"/>
      <c r="I8" s="756"/>
      <c r="J8" s="755"/>
      <c r="K8" s="755"/>
      <c r="L8" s="755"/>
      <c r="M8" s="755"/>
      <c r="N8" s="483"/>
      <c r="O8" s="391"/>
    </row>
    <row r="9" spans="1:15" ht="15" customHeight="1">
      <c r="A9" s="783" t="s">
        <v>141</v>
      </c>
      <c r="B9" s="784"/>
      <c r="C9" s="784"/>
      <c r="D9" s="784"/>
      <c r="E9" s="784"/>
      <c r="F9" s="785"/>
      <c r="G9" s="83"/>
      <c r="H9" s="460"/>
      <c r="I9" s="465"/>
      <c r="J9" s="465"/>
      <c r="K9" s="465"/>
      <c r="L9" s="465"/>
      <c r="M9" s="465"/>
      <c r="N9" s="465"/>
      <c r="O9" s="225"/>
    </row>
    <row r="10" spans="1:15" ht="16.5" customHeight="1" thickBot="1">
      <c r="A10" s="786"/>
      <c r="B10" s="787"/>
      <c r="C10" s="787"/>
      <c r="D10" s="787"/>
      <c r="E10" s="787"/>
      <c r="F10" s="788"/>
      <c r="G10" s="80"/>
      <c r="H10" s="82"/>
      <c r="I10" s="463"/>
      <c r="J10" s="463"/>
      <c r="K10" s="463"/>
      <c r="L10" s="463"/>
      <c r="M10" s="463"/>
      <c r="N10" s="463"/>
      <c r="O10" s="391"/>
    </row>
    <row r="11" spans="1:15" ht="15.75" customHeight="1">
      <c r="A11" s="799" t="s">
        <v>140</v>
      </c>
      <c r="B11" s="794" t="s">
        <v>142</v>
      </c>
      <c r="C11" s="796" t="s">
        <v>164</v>
      </c>
      <c r="D11" s="798" t="s">
        <v>144</v>
      </c>
      <c r="E11" s="779" t="s">
        <v>88</v>
      </c>
      <c r="F11" s="780"/>
      <c r="G11" s="80"/>
      <c r="H11" s="82"/>
      <c r="I11" s="463"/>
      <c r="J11" s="463"/>
      <c r="K11" s="463"/>
      <c r="L11" s="463"/>
      <c r="M11" s="463"/>
      <c r="N11" s="463"/>
      <c r="O11" s="391"/>
    </row>
    <row r="12" spans="1:15" ht="38.25" customHeight="1" thickBot="1">
      <c r="A12" s="800"/>
      <c r="B12" s="795"/>
      <c r="C12" s="797"/>
      <c r="D12" s="786"/>
      <c r="E12" s="781"/>
      <c r="F12" s="782"/>
      <c r="G12" s="80"/>
      <c r="H12" s="82"/>
      <c r="I12" s="463"/>
      <c r="J12" s="463"/>
      <c r="K12" s="463"/>
      <c r="L12" s="463"/>
      <c r="M12" s="463"/>
      <c r="N12" s="463"/>
      <c r="O12" s="225"/>
    </row>
    <row r="13" spans="1:15" ht="21">
      <c r="A13" s="513" t="s">
        <v>92</v>
      </c>
      <c r="B13" s="514"/>
      <c r="C13" s="514"/>
      <c r="D13" s="515"/>
      <c r="E13" s="789">
        <f>SUM(B13:D13)</f>
        <v>0</v>
      </c>
      <c r="F13" s="790"/>
      <c r="G13" s="80"/>
      <c r="H13" s="82"/>
      <c r="I13" s="82"/>
      <c r="J13" s="466"/>
      <c r="K13" s="82"/>
      <c r="L13" s="82"/>
      <c r="M13" s="82"/>
      <c r="N13" s="82"/>
      <c r="O13" s="391"/>
    </row>
    <row r="14" spans="1:15" ht="21">
      <c r="A14" s="469" t="s">
        <v>93</v>
      </c>
      <c r="B14" s="468"/>
      <c r="C14" s="468"/>
      <c r="D14" s="516"/>
      <c r="E14" s="791">
        <f>SUM(B14:D14)</f>
        <v>0</v>
      </c>
      <c r="F14" s="792"/>
      <c r="G14" s="80"/>
      <c r="H14" s="82"/>
      <c r="I14" s="463"/>
      <c r="J14" s="463"/>
      <c r="K14" s="463"/>
      <c r="L14" s="463"/>
      <c r="M14" s="463"/>
      <c r="N14" s="463"/>
      <c r="O14" s="225"/>
    </row>
    <row r="15" spans="1:15" ht="21.75" thickBot="1">
      <c r="A15" s="470" t="s">
        <v>104</v>
      </c>
      <c r="B15" s="471"/>
      <c r="C15" s="471"/>
      <c r="D15" s="472"/>
      <c r="E15" s="801">
        <f>SUM(B15:D15)</f>
        <v>0</v>
      </c>
      <c r="F15" s="802"/>
      <c r="G15" s="80"/>
      <c r="H15" s="82"/>
      <c r="I15" s="463"/>
      <c r="J15" s="463"/>
      <c r="K15" s="463"/>
      <c r="L15" s="463"/>
      <c r="M15" s="463"/>
      <c r="N15" s="463"/>
      <c r="O15" s="225"/>
    </row>
    <row r="16" spans="1:15" ht="194.25" customHeight="1" thickBot="1">
      <c r="A16" s="462"/>
      <c r="B16" s="463"/>
      <c r="C16" s="82"/>
      <c r="D16" s="82"/>
      <c r="E16" s="98"/>
      <c r="F16" s="104"/>
      <c r="G16" s="105"/>
      <c r="H16" s="382"/>
      <c r="I16" s="382"/>
      <c r="J16" s="398"/>
      <c r="K16" s="81"/>
      <c r="L16" s="81"/>
      <c r="M16" s="81"/>
      <c r="N16" s="104"/>
      <c r="O16" s="165"/>
    </row>
    <row r="17" spans="1:15" ht="32.25" customHeight="1" thickBot="1">
      <c r="A17" s="462"/>
      <c r="B17" s="463"/>
      <c r="C17" s="82"/>
      <c r="D17" s="82"/>
      <c r="E17" s="89"/>
      <c r="F17" s="82"/>
      <c r="H17" s="767" t="s">
        <v>147</v>
      </c>
      <c r="I17" s="768"/>
      <c r="J17" s="769"/>
      <c r="K17" s="221"/>
      <c r="L17" s="221"/>
      <c r="M17" s="221"/>
      <c r="N17" s="82"/>
      <c r="O17" s="165"/>
    </row>
    <row r="18" spans="1:15" ht="12.75" customHeight="1" thickBot="1">
      <c r="A18" s="462"/>
      <c r="B18" s="463"/>
      <c r="C18" s="82"/>
      <c r="D18" s="82"/>
      <c r="E18" s="89"/>
      <c r="F18" s="82"/>
      <c r="G18" s="80"/>
      <c r="H18" s="379"/>
      <c r="I18" s="379"/>
      <c r="J18" s="379"/>
      <c r="K18" s="221"/>
      <c r="L18" s="221"/>
      <c r="M18" s="221"/>
      <c r="N18" s="82"/>
      <c r="O18" s="165"/>
    </row>
    <row r="19" spans="1:15" ht="24" customHeight="1" thickBot="1">
      <c r="A19" s="491"/>
      <c r="B19" s="492"/>
      <c r="C19" s="460"/>
      <c r="D19" s="82"/>
      <c r="E19" s="80"/>
      <c r="F19" s="105"/>
      <c r="H19" s="193"/>
      <c r="I19" s="539" t="s">
        <v>162</v>
      </c>
      <c r="J19" s="489"/>
      <c r="K19" s="490"/>
      <c r="L19" s="374"/>
      <c r="M19" s="374"/>
      <c r="N19" s="104"/>
      <c r="O19" s="165"/>
    </row>
    <row r="20" spans="1:15" ht="29.25" customHeight="1" thickBot="1">
      <c r="A20" s="493"/>
      <c r="B20" s="492"/>
      <c r="C20" s="465"/>
      <c r="D20" s="82"/>
      <c r="E20" s="83"/>
      <c r="F20" s="83"/>
      <c r="H20" s="501" t="s">
        <v>50</v>
      </c>
      <c r="I20" s="540" t="s">
        <v>163</v>
      </c>
      <c r="J20" s="499" t="s">
        <v>51</v>
      </c>
      <c r="K20" s="500" t="s">
        <v>52</v>
      </c>
      <c r="L20" s="775" t="s">
        <v>53</v>
      </c>
      <c r="M20" s="776"/>
      <c r="N20" s="387"/>
      <c r="O20" s="165"/>
    </row>
    <row r="21" spans="1:15" ht="22.5" customHeight="1">
      <c r="A21" s="465"/>
      <c r="B21" s="494"/>
      <c r="C21" s="465"/>
      <c r="D21" s="82"/>
      <c r="E21" s="82"/>
      <c r="F21" s="82"/>
      <c r="G21" s="78"/>
      <c r="H21" s="534"/>
      <c r="I21" s="503"/>
      <c r="J21" s="503"/>
      <c r="K21" s="503"/>
      <c r="L21" s="777"/>
      <c r="M21" s="778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35"/>
      <c r="I22" s="502"/>
      <c r="J22" s="502"/>
      <c r="K22" s="502"/>
      <c r="L22" s="751"/>
      <c r="M22" s="752"/>
      <c r="N22" s="80"/>
      <c r="O22" s="165"/>
    </row>
    <row r="23" spans="1:15" ht="27.75" customHeight="1" thickBot="1">
      <c r="A23" s="772" t="s">
        <v>149</v>
      </c>
      <c r="B23" s="773"/>
      <c r="C23" s="773"/>
      <c r="D23" s="773"/>
      <c r="E23" s="773"/>
      <c r="F23" s="774"/>
      <c r="G23" s="78"/>
      <c r="H23" s="535"/>
      <c r="I23" s="502"/>
      <c r="J23" s="502"/>
      <c r="K23" s="502"/>
      <c r="L23" s="751"/>
      <c r="M23" s="752"/>
      <c r="N23" s="80"/>
      <c r="O23" s="165"/>
    </row>
    <row r="24" spans="1:15" ht="36" customHeight="1" thickBot="1">
      <c r="A24" s="509" t="s">
        <v>148</v>
      </c>
      <c r="B24" s="770" t="s">
        <v>168</v>
      </c>
      <c r="C24" s="771"/>
      <c r="D24" s="510" t="s">
        <v>151</v>
      </c>
      <c r="E24" s="511" t="s">
        <v>167</v>
      </c>
      <c r="F24" s="512" t="s">
        <v>88</v>
      </c>
      <c r="G24" s="78"/>
      <c r="H24" s="535"/>
      <c r="I24" s="502"/>
      <c r="J24" s="502"/>
      <c r="K24" s="502"/>
      <c r="L24" s="751"/>
      <c r="M24" s="752"/>
      <c r="N24" s="80"/>
      <c r="O24" s="165"/>
    </row>
    <row r="25" spans="1:15" ht="24.75" customHeight="1">
      <c r="A25" s="467" t="s">
        <v>94</v>
      </c>
      <c r="B25" s="793"/>
      <c r="C25" s="793"/>
      <c r="D25" s="474"/>
      <c r="E25" s="474"/>
      <c r="F25" s="473">
        <f>SUM(B25:D25)</f>
        <v>0</v>
      </c>
      <c r="G25" s="78"/>
      <c r="H25" s="536"/>
      <c r="I25" s="502"/>
      <c r="J25" s="502"/>
      <c r="K25" s="502"/>
      <c r="L25" s="751"/>
      <c r="M25" s="752"/>
      <c r="N25" s="80"/>
      <c r="O25" s="165"/>
    </row>
    <row r="26" spans="1:15" ht="31.5" customHeight="1">
      <c r="B26" s="458"/>
      <c r="C26" s="458"/>
      <c r="F26" s="459"/>
      <c r="G26" s="103"/>
      <c r="H26" s="536"/>
      <c r="I26" s="502"/>
      <c r="J26" s="502"/>
      <c r="K26" s="502"/>
      <c r="L26" s="751"/>
      <c r="M26" s="752"/>
      <c r="N26" s="80"/>
      <c r="O26" s="165"/>
    </row>
    <row r="27" spans="1:15" ht="27" customHeight="1">
      <c r="A27" s="766"/>
      <c r="B27" s="766"/>
      <c r="C27" s="766"/>
      <c r="D27" s="766"/>
      <c r="E27" s="461"/>
      <c r="F27" s="464"/>
      <c r="G27" s="89"/>
      <c r="H27" s="536"/>
      <c r="I27" s="502"/>
      <c r="J27" s="502"/>
      <c r="K27" s="502"/>
      <c r="L27" s="751"/>
      <c r="M27" s="752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36"/>
      <c r="I28" s="502"/>
      <c r="J28" s="502"/>
      <c r="K28" s="502"/>
      <c r="L28" s="751"/>
      <c r="M28" s="752"/>
      <c r="N28" s="105"/>
      <c r="O28" s="165"/>
    </row>
    <row r="29" spans="1:15" ht="29.25" customHeight="1">
      <c r="A29" s="462"/>
      <c r="B29" s="463"/>
      <c r="C29" s="82"/>
      <c r="D29" s="82"/>
      <c r="E29" s="82"/>
      <c r="F29" s="82"/>
      <c r="H29" s="536"/>
      <c r="I29" s="502"/>
      <c r="J29" s="502"/>
      <c r="K29" s="502"/>
      <c r="L29" s="751"/>
      <c r="M29" s="752"/>
      <c r="N29" s="80"/>
      <c r="O29" s="165"/>
    </row>
    <row r="30" spans="1:15" ht="24.75" customHeight="1">
      <c r="A30" s="462"/>
      <c r="B30" s="463"/>
      <c r="C30" s="82"/>
      <c r="D30" s="82"/>
      <c r="E30" s="82"/>
      <c r="F30" s="82"/>
      <c r="G30" s="78"/>
      <c r="H30" s="536"/>
      <c r="I30" s="502"/>
      <c r="J30" s="502"/>
      <c r="K30" s="502"/>
      <c r="L30" s="751"/>
      <c r="M30" s="752"/>
      <c r="N30" s="80"/>
      <c r="O30" s="165"/>
    </row>
    <row r="31" spans="1:15" ht="24" customHeight="1">
      <c r="A31" s="462"/>
      <c r="B31" s="463"/>
      <c r="C31" s="82"/>
      <c r="D31" s="82"/>
      <c r="E31" s="82"/>
      <c r="F31" s="82"/>
      <c r="G31" s="78"/>
      <c r="H31" s="535"/>
      <c r="I31" s="502"/>
      <c r="J31" s="502"/>
      <c r="K31" s="502"/>
      <c r="L31" s="751"/>
      <c r="M31" s="752"/>
      <c r="N31" s="80"/>
      <c r="O31" s="165"/>
    </row>
    <row r="32" spans="1:15" ht="27.75" customHeight="1">
      <c r="A32" s="462"/>
      <c r="B32" s="463"/>
      <c r="C32" s="82"/>
      <c r="D32" s="82"/>
      <c r="E32" s="82"/>
      <c r="F32" s="82"/>
      <c r="G32" s="78"/>
      <c r="H32" s="535"/>
      <c r="I32" s="502"/>
      <c r="J32" s="502"/>
      <c r="K32" s="502"/>
      <c r="L32" s="751"/>
      <c r="M32" s="752"/>
      <c r="N32" s="80"/>
      <c r="O32" s="165"/>
    </row>
    <row r="33" spans="1:15" ht="25.5" customHeight="1">
      <c r="A33" s="462"/>
      <c r="B33" s="463"/>
      <c r="C33" s="82"/>
      <c r="D33" s="82"/>
      <c r="E33" s="82"/>
      <c r="F33" s="82"/>
      <c r="G33" s="78"/>
      <c r="H33" s="536"/>
      <c r="I33" s="502"/>
      <c r="J33" s="502"/>
      <c r="K33" s="502"/>
      <c r="L33" s="751"/>
      <c r="M33" s="752"/>
      <c r="N33" s="80"/>
      <c r="O33" s="165"/>
    </row>
    <row r="34" spans="1:15" ht="27" customHeight="1">
      <c r="A34" s="462"/>
      <c r="B34" s="463"/>
      <c r="C34" s="82"/>
      <c r="D34" s="82"/>
      <c r="E34" s="82"/>
      <c r="F34" s="82"/>
      <c r="G34" s="78"/>
      <c r="H34" s="536"/>
      <c r="I34" s="502"/>
      <c r="J34" s="502"/>
      <c r="K34" s="502"/>
      <c r="L34" s="751"/>
      <c r="M34" s="752"/>
      <c r="N34" s="80"/>
      <c r="O34" s="165"/>
    </row>
    <row r="35" spans="1:15" ht="24" customHeight="1">
      <c r="A35" s="462"/>
      <c r="B35" s="463"/>
      <c r="C35" s="82"/>
      <c r="D35" s="82"/>
      <c r="E35" s="82"/>
      <c r="F35" s="82"/>
      <c r="G35" s="89"/>
      <c r="H35" s="535"/>
      <c r="I35" s="502"/>
      <c r="J35" s="502"/>
      <c r="K35" s="502"/>
      <c r="L35" s="751"/>
      <c r="M35" s="752"/>
      <c r="N35" s="80"/>
      <c r="O35" s="165"/>
    </row>
    <row r="36" spans="1:15" ht="24" customHeight="1">
      <c r="A36" s="462"/>
      <c r="B36" s="463"/>
      <c r="C36" s="82"/>
      <c r="D36" s="82"/>
      <c r="E36" s="82"/>
      <c r="F36" s="82"/>
      <c r="H36" s="537"/>
      <c r="I36" s="502"/>
      <c r="J36" s="502"/>
      <c r="K36" s="502"/>
      <c r="L36" s="751"/>
      <c r="M36" s="752"/>
      <c r="N36" s="80"/>
      <c r="O36" s="165"/>
    </row>
    <row r="37" spans="1:15" ht="22.5" customHeight="1" thickBot="1">
      <c r="A37" s="462"/>
      <c r="B37" s="463"/>
      <c r="C37" s="82"/>
      <c r="D37" s="82"/>
      <c r="E37" s="82"/>
      <c r="F37" s="82"/>
      <c r="G37" s="78"/>
      <c r="H37" s="538"/>
      <c r="I37" s="504"/>
      <c r="J37" s="504"/>
      <c r="K37" s="504"/>
      <c r="L37" s="753"/>
      <c r="M37" s="754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836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7"/>
      <c r="P1" s="837"/>
      <c r="Q1" s="837"/>
      <c r="R1" s="837"/>
      <c r="S1" s="837"/>
      <c r="T1" s="837"/>
      <c r="U1" s="837"/>
      <c r="V1" s="837"/>
      <c r="W1" s="837"/>
      <c r="X1" s="837"/>
      <c r="Y1" s="837"/>
      <c r="Z1" s="837"/>
      <c r="AA1" s="837"/>
      <c r="AB1" s="837"/>
      <c r="AC1" s="837"/>
      <c r="AD1" s="837"/>
      <c r="AE1" s="837"/>
      <c r="AF1" s="837"/>
      <c r="AG1" s="837"/>
      <c r="AH1" s="837"/>
      <c r="AI1" s="838"/>
    </row>
    <row r="2" spans="1:36" ht="4.5" customHeight="1" thickBot="1">
      <c r="A2" s="856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759"/>
      <c r="V2" s="759"/>
      <c r="W2" s="759"/>
      <c r="X2" s="759"/>
      <c r="Y2" s="759"/>
      <c r="Z2" s="759"/>
      <c r="AA2" s="759"/>
      <c r="AB2" s="759"/>
      <c r="AC2" s="759"/>
      <c r="AD2" s="759"/>
      <c r="AE2" s="759"/>
      <c r="AF2" s="759"/>
      <c r="AG2" s="759"/>
      <c r="AH2" s="759"/>
      <c r="AI2" s="760"/>
    </row>
    <row r="3" spans="1:36" ht="15.75">
      <c r="A3" s="872" t="s">
        <v>138</v>
      </c>
      <c r="B3" s="873"/>
      <c r="C3" s="873"/>
      <c r="D3" s="873"/>
      <c r="E3" s="873"/>
      <c r="F3" s="873"/>
      <c r="G3" s="873"/>
      <c r="H3" s="873"/>
      <c r="I3" s="873"/>
      <c r="J3" s="873"/>
      <c r="K3" s="873"/>
      <c r="L3" s="873"/>
      <c r="M3" s="873"/>
      <c r="N3" s="873"/>
      <c r="O3" s="873"/>
      <c r="P3" s="873"/>
      <c r="Q3" s="873"/>
      <c r="R3" s="873"/>
      <c r="S3" s="873"/>
      <c r="T3" s="873"/>
      <c r="U3" s="873"/>
      <c r="V3" s="873"/>
      <c r="W3" s="873"/>
      <c r="X3" s="873"/>
      <c r="Y3" s="873"/>
      <c r="Z3" s="873"/>
      <c r="AA3" s="873"/>
      <c r="AB3" s="873"/>
      <c r="AC3" s="873"/>
      <c r="AD3" s="873"/>
      <c r="AE3" s="873"/>
      <c r="AF3" s="873"/>
      <c r="AG3" s="873"/>
      <c r="AH3" s="873"/>
      <c r="AI3" s="874"/>
      <c r="AJ3" s="98"/>
    </row>
    <row r="4" spans="1:36" ht="19.5" customHeight="1" thickBot="1">
      <c r="A4" s="869" t="s">
        <v>139</v>
      </c>
      <c r="B4" s="870"/>
      <c r="C4" s="870"/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  <c r="X4" s="870"/>
      <c r="Y4" s="870"/>
      <c r="Z4" s="870"/>
      <c r="AA4" s="870"/>
      <c r="AB4" s="870"/>
      <c r="AC4" s="870"/>
      <c r="AD4" s="870"/>
      <c r="AE4" s="870"/>
      <c r="AF4" s="870"/>
      <c r="AG4" s="870"/>
      <c r="AH4" s="870"/>
      <c r="AI4" s="871"/>
    </row>
    <row r="5" spans="1:36" ht="11.25" customHeight="1" thickBot="1">
      <c r="A5" s="224"/>
      <c r="B5" s="104"/>
      <c r="D5" s="340"/>
      <c r="E5" s="340"/>
      <c r="F5" s="340"/>
      <c r="G5" s="340"/>
      <c r="H5" s="87"/>
      <c r="I5" s="342"/>
      <c r="J5" s="343"/>
      <c r="L5" s="342"/>
      <c r="M5" s="104"/>
      <c r="N5" s="343"/>
      <c r="P5" s="342"/>
      <c r="Q5" s="342"/>
      <c r="R5" s="342"/>
      <c r="S5" s="104"/>
      <c r="U5" s="342"/>
      <c r="V5" s="342"/>
      <c r="W5" s="343"/>
      <c r="X5" s="343"/>
      <c r="Y5" s="343"/>
      <c r="Z5" s="343"/>
      <c r="AA5" s="106"/>
      <c r="AB5" s="106"/>
      <c r="AC5" s="106"/>
      <c r="AD5" s="106"/>
      <c r="AE5" s="104"/>
      <c r="AF5" s="343"/>
      <c r="AH5" s="87"/>
      <c r="AI5" s="390"/>
    </row>
    <row r="6" spans="1:36" ht="9.75" customHeight="1">
      <c r="A6" s="136"/>
      <c r="C6" s="151"/>
      <c r="D6" s="124"/>
      <c r="E6" s="885" t="s">
        <v>145</v>
      </c>
      <c r="F6" s="886"/>
      <c r="G6" s="887"/>
      <c r="H6" s="341"/>
      <c r="I6" s="223"/>
      <c r="J6" s="857" t="s">
        <v>92</v>
      </c>
      <c r="K6" s="858"/>
      <c r="L6" s="859"/>
      <c r="M6" s="344"/>
      <c r="N6" s="223"/>
      <c r="O6" s="347"/>
      <c r="P6" s="347"/>
      <c r="Q6" s="878" t="s">
        <v>93</v>
      </c>
      <c r="R6" s="879"/>
      <c r="S6" s="345"/>
      <c r="T6" s="223"/>
      <c r="U6" s="347"/>
      <c r="V6" s="347"/>
      <c r="W6" s="857" t="s">
        <v>104</v>
      </c>
      <c r="X6" s="858"/>
      <c r="Y6" s="858"/>
      <c r="Z6" s="859"/>
      <c r="AA6" s="383"/>
      <c r="AB6" s="223"/>
      <c r="AC6" s="347"/>
      <c r="AD6" s="850" t="s">
        <v>94</v>
      </c>
      <c r="AE6" s="851"/>
      <c r="AF6" s="852"/>
      <c r="AG6" s="136"/>
      <c r="AH6" s="371"/>
      <c r="AI6" s="391"/>
    </row>
    <row r="7" spans="1:36" ht="15.75" customHeight="1">
      <c r="A7" s="136"/>
      <c r="B7" s="100"/>
      <c r="C7" s="23"/>
      <c r="E7" s="888"/>
      <c r="F7" s="889"/>
      <c r="G7" s="890"/>
      <c r="H7" s="341"/>
      <c r="I7" s="226"/>
      <c r="J7" s="875"/>
      <c r="K7" s="876"/>
      <c r="L7" s="877"/>
      <c r="M7" s="344"/>
      <c r="N7" s="226"/>
      <c r="O7" s="339"/>
      <c r="P7" s="346"/>
      <c r="Q7" s="880"/>
      <c r="R7" s="881"/>
      <c r="S7" s="345"/>
      <c r="T7" s="226"/>
      <c r="U7" s="339"/>
      <c r="V7" s="346"/>
      <c r="W7" s="860"/>
      <c r="X7" s="861"/>
      <c r="Y7" s="861"/>
      <c r="Z7" s="862"/>
      <c r="AA7" s="383"/>
      <c r="AB7" s="226"/>
      <c r="AC7" s="339"/>
      <c r="AD7" s="853"/>
      <c r="AE7" s="854"/>
      <c r="AF7" s="855"/>
      <c r="AG7" s="136"/>
      <c r="AH7" s="371"/>
      <c r="AI7" s="391"/>
    </row>
    <row r="8" spans="1:36" ht="12.75" customHeight="1">
      <c r="A8" s="136"/>
      <c r="B8" s="348"/>
      <c r="C8" s="206"/>
      <c r="E8" s="863">
        <v>64</v>
      </c>
      <c r="F8" s="864"/>
      <c r="G8" s="891"/>
      <c r="H8" s="152"/>
      <c r="I8" s="136"/>
      <c r="J8" s="79"/>
      <c r="K8" s="895">
        <v>16</v>
      </c>
      <c r="L8" s="896"/>
      <c r="M8" s="344"/>
      <c r="N8" s="136"/>
      <c r="O8" s="79"/>
      <c r="P8" s="863">
        <v>10</v>
      </c>
      <c r="Q8" s="864"/>
      <c r="R8" s="865"/>
      <c r="S8" s="345"/>
      <c r="T8" s="136"/>
      <c r="U8" s="79"/>
      <c r="V8" s="863">
        <v>38</v>
      </c>
      <c r="W8" s="864"/>
      <c r="X8" s="864"/>
      <c r="Y8" s="864"/>
      <c r="Z8" s="865"/>
      <c r="AA8" s="384"/>
      <c r="AB8" s="136"/>
      <c r="AC8" s="79"/>
      <c r="AD8" s="863">
        <v>20</v>
      </c>
      <c r="AE8" s="864"/>
      <c r="AF8" s="865"/>
      <c r="AG8" s="136"/>
      <c r="AH8" s="372"/>
      <c r="AI8" s="225"/>
    </row>
    <row r="9" spans="1:36" ht="13.5" customHeight="1" thickBot="1">
      <c r="A9" s="224"/>
      <c r="B9" s="100"/>
      <c r="C9" s="144"/>
      <c r="D9" s="337"/>
      <c r="E9" s="892"/>
      <c r="F9" s="893"/>
      <c r="G9" s="894"/>
      <c r="I9" s="137"/>
      <c r="J9" s="338"/>
      <c r="K9" s="897"/>
      <c r="L9" s="898"/>
      <c r="M9" s="345"/>
      <c r="N9" s="137"/>
      <c r="O9" s="338"/>
      <c r="P9" s="866"/>
      <c r="Q9" s="867"/>
      <c r="R9" s="868"/>
      <c r="S9" s="345"/>
      <c r="T9" s="137"/>
      <c r="U9" s="338"/>
      <c r="V9" s="866"/>
      <c r="W9" s="867"/>
      <c r="X9" s="867"/>
      <c r="Y9" s="867"/>
      <c r="Z9" s="868"/>
      <c r="AA9" s="384"/>
      <c r="AB9" s="137"/>
      <c r="AC9" s="338"/>
      <c r="AD9" s="866"/>
      <c r="AE9" s="867"/>
      <c r="AF9" s="868"/>
      <c r="AG9" s="385"/>
      <c r="AH9" s="372"/>
      <c r="AI9" s="165"/>
    </row>
    <row r="10" spans="1:36" ht="13.5" customHeight="1" thickBot="1">
      <c r="A10" s="136"/>
      <c r="B10" s="103"/>
      <c r="C10" s="107"/>
      <c r="D10" s="106"/>
      <c r="E10" s="420"/>
      <c r="F10" s="420"/>
      <c r="G10" s="420"/>
      <c r="H10" s="82"/>
      <c r="I10" s="164"/>
      <c r="K10" s="419"/>
      <c r="L10" s="419"/>
      <c r="M10" s="80"/>
      <c r="N10" s="418"/>
      <c r="O10" s="164"/>
      <c r="P10" s="416"/>
      <c r="Q10" s="414"/>
      <c r="R10" s="424"/>
      <c r="S10" s="103"/>
      <c r="T10" s="397"/>
      <c r="U10" s="350"/>
      <c r="V10" s="425"/>
      <c r="W10" s="414"/>
      <c r="X10" s="424"/>
      <c r="Y10" s="425"/>
      <c r="Z10" s="425"/>
      <c r="AA10" s="415"/>
      <c r="AB10" s="350"/>
      <c r="AD10" s="425"/>
      <c r="AE10" s="425"/>
      <c r="AF10" s="414"/>
      <c r="AG10" s="90"/>
      <c r="AH10" s="426"/>
      <c r="AI10" s="165"/>
    </row>
    <row r="11" spans="1:36" ht="26.25" customHeight="1" thickBot="1">
      <c r="A11" s="291"/>
      <c r="B11" s="148"/>
      <c r="C11" s="148"/>
      <c r="D11" s="148"/>
      <c r="E11" s="337"/>
      <c r="F11" s="148"/>
      <c r="G11" s="337"/>
      <c r="H11" s="148"/>
      <c r="I11" s="337"/>
      <c r="J11" s="148"/>
      <c r="K11" s="148"/>
      <c r="L11" s="148"/>
      <c r="M11" s="148"/>
      <c r="N11" s="148"/>
      <c r="O11" s="82"/>
      <c r="Q11" s="803" t="s">
        <v>153</v>
      </c>
      <c r="R11" s="804"/>
      <c r="S11" s="804"/>
      <c r="T11" s="804"/>
      <c r="U11" s="804"/>
      <c r="V11" s="804"/>
      <c r="W11" s="804"/>
      <c r="X11" s="804"/>
      <c r="Y11" s="804"/>
      <c r="Z11" s="804"/>
      <c r="AA11" s="804"/>
      <c r="AB11" s="804"/>
      <c r="AC11" s="804"/>
      <c r="AD11" s="804"/>
      <c r="AE11" s="804"/>
      <c r="AF11" s="423">
        <v>2025</v>
      </c>
      <c r="AG11" s="434"/>
      <c r="AH11" s="417"/>
      <c r="AI11" s="391"/>
    </row>
    <row r="12" spans="1:36" ht="15" customHeight="1">
      <c r="A12" s="392"/>
      <c r="B12" s="817" t="s">
        <v>140</v>
      </c>
      <c r="C12" s="818"/>
      <c r="D12" s="818"/>
      <c r="E12" s="819"/>
      <c r="F12" s="807" t="s">
        <v>141</v>
      </c>
      <c r="G12" s="808"/>
      <c r="H12" s="808"/>
      <c r="I12" s="808"/>
      <c r="J12" s="808"/>
      <c r="K12" s="808"/>
      <c r="L12" s="808"/>
      <c r="M12" s="807" t="s">
        <v>88</v>
      </c>
      <c r="N12" s="811"/>
      <c r="O12" s="351"/>
      <c r="P12" s="79"/>
      <c r="Q12" s="421"/>
      <c r="R12" s="422"/>
      <c r="S12" s="412">
        <v>0</v>
      </c>
      <c r="T12" s="413">
        <v>1</v>
      </c>
      <c r="U12" s="413">
        <v>2</v>
      </c>
      <c r="V12" s="412">
        <v>3</v>
      </c>
      <c r="W12" s="413">
        <v>4</v>
      </c>
      <c r="X12" s="413">
        <v>5</v>
      </c>
      <c r="Y12" s="412">
        <v>6</v>
      </c>
      <c r="Z12" s="413">
        <v>7</v>
      </c>
      <c r="AA12" s="413">
        <v>8</v>
      </c>
      <c r="AB12" s="412">
        <v>9</v>
      </c>
      <c r="AC12" s="413">
        <v>10</v>
      </c>
      <c r="AD12" s="413">
        <v>11</v>
      </c>
      <c r="AE12" s="412">
        <v>12</v>
      </c>
      <c r="AF12" s="430">
        <v>13</v>
      </c>
      <c r="AG12" s="399"/>
      <c r="AH12" s="435"/>
      <c r="AI12" s="225"/>
    </row>
    <row r="13" spans="1:36" ht="15.75" customHeight="1" thickBot="1">
      <c r="A13" s="224"/>
      <c r="B13" s="820"/>
      <c r="C13" s="821"/>
      <c r="D13" s="821"/>
      <c r="E13" s="822"/>
      <c r="F13" s="809"/>
      <c r="G13" s="810"/>
      <c r="H13" s="810"/>
      <c r="I13" s="810"/>
      <c r="J13" s="810"/>
      <c r="K13" s="810"/>
      <c r="L13" s="810"/>
      <c r="M13" s="812"/>
      <c r="N13" s="813"/>
      <c r="O13" s="351"/>
      <c r="P13" s="79"/>
      <c r="Q13" s="406"/>
      <c r="R13" s="396"/>
      <c r="S13" s="411">
        <f>IF(INT($J$18*14/64 - S$12) = 0,$J$18, INT($J$18*14/64 - S$12))</f>
        <v>5</v>
      </c>
      <c r="T13" s="411">
        <f t="shared" ref="T13:AF13" si="0">IF(INT($J$18*14/64 - T$12) = 0,$J$18, INT($J$18*14/64 - T$12))</f>
        <v>4</v>
      </c>
      <c r="U13" s="411">
        <f t="shared" si="0"/>
        <v>3</v>
      </c>
      <c r="V13" s="411">
        <f t="shared" si="0"/>
        <v>2</v>
      </c>
      <c r="W13" s="411">
        <f t="shared" si="0"/>
        <v>1</v>
      </c>
      <c r="X13" s="411">
        <f t="shared" si="0"/>
        <v>25</v>
      </c>
      <c r="Y13" s="411">
        <f t="shared" si="0"/>
        <v>-1</v>
      </c>
      <c r="Z13" s="411">
        <f t="shared" si="0"/>
        <v>-2</v>
      </c>
      <c r="AA13" s="411">
        <f t="shared" si="0"/>
        <v>-3</v>
      </c>
      <c r="AB13" s="411">
        <f t="shared" si="0"/>
        <v>-4</v>
      </c>
      <c r="AC13" s="411">
        <f t="shared" si="0"/>
        <v>-5</v>
      </c>
      <c r="AD13" s="411">
        <f t="shared" si="0"/>
        <v>-6</v>
      </c>
      <c r="AE13" s="411">
        <f t="shared" si="0"/>
        <v>-7</v>
      </c>
      <c r="AF13" s="429">
        <f t="shared" si="0"/>
        <v>-8</v>
      </c>
      <c r="AG13" s="396"/>
      <c r="AH13" s="435"/>
      <c r="AI13" s="391"/>
    </row>
    <row r="14" spans="1:36" ht="13.5" customHeight="1">
      <c r="A14" s="392"/>
      <c r="B14" s="820"/>
      <c r="C14" s="821"/>
      <c r="D14" s="821"/>
      <c r="E14" s="822"/>
      <c r="F14" s="826" t="s">
        <v>142</v>
      </c>
      <c r="G14" s="827"/>
      <c r="H14" s="830" t="s">
        <v>143</v>
      </c>
      <c r="I14" s="831"/>
      <c r="J14" s="834" t="s">
        <v>144</v>
      </c>
      <c r="K14" s="835"/>
      <c r="L14" s="835"/>
      <c r="M14" s="812"/>
      <c r="N14" s="813"/>
      <c r="O14" s="351"/>
      <c r="P14" s="79"/>
      <c r="Q14" s="406"/>
      <c r="R14" s="400" t="s">
        <v>104</v>
      </c>
      <c r="S14" s="409">
        <f>IF(INT($H$18*14/64 - S$12) = 0,$H$18, INT($H$18*14/64 - S$12))</f>
        <v>8</v>
      </c>
      <c r="T14" s="409">
        <f t="shared" ref="T14:AF14" si="1">IF(INT($H$18*14/64 - T$12) = 0,$H$18, INT($H$18*14/64 - T$12))</f>
        <v>7</v>
      </c>
      <c r="U14" s="409">
        <f t="shared" si="1"/>
        <v>6</v>
      </c>
      <c r="V14" s="409">
        <f t="shared" si="1"/>
        <v>5</v>
      </c>
      <c r="W14" s="409">
        <f t="shared" si="1"/>
        <v>4</v>
      </c>
      <c r="X14" s="409">
        <f t="shared" si="1"/>
        <v>3</v>
      </c>
      <c r="Y14" s="409">
        <f t="shared" si="1"/>
        <v>2</v>
      </c>
      <c r="Z14" s="409">
        <f t="shared" si="1"/>
        <v>1</v>
      </c>
      <c r="AA14" s="409">
        <f t="shared" si="1"/>
        <v>38</v>
      </c>
      <c r="AB14" s="409">
        <f t="shared" si="1"/>
        <v>-1</v>
      </c>
      <c r="AC14" s="409">
        <f t="shared" si="1"/>
        <v>-2</v>
      </c>
      <c r="AD14" s="409">
        <f t="shared" si="1"/>
        <v>-3</v>
      </c>
      <c r="AE14" s="409">
        <f t="shared" si="1"/>
        <v>-4</v>
      </c>
      <c r="AF14" s="409">
        <f t="shared" si="1"/>
        <v>-5</v>
      </c>
      <c r="AG14" s="396"/>
      <c r="AH14" s="435"/>
      <c r="AI14" s="391"/>
    </row>
    <row r="15" spans="1:36" ht="15" customHeight="1">
      <c r="A15" s="392"/>
      <c r="B15" s="823"/>
      <c r="C15" s="824"/>
      <c r="D15" s="824"/>
      <c r="E15" s="825"/>
      <c r="F15" s="828"/>
      <c r="G15" s="829"/>
      <c r="H15" s="832"/>
      <c r="I15" s="833"/>
      <c r="J15" s="834"/>
      <c r="K15" s="835"/>
      <c r="L15" s="835"/>
      <c r="M15" s="812"/>
      <c r="N15" s="813"/>
      <c r="P15" s="79"/>
      <c r="Q15" s="406"/>
      <c r="R15" s="396"/>
      <c r="S15" s="411">
        <f>IF(INT($F$18*14/64 - S$12) = 0,$F$18, INT($F$18*14/64 - S$12))</f>
        <v>2</v>
      </c>
      <c r="T15" s="411">
        <f t="shared" ref="T15:AF15" si="2">IF(INT($F$18*14/64 - T$12) = 0,$F$18, INT($F$18*14/64 - T$12))</f>
        <v>1</v>
      </c>
      <c r="U15" s="411">
        <f t="shared" si="2"/>
        <v>10</v>
      </c>
      <c r="V15" s="411">
        <f t="shared" si="2"/>
        <v>-1</v>
      </c>
      <c r="W15" s="411">
        <f t="shared" si="2"/>
        <v>-2</v>
      </c>
      <c r="X15" s="411">
        <f t="shared" si="2"/>
        <v>-3</v>
      </c>
      <c r="Y15" s="411">
        <f t="shared" si="2"/>
        <v>-4</v>
      </c>
      <c r="Z15" s="411">
        <f t="shared" si="2"/>
        <v>-5</v>
      </c>
      <c r="AA15" s="411">
        <f t="shared" si="2"/>
        <v>-6</v>
      </c>
      <c r="AB15" s="411">
        <f t="shared" si="2"/>
        <v>-7</v>
      </c>
      <c r="AC15" s="411">
        <f t="shared" si="2"/>
        <v>-8</v>
      </c>
      <c r="AD15" s="411">
        <f t="shared" si="2"/>
        <v>-9</v>
      </c>
      <c r="AE15" s="411">
        <f t="shared" si="2"/>
        <v>-10</v>
      </c>
      <c r="AF15" s="429">
        <f t="shared" si="2"/>
        <v>-11</v>
      </c>
      <c r="AG15" s="396"/>
      <c r="AH15" s="435"/>
      <c r="AI15" s="225"/>
    </row>
    <row r="16" spans="1:36" ht="15.75">
      <c r="A16" s="224"/>
      <c r="B16" s="814" t="s">
        <v>92</v>
      </c>
      <c r="C16" s="815"/>
      <c r="D16" s="815"/>
      <c r="E16" s="815"/>
      <c r="F16" s="750">
        <v>2</v>
      </c>
      <c r="G16" s="750"/>
      <c r="H16" s="750">
        <v>14</v>
      </c>
      <c r="I16" s="750"/>
      <c r="J16" s="750">
        <v>0</v>
      </c>
      <c r="K16" s="750"/>
      <c r="L16" s="750"/>
      <c r="M16" s="750">
        <v>16</v>
      </c>
      <c r="N16" s="816"/>
      <c r="O16" s="351"/>
      <c r="P16" s="79"/>
      <c r="Q16" s="406"/>
      <c r="R16" s="396"/>
      <c r="S16" s="401"/>
      <c r="T16" s="396"/>
      <c r="U16" s="396"/>
      <c r="V16" s="396"/>
      <c r="W16" s="402"/>
      <c r="X16" s="396"/>
      <c r="Y16" s="396"/>
      <c r="Z16" s="396"/>
      <c r="AA16" s="396"/>
      <c r="AB16" s="396"/>
      <c r="AC16" s="396"/>
      <c r="AD16" s="396"/>
      <c r="AE16" s="396"/>
      <c r="AF16" s="428"/>
      <c r="AG16" s="396"/>
      <c r="AH16" s="435"/>
      <c r="AI16" s="391"/>
    </row>
    <row r="17" spans="1:36" ht="15.75">
      <c r="A17" s="392"/>
      <c r="B17" s="814" t="s">
        <v>93</v>
      </c>
      <c r="C17" s="815"/>
      <c r="D17" s="815"/>
      <c r="E17" s="815"/>
      <c r="F17" s="750">
        <v>0</v>
      </c>
      <c r="G17" s="750"/>
      <c r="H17" s="750">
        <v>10</v>
      </c>
      <c r="I17" s="750"/>
      <c r="J17" s="750">
        <v>0</v>
      </c>
      <c r="K17" s="750"/>
      <c r="L17" s="750"/>
      <c r="M17" s="750">
        <v>10</v>
      </c>
      <c r="N17" s="816"/>
      <c r="O17" s="116"/>
      <c r="P17" s="79"/>
      <c r="Q17" s="403"/>
      <c r="R17" s="408"/>
      <c r="S17" s="411">
        <f>IF(INT($J$17*14/64 - S$12) = 0,$J$17, INT($J$17*14/64 - S$12))</f>
        <v>0</v>
      </c>
      <c r="T17" s="411">
        <f t="shared" ref="T17:AF17" si="3">IF(INT($J$17*14/64 - T$12) = 0,$J$17, INT($J$17*14/64 - T$12))</f>
        <v>-1</v>
      </c>
      <c r="U17" s="411">
        <f t="shared" si="3"/>
        <v>-2</v>
      </c>
      <c r="V17" s="411">
        <f t="shared" si="3"/>
        <v>-3</v>
      </c>
      <c r="W17" s="411">
        <f t="shared" si="3"/>
        <v>-4</v>
      </c>
      <c r="X17" s="411">
        <f t="shared" si="3"/>
        <v>-5</v>
      </c>
      <c r="Y17" s="411">
        <f t="shared" si="3"/>
        <v>-6</v>
      </c>
      <c r="Z17" s="411">
        <f t="shared" si="3"/>
        <v>-7</v>
      </c>
      <c r="AA17" s="411">
        <f t="shared" si="3"/>
        <v>-8</v>
      </c>
      <c r="AB17" s="411">
        <f t="shared" si="3"/>
        <v>-9</v>
      </c>
      <c r="AC17" s="411">
        <f t="shared" si="3"/>
        <v>-10</v>
      </c>
      <c r="AD17" s="411">
        <f t="shared" si="3"/>
        <v>-11</v>
      </c>
      <c r="AE17" s="411">
        <f t="shared" si="3"/>
        <v>-12</v>
      </c>
      <c r="AF17" s="429">
        <f t="shared" si="3"/>
        <v>-13</v>
      </c>
      <c r="AG17" s="396"/>
      <c r="AH17" s="435"/>
      <c r="AI17" s="225"/>
    </row>
    <row r="18" spans="1:36" ht="16.5" thickBot="1">
      <c r="A18" s="224"/>
      <c r="B18" s="899" t="s">
        <v>104</v>
      </c>
      <c r="C18" s="900"/>
      <c r="D18" s="900"/>
      <c r="E18" s="900"/>
      <c r="F18" s="805">
        <v>10</v>
      </c>
      <c r="G18" s="805"/>
      <c r="H18" s="805">
        <v>38</v>
      </c>
      <c r="I18" s="805"/>
      <c r="J18" s="882">
        <v>25</v>
      </c>
      <c r="K18" s="883"/>
      <c r="L18" s="884"/>
      <c r="M18" s="805">
        <v>38</v>
      </c>
      <c r="N18" s="806"/>
      <c r="O18" s="155"/>
      <c r="P18" s="81"/>
      <c r="Q18" s="406"/>
      <c r="R18" s="407" t="s">
        <v>93</v>
      </c>
      <c r="S18" s="409">
        <f>IF(INT($H$17*14/64 - S$12) = 0,$H$17, INT($H$17*14/64 - S$12))</f>
        <v>2</v>
      </c>
      <c r="T18" s="409">
        <f t="shared" ref="T18:AF18" si="4">IF(INT($H$17*14/64 - T$12) = 0,$H$17, INT($H$17*14/64 - T$12))</f>
        <v>1</v>
      </c>
      <c r="U18" s="409">
        <f t="shared" si="4"/>
        <v>10</v>
      </c>
      <c r="V18" s="409">
        <f t="shared" si="4"/>
        <v>-1</v>
      </c>
      <c r="W18" s="409">
        <f t="shared" si="4"/>
        <v>-2</v>
      </c>
      <c r="X18" s="409">
        <f t="shared" si="4"/>
        <v>-3</v>
      </c>
      <c r="Y18" s="409">
        <f t="shared" si="4"/>
        <v>-4</v>
      </c>
      <c r="Z18" s="409">
        <f t="shared" si="4"/>
        <v>-5</v>
      </c>
      <c r="AA18" s="409">
        <f t="shared" si="4"/>
        <v>-6</v>
      </c>
      <c r="AB18" s="409">
        <f t="shared" si="4"/>
        <v>-7</v>
      </c>
      <c r="AC18" s="409">
        <f t="shared" si="4"/>
        <v>-8</v>
      </c>
      <c r="AD18" s="409">
        <f t="shared" si="4"/>
        <v>-9</v>
      </c>
      <c r="AE18" s="409">
        <f t="shared" si="4"/>
        <v>-10</v>
      </c>
      <c r="AF18" s="409">
        <f t="shared" si="4"/>
        <v>-11</v>
      </c>
      <c r="AG18" s="396"/>
      <c r="AH18" s="435"/>
      <c r="AI18" s="225"/>
    </row>
    <row r="19" spans="1:36" ht="14.25" customHeight="1">
      <c r="A19" s="226"/>
      <c r="B19" s="125"/>
      <c r="C19" s="349"/>
      <c r="D19" s="349"/>
      <c r="E19" s="349"/>
      <c r="F19" s="107"/>
      <c r="G19" s="107"/>
      <c r="I19" s="349"/>
      <c r="J19" s="107"/>
      <c r="K19" s="349"/>
      <c r="L19" s="349"/>
      <c r="M19" s="107"/>
      <c r="N19" s="124"/>
      <c r="O19" s="82"/>
      <c r="P19" s="79"/>
      <c r="Q19" s="406"/>
      <c r="R19" s="10"/>
      <c r="S19" s="411">
        <f>IF(INT($F$17*14/64 - S$12) = 0,$F$17, INT($F$17*14/64 - S$12))</f>
        <v>0</v>
      </c>
      <c r="T19" s="411">
        <f t="shared" ref="T19:AF19" si="5">IF(INT($F$17*14/64 - T$12) = 0,$F$17, INT($F$17*14/64 - T$12))</f>
        <v>-1</v>
      </c>
      <c r="U19" s="411">
        <f t="shared" si="5"/>
        <v>-2</v>
      </c>
      <c r="V19" s="411">
        <f t="shared" si="5"/>
        <v>-3</v>
      </c>
      <c r="W19" s="411">
        <f t="shared" si="5"/>
        <v>-4</v>
      </c>
      <c r="X19" s="411">
        <f t="shared" si="5"/>
        <v>-5</v>
      </c>
      <c r="Y19" s="411">
        <f t="shared" si="5"/>
        <v>-6</v>
      </c>
      <c r="Z19" s="411">
        <f t="shared" si="5"/>
        <v>-7</v>
      </c>
      <c r="AA19" s="411">
        <f t="shared" si="5"/>
        <v>-8</v>
      </c>
      <c r="AB19" s="411">
        <f t="shared" si="5"/>
        <v>-9</v>
      </c>
      <c r="AC19" s="411">
        <f t="shared" si="5"/>
        <v>-10</v>
      </c>
      <c r="AD19" s="411">
        <f t="shared" si="5"/>
        <v>-11</v>
      </c>
      <c r="AE19" s="411">
        <f t="shared" si="5"/>
        <v>-12</v>
      </c>
      <c r="AF19" s="429">
        <f t="shared" si="5"/>
        <v>-13</v>
      </c>
      <c r="AG19" s="396"/>
      <c r="AH19" s="435"/>
      <c r="AI19" s="391"/>
    </row>
    <row r="20" spans="1:36">
      <c r="A20" s="224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03"/>
      <c r="R20" s="10"/>
      <c r="S20" s="396"/>
      <c r="T20" s="396"/>
      <c r="U20" s="396"/>
      <c r="V20" s="396"/>
      <c r="W20" s="396"/>
      <c r="X20" s="396"/>
      <c r="Y20" s="396"/>
      <c r="Z20" s="396"/>
      <c r="AA20" s="396"/>
      <c r="AB20" s="396"/>
      <c r="AC20" s="396"/>
      <c r="AD20" s="396"/>
      <c r="AE20" s="396"/>
      <c r="AF20" s="428"/>
      <c r="AG20" s="396"/>
      <c r="AH20" s="435"/>
      <c r="AI20" s="393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05"/>
      <c r="R21" s="395"/>
      <c r="S21" s="410">
        <f>IF(INT($J$16*14/64 - S$12) = 0,$J$16, INT($J$16*14/64 - S$12))</f>
        <v>0</v>
      </c>
      <c r="T21" s="410">
        <f t="shared" ref="T21:AF21" si="6">IF(INT($J$16*14/64 - T$12) = 0,$J$16, INT($J$16*14/64 - T$12))</f>
        <v>-1</v>
      </c>
      <c r="U21" s="410">
        <f t="shared" si="6"/>
        <v>-2</v>
      </c>
      <c r="V21" s="410">
        <f t="shared" si="6"/>
        <v>-3</v>
      </c>
      <c r="W21" s="410">
        <f t="shared" si="6"/>
        <v>-4</v>
      </c>
      <c r="X21" s="410">
        <f t="shared" si="6"/>
        <v>-5</v>
      </c>
      <c r="Y21" s="410">
        <f t="shared" si="6"/>
        <v>-6</v>
      </c>
      <c r="Z21" s="410">
        <f t="shared" si="6"/>
        <v>-7</v>
      </c>
      <c r="AA21" s="410">
        <f t="shared" si="6"/>
        <v>-8</v>
      </c>
      <c r="AB21" s="410">
        <f t="shared" si="6"/>
        <v>-9</v>
      </c>
      <c r="AC21" s="410">
        <f t="shared" si="6"/>
        <v>-10</v>
      </c>
      <c r="AD21" s="410">
        <f t="shared" si="6"/>
        <v>-11</v>
      </c>
      <c r="AE21" s="410">
        <f t="shared" si="6"/>
        <v>-12</v>
      </c>
      <c r="AF21" s="431">
        <f t="shared" si="6"/>
        <v>-13</v>
      </c>
      <c r="AG21" s="396"/>
      <c r="AH21" s="435"/>
      <c r="AI21" s="336"/>
    </row>
    <row r="22" spans="1:36" ht="15.75">
      <c r="A22" s="29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06"/>
      <c r="R22" s="407" t="s">
        <v>92</v>
      </c>
      <c r="S22" s="409">
        <f>IF(INT($H$16*14/64 - S$12) = 0,$H$16, INT($H$16*14/64 - S$12))</f>
        <v>3</v>
      </c>
      <c r="T22" s="409">
        <f t="shared" ref="T22:AF22" si="7">IF(INT($H$16*14/64 - T$12) = 0,$H$16, INT($H$16*14/64 - T$12))</f>
        <v>2</v>
      </c>
      <c r="U22" s="409">
        <f t="shared" si="7"/>
        <v>1</v>
      </c>
      <c r="V22" s="409">
        <f t="shared" si="7"/>
        <v>14</v>
      </c>
      <c r="W22" s="409">
        <f t="shared" si="7"/>
        <v>-1</v>
      </c>
      <c r="X22" s="409">
        <f t="shared" si="7"/>
        <v>-2</v>
      </c>
      <c r="Y22" s="409">
        <f t="shared" si="7"/>
        <v>-3</v>
      </c>
      <c r="Z22" s="409">
        <f t="shared" si="7"/>
        <v>-4</v>
      </c>
      <c r="AA22" s="409">
        <f t="shared" si="7"/>
        <v>-5</v>
      </c>
      <c r="AB22" s="409">
        <f t="shared" si="7"/>
        <v>-6</v>
      </c>
      <c r="AC22" s="409">
        <f t="shared" si="7"/>
        <v>-7</v>
      </c>
      <c r="AD22" s="409">
        <f t="shared" si="7"/>
        <v>-8</v>
      </c>
      <c r="AE22" s="409">
        <f t="shared" si="7"/>
        <v>-9</v>
      </c>
      <c r="AF22" s="409">
        <f t="shared" si="7"/>
        <v>-10</v>
      </c>
      <c r="AG22" s="396"/>
      <c r="AH22" s="435"/>
      <c r="AI22" s="225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06"/>
      <c r="R23" s="396"/>
      <c r="S23" s="411">
        <f>IF(INT($F$16*14/64 - S$12) = 0,$F$16, INT($F$16*14/64 - S$12))</f>
        <v>2</v>
      </c>
      <c r="T23" s="411">
        <f t="shared" ref="T23:AF23" si="8">IF(INT($F$16*14/64 - T$12) = 0,$F$16, INT($F$16*14/64 - T$12))</f>
        <v>-1</v>
      </c>
      <c r="U23" s="411">
        <f t="shared" si="8"/>
        <v>-2</v>
      </c>
      <c r="V23" s="411">
        <f t="shared" si="8"/>
        <v>-3</v>
      </c>
      <c r="W23" s="411">
        <f t="shared" si="8"/>
        <v>-4</v>
      </c>
      <c r="X23" s="411">
        <f t="shared" si="8"/>
        <v>-5</v>
      </c>
      <c r="Y23" s="411">
        <f t="shared" si="8"/>
        <v>-6</v>
      </c>
      <c r="Z23" s="411">
        <f t="shared" si="8"/>
        <v>-7</v>
      </c>
      <c r="AA23" s="411">
        <f t="shared" si="8"/>
        <v>-8</v>
      </c>
      <c r="AB23" s="411">
        <f t="shared" si="8"/>
        <v>-9</v>
      </c>
      <c r="AC23" s="411">
        <f t="shared" si="8"/>
        <v>-10</v>
      </c>
      <c r="AD23" s="411">
        <f t="shared" si="8"/>
        <v>-11</v>
      </c>
      <c r="AE23" s="411">
        <f t="shared" si="8"/>
        <v>-12</v>
      </c>
      <c r="AF23" s="411">
        <f t="shared" si="8"/>
        <v>-13</v>
      </c>
      <c r="AG23" s="396"/>
      <c r="AH23" s="435"/>
      <c r="AI23" s="225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06"/>
      <c r="R24" s="396"/>
      <c r="S24" s="433"/>
      <c r="T24" s="433"/>
      <c r="U24" s="433"/>
      <c r="V24" s="433"/>
      <c r="W24" s="433"/>
      <c r="X24" s="433"/>
      <c r="Y24" s="433"/>
      <c r="Z24" s="433"/>
      <c r="AA24" s="433"/>
      <c r="AB24" s="433"/>
      <c r="AC24" s="433"/>
      <c r="AD24" s="433"/>
      <c r="AE24" s="433"/>
      <c r="AF24" s="401"/>
      <c r="AG24" s="396"/>
      <c r="AH24" s="435"/>
      <c r="AI24" s="391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27"/>
      <c r="R25" s="404"/>
      <c r="S25" s="404"/>
      <c r="T25" s="404"/>
      <c r="U25" s="404"/>
      <c r="V25" s="404"/>
      <c r="W25" s="404"/>
      <c r="X25" s="404"/>
      <c r="Y25" s="404"/>
      <c r="Z25" s="404"/>
      <c r="AA25" s="404"/>
      <c r="AB25" s="404"/>
      <c r="AC25" s="404"/>
      <c r="AD25" s="404"/>
      <c r="AE25" s="404"/>
      <c r="AF25" s="432"/>
      <c r="AG25" s="436"/>
      <c r="AH25" s="437"/>
      <c r="AI25" s="391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82"/>
      <c r="S26" s="382"/>
      <c r="T26" s="382"/>
      <c r="U26" s="382"/>
      <c r="V26" s="382"/>
      <c r="W26" s="398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24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77"/>
      <c r="Q27" s="839" t="s">
        <v>147</v>
      </c>
      <c r="R27" s="840"/>
      <c r="S27" s="840"/>
      <c r="T27" s="840"/>
      <c r="U27" s="840"/>
      <c r="V27" s="840"/>
      <c r="W27" s="841"/>
      <c r="X27" s="381"/>
      <c r="Y27" s="373"/>
      <c r="Z27" s="221"/>
      <c r="AA27" s="221"/>
      <c r="AB27" s="221"/>
      <c r="AC27" s="221"/>
      <c r="AD27" s="221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79"/>
      <c r="R28" s="380"/>
      <c r="S28" s="378"/>
      <c r="T28" s="379"/>
      <c r="U28" s="220"/>
      <c r="V28" s="379"/>
      <c r="W28" s="379"/>
      <c r="X28" s="221"/>
      <c r="Y28" s="221"/>
      <c r="Z28" s="221"/>
      <c r="AA28" s="221"/>
      <c r="AB28" s="221"/>
      <c r="AC28" s="221"/>
      <c r="AD28" s="221"/>
      <c r="AE28" s="82"/>
      <c r="AF28" s="82"/>
      <c r="AG28" s="82"/>
      <c r="AH28" s="82"/>
      <c r="AI28" s="165"/>
      <c r="AJ28" s="386"/>
    </row>
    <row r="29" spans="1:36" ht="15.75" thickBot="1">
      <c r="A29" s="27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74"/>
      <c r="R29" s="193"/>
      <c r="S29" s="193"/>
      <c r="T29" s="844" t="s">
        <v>146</v>
      </c>
      <c r="U29" s="845"/>
      <c r="V29" s="846"/>
      <c r="W29" s="387"/>
      <c r="X29" s="374"/>
      <c r="Y29" s="193"/>
      <c r="Z29" s="374"/>
      <c r="AA29" s="220"/>
      <c r="AB29" s="193"/>
      <c r="AC29" s="374"/>
      <c r="AD29" s="220"/>
      <c r="AE29" s="374"/>
      <c r="AF29" s="104"/>
      <c r="AG29" s="104"/>
      <c r="AH29" s="82"/>
      <c r="AI29" s="165"/>
    </row>
    <row r="30" spans="1:36" ht="33" customHeight="1" thickBot="1">
      <c r="A30" s="226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842" t="s">
        <v>50</v>
      </c>
      <c r="R30" s="843"/>
      <c r="S30" s="843"/>
      <c r="T30" s="847"/>
      <c r="U30" s="848"/>
      <c r="V30" s="849"/>
      <c r="W30" s="842" t="s">
        <v>51</v>
      </c>
      <c r="X30" s="843"/>
      <c r="Y30" s="843"/>
      <c r="Z30" s="923" t="s">
        <v>52</v>
      </c>
      <c r="AA30" s="843"/>
      <c r="AB30" s="932"/>
      <c r="AC30" s="923" t="s">
        <v>53</v>
      </c>
      <c r="AD30" s="843"/>
      <c r="AE30" s="924"/>
      <c r="AF30" s="375"/>
      <c r="AG30" s="221"/>
      <c r="AH30" s="82"/>
      <c r="AI30" s="165"/>
    </row>
    <row r="31" spans="1:36" ht="15" customHeight="1">
      <c r="A31" s="224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70"/>
      <c r="R31" s="971"/>
      <c r="S31" s="972"/>
      <c r="T31" s="973"/>
      <c r="U31" s="974"/>
      <c r="V31" s="975"/>
      <c r="W31" s="959"/>
      <c r="X31" s="960"/>
      <c r="Y31" s="960"/>
      <c r="Z31" s="925"/>
      <c r="AA31" s="926"/>
      <c r="AB31" s="933"/>
      <c r="AC31" s="925"/>
      <c r="AD31" s="926"/>
      <c r="AE31" s="927"/>
      <c r="AF31" s="376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10"/>
      <c r="R32" s="911"/>
      <c r="S32" s="912"/>
      <c r="T32" s="920"/>
      <c r="U32" s="921"/>
      <c r="V32" s="922"/>
      <c r="W32" s="918"/>
      <c r="X32" s="919"/>
      <c r="Y32" s="919"/>
      <c r="Z32" s="928"/>
      <c r="AA32" s="929"/>
      <c r="AB32" s="934"/>
      <c r="AC32" s="928"/>
      <c r="AD32" s="929"/>
      <c r="AE32" s="930"/>
      <c r="AF32" s="80"/>
      <c r="AG32" s="82"/>
      <c r="AH32" s="82"/>
      <c r="AI32" s="165"/>
    </row>
    <row r="33" spans="1:35" ht="19.5" thickBot="1">
      <c r="A33" s="224"/>
      <c r="B33" s="939" t="s">
        <v>148</v>
      </c>
      <c r="C33" s="940"/>
      <c r="D33" s="940"/>
      <c r="E33" s="941"/>
      <c r="F33" s="986" t="s">
        <v>149</v>
      </c>
      <c r="G33" s="987"/>
      <c r="H33" s="987"/>
      <c r="I33" s="987"/>
      <c r="J33" s="987"/>
      <c r="K33" s="987"/>
      <c r="L33" s="988"/>
      <c r="M33" s="939" t="s">
        <v>88</v>
      </c>
      <c r="N33" s="941"/>
      <c r="O33" s="78"/>
      <c r="P33" s="103"/>
      <c r="Q33" s="910"/>
      <c r="R33" s="911"/>
      <c r="S33" s="912"/>
      <c r="T33" s="920"/>
      <c r="U33" s="921"/>
      <c r="V33" s="922"/>
      <c r="W33" s="918"/>
      <c r="X33" s="919"/>
      <c r="Y33" s="919"/>
      <c r="Z33" s="928"/>
      <c r="AA33" s="929"/>
      <c r="AB33" s="934"/>
      <c r="AC33" s="928"/>
      <c r="AD33" s="929"/>
      <c r="AE33" s="930"/>
      <c r="AF33" s="80"/>
      <c r="AG33" s="82"/>
      <c r="AH33" s="82"/>
      <c r="AI33" s="165"/>
    </row>
    <row r="34" spans="1:35" ht="30.75" customHeight="1" thickBot="1">
      <c r="A34" s="226"/>
      <c r="B34" s="942"/>
      <c r="C34" s="943"/>
      <c r="D34" s="943"/>
      <c r="E34" s="944"/>
      <c r="F34" s="945" t="s">
        <v>150</v>
      </c>
      <c r="G34" s="946"/>
      <c r="H34" s="947"/>
      <c r="I34" s="948" t="s">
        <v>151</v>
      </c>
      <c r="J34" s="949"/>
      <c r="K34" s="984" t="s">
        <v>152</v>
      </c>
      <c r="L34" s="985"/>
      <c r="M34" s="942"/>
      <c r="N34" s="944"/>
      <c r="O34" s="78"/>
      <c r="P34" s="103"/>
      <c r="Q34" s="910"/>
      <c r="R34" s="911"/>
      <c r="S34" s="912"/>
      <c r="T34" s="920"/>
      <c r="U34" s="921"/>
      <c r="V34" s="922"/>
      <c r="W34" s="918"/>
      <c r="X34" s="919"/>
      <c r="Y34" s="919"/>
      <c r="Z34" s="928"/>
      <c r="AA34" s="929"/>
      <c r="AB34" s="934"/>
      <c r="AC34" s="928"/>
      <c r="AD34" s="929"/>
      <c r="AE34" s="930"/>
      <c r="AF34" s="80"/>
      <c r="AG34" s="82"/>
      <c r="AH34" s="82"/>
      <c r="AI34" s="165"/>
    </row>
    <row r="35" spans="1:35" ht="22.5" customHeight="1">
      <c r="A35" s="394"/>
      <c r="B35" s="958" t="s">
        <v>94</v>
      </c>
      <c r="C35" s="958"/>
      <c r="D35" s="958"/>
      <c r="E35" s="958"/>
      <c r="F35" s="958">
        <v>4</v>
      </c>
      <c r="G35" s="958"/>
      <c r="H35" s="958"/>
      <c r="I35" s="958">
        <v>10</v>
      </c>
      <c r="J35" s="958"/>
      <c r="K35" s="958">
        <v>0</v>
      </c>
      <c r="L35" s="958"/>
      <c r="M35" s="958">
        <v>20</v>
      </c>
      <c r="N35" s="958"/>
      <c r="O35" s="83"/>
      <c r="P35" s="79"/>
      <c r="Q35" s="907"/>
      <c r="R35" s="908"/>
      <c r="S35" s="909"/>
      <c r="T35" s="913"/>
      <c r="U35" s="914"/>
      <c r="V35" s="915"/>
      <c r="W35" s="916"/>
      <c r="X35" s="917"/>
      <c r="Y35" s="917"/>
      <c r="Z35" s="901"/>
      <c r="AA35" s="902"/>
      <c r="AB35" s="931"/>
      <c r="AC35" s="901"/>
      <c r="AD35" s="902"/>
      <c r="AE35" s="903"/>
      <c r="AF35" s="80"/>
      <c r="AG35" s="82"/>
      <c r="AH35" s="82"/>
      <c r="AI35" s="165"/>
    </row>
    <row r="36" spans="1:35">
      <c r="A36" s="385"/>
      <c r="C36" s="388"/>
      <c r="E36" s="388"/>
      <c r="F36" s="388"/>
      <c r="H36" s="388"/>
      <c r="I36" s="388"/>
      <c r="K36" s="388"/>
      <c r="L36" s="389"/>
      <c r="M36" s="389"/>
      <c r="N36" s="388"/>
      <c r="O36" s="90"/>
      <c r="Q36" s="907"/>
      <c r="R36" s="908"/>
      <c r="S36" s="909"/>
      <c r="T36" s="913"/>
      <c r="U36" s="914"/>
      <c r="V36" s="915"/>
      <c r="W36" s="916"/>
      <c r="X36" s="917"/>
      <c r="Y36" s="917"/>
      <c r="Z36" s="901"/>
      <c r="AA36" s="902"/>
      <c r="AB36" s="931"/>
      <c r="AC36" s="901"/>
      <c r="AD36" s="902"/>
      <c r="AE36" s="903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07"/>
      <c r="R37" s="908"/>
      <c r="S37" s="909"/>
      <c r="T37" s="913"/>
      <c r="U37" s="914"/>
      <c r="V37" s="915"/>
      <c r="W37" s="916"/>
      <c r="X37" s="917"/>
      <c r="Y37" s="917"/>
      <c r="Z37" s="901"/>
      <c r="AA37" s="902"/>
      <c r="AB37" s="931"/>
      <c r="AC37" s="901"/>
      <c r="AD37" s="902"/>
      <c r="AE37" s="903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07"/>
      <c r="R38" s="908"/>
      <c r="S38" s="909"/>
      <c r="T38" s="913"/>
      <c r="U38" s="914"/>
      <c r="V38" s="915"/>
      <c r="W38" s="916"/>
      <c r="X38" s="917"/>
      <c r="Y38" s="917"/>
      <c r="Z38" s="901"/>
      <c r="AA38" s="902"/>
      <c r="AB38" s="931"/>
      <c r="AC38" s="901"/>
      <c r="AD38" s="902"/>
      <c r="AE38" s="903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07"/>
      <c r="R39" s="908"/>
      <c r="S39" s="909"/>
      <c r="T39" s="913"/>
      <c r="U39" s="914"/>
      <c r="V39" s="915"/>
      <c r="W39" s="916"/>
      <c r="X39" s="917"/>
      <c r="Y39" s="917"/>
      <c r="Z39" s="901"/>
      <c r="AA39" s="902"/>
      <c r="AB39" s="931"/>
      <c r="AC39" s="901"/>
      <c r="AD39" s="902"/>
      <c r="AE39" s="903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07"/>
      <c r="R40" s="908"/>
      <c r="S40" s="909"/>
      <c r="T40" s="913"/>
      <c r="U40" s="914"/>
      <c r="V40" s="915"/>
      <c r="W40" s="916"/>
      <c r="X40" s="917"/>
      <c r="Y40" s="917"/>
      <c r="Z40" s="901"/>
      <c r="AA40" s="902"/>
      <c r="AB40" s="931"/>
      <c r="AC40" s="901"/>
      <c r="AD40" s="902"/>
      <c r="AE40" s="903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10"/>
      <c r="R41" s="911"/>
      <c r="S41" s="912"/>
      <c r="T41" s="920"/>
      <c r="U41" s="921"/>
      <c r="V41" s="922"/>
      <c r="W41" s="918"/>
      <c r="X41" s="919"/>
      <c r="Y41" s="919"/>
      <c r="Z41" s="928"/>
      <c r="AA41" s="929"/>
      <c r="AB41" s="934"/>
      <c r="AC41" s="928"/>
      <c r="AD41" s="929"/>
      <c r="AE41" s="930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10"/>
      <c r="R42" s="911"/>
      <c r="S42" s="912"/>
      <c r="T42" s="920"/>
      <c r="U42" s="921"/>
      <c r="V42" s="922"/>
      <c r="W42" s="918"/>
      <c r="X42" s="919"/>
      <c r="Y42" s="919"/>
      <c r="Z42" s="928"/>
      <c r="AA42" s="929"/>
      <c r="AB42" s="934"/>
      <c r="AC42" s="928"/>
      <c r="AD42" s="929"/>
      <c r="AE42" s="930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04"/>
      <c r="R43" s="905"/>
      <c r="S43" s="906"/>
      <c r="T43" s="913"/>
      <c r="U43" s="914"/>
      <c r="V43" s="915"/>
      <c r="W43" s="916"/>
      <c r="X43" s="917"/>
      <c r="Y43" s="917"/>
      <c r="Z43" s="901"/>
      <c r="AA43" s="902"/>
      <c r="AB43" s="931"/>
      <c r="AC43" s="901"/>
      <c r="AD43" s="902"/>
      <c r="AE43" s="903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04"/>
      <c r="R44" s="905"/>
      <c r="S44" s="906"/>
      <c r="T44" s="913"/>
      <c r="U44" s="914"/>
      <c r="V44" s="915"/>
      <c r="W44" s="916"/>
      <c r="X44" s="917"/>
      <c r="Y44" s="917"/>
      <c r="Z44" s="901"/>
      <c r="AA44" s="902"/>
      <c r="AB44" s="931"/>
      <c r="AC44" s="901"/>
      <c r="AD44" s="902"/>
      <c r="AE44" s="903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979"/>
      <c r="R45" s="980"/>
      <c r="S45" s="981"/>
      <c r="T45" s="967"/>
      <c r="U45" s="968"/>
      <c r="V45" s="969"/>
      <c r="W45" s="956"/>
      <c r="X45" s="957"/>
      <c r="Y45" s="957"/>
      <c r="Z45" s="950"/>
      <c r="AA45" s="951"/>
      <c r="AB45" s="955"/>
      <c r="AC45" s="950"/>
      <c r="AD45" s="951"/>
      <c r="AE45" s="952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82"/>
      <c r="R46" s="983"/>
      <c r="S46" s="983"/>
      <c r="T46" s="966"/>
      <c r="U46" s="966"/>
      <c r="V46" s="966"/>
      <c r="W46" s="953"/>
      <c r="X46" s="953"/>
      <c r="Y46" s="953"/>
      <c r="Z46" s="953"/>
      <c r="AA46" s="953"/>
      <c r="AB46" s="953"/>
      <c r="AC46" s="953"/>
      <c r="AD46" s="953"/>
      <c r="AE46" s="954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976"/>
      <c r="R47" s="977"/>
      <c r="S47" s="978"/>
      <c r="T47" s="961"/>
      <c r="U47" s="962"/>
      <c r="V47" s="963"/>
      <c r="W47" s="964"/>
      <c r="X47" s="965"/>
      <c r="Y47" s="965"/>
      <c r="Z47" s="935"/>
      <c r="AA47" s="936"/>
      <c r="AB47" s="937"/>
      <c r="AC47" s="935"/>
      <c r="AD47" s="936"/>
      <c r="AE47" s="938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7</vt:i4>
      </vt:variant>
    </vt:vector>
  </HeadingPairs>
  <TitlesOfParts>
    <vt:vector size="21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Planes tratamientos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2025-07-31T22:05:28Z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