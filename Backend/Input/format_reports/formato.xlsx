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CB47E070-1B7A-4E34-8FC7-E99E753E25DF}" xr6:coauthVersionLast="47" xr6:coauthVersionMax="47" xr10:uidLastSave="{00000000-0000-0000-0000-000000000000}"/>
  <bookViews>
    <workbookView xWindow="-120" yWindow="-120" windowWidth="29040" windowHeight="15720" tabRatio="719" firstSheet="12" activeTab="12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<sst xmlns="http://schemas.openxmlformats.org/spreadsheetml/2006/main" count="308" uniqueCount="192">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</sst>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394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395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4139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4139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4139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4139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4140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4140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4140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41403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593" t="s">
        <v>135</v>
      </c>
      <c r="K2" s="593"/>
      <c r="L2" s="593"/>
      <c r="M2" s="593"/>
      <c r="N2" s="593"/>
      <c r="O2" s="59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592" t="s">
        <v>134</v>
      </c>
      <c r="K4" s="592"/>
      <c r="L4" s="592"/>
      <c r="M4" s="592"/>
      <c r="N4" s="592"/>
      <c r="O4" s="59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603" t="s">
        <v>117</v>
      </c>
      <c r="K5" s="603"/>
      <c r="L5" s="603"/>
      <c r="M5" s="603"/>
      <c r="N5" s="600" t="s">
        <v>164</v>
      </c>
      <c r="O5" s="600"/>
      <c r="P5" s="600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4" t="str">
        <f>_xlfn.CONCAT("PERIODO ", N5)</f>
        <v>PERIODO ABRIL - 2025</v>
      </c>
      <c r="D8" s="605"/>
      <c r="E8" s="606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7" t="s">
        <v>5</v>
      </c>
      <c r="D10" s="607"/>
      <c r="E10" s="607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2">
        <f>R14</f>
        <v>0</v>
      </c>
      <c r="E15" s="602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5" t="s">
        <v>12</v>
      </c>
      <c r="D24" s="596"/>
      <c r="E24" s="597"/>
      <c r="S24" s="22"/>
    </row>
    <row r="25" spans="1:19" ht="32.25" customHeight="1">
      <c r="A25" s="23"/>
      <c r="C25" s="38" t="s">
        <v>6</v>
      </c>
      <c r="D25" s="598">
        <f>SUM(M13:O13)</f>
        <v>0</v>
      </c>
      <c r="E25" s="599"/>
      <c r="S25" s="22"/>
    </row>
    <row r="26" spans="1:19" ht="33.75" customHeight="1">
      <c r="A26" s="23"/>
      <c r="C26" s="39" t="s">
        <v>7</v>
      </c>
      <c r="D26" s="598">
        <f>SUM(M12:O12)</f>
        <v>0</v>
      </c>
      <c r="E26" s="599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601">
        <f>SUM(M14:O14)</f>
        <v>0</v>
      </c>
      <c r="E29" s="601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0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3" t="s">
        <v>186</v>
      </c>
      <c r="D5" s="654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5"/>
      <c r="D6" s="656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57"/>
      <c r="D7" s="658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57"/>
      <c r="D8" s="658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57"/>
      <c r="D9" s="658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57"/>
      <c r="D10" s="658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57"/>
      <c r="D11" s="659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57"/>
      <c r="D12" s="658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62"/>
      <c r="D13" s="66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50"/>
      <c r="F16" s="651"/>
      <c r="G16" s="651"/>
      <c r="H16" s="651"/>
      <c r="I16" s="651"/>
      <c r="J16" s="652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50"/>
      <c r="F17" s="651"/>
      <c r="G17" s="651"/>
      <c r="H17" s="651"/>
      <c r="I17" s="651"/>
      <c r="J17" s="652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50"/>
      <c r="F18" s="651"/>
      <c r="G18" s="651"/>
      <c r="H18" s="651"/>
      <c r="I18" s="651"/>
      <c r="J18" s="65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50"/>
      <c r="F19" s="651"/>
      <c r="G19" s="651"/>
      <c r="H19" s="651"/>
      <c r="I19" s="651"/>
      <c r="J19" s="652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50"/>
      <c r="F20" s="651"/>
      <c r="G20" s="651"/>
      <c r="H20" s="651"/>
      <c r="I20" s="651"/>
      <c r="J20" s="652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50"/>
      <c r="F21" s="651"/>
      <c r="G21" s="651"/>
      <c r="H21" s="651"/>
      <c r="I21" s="651"/>
      <c r="J21" s="652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50"/>
      <c r="F22" s="651"/>
      <c r="G22" s="651"/>
      <c r="H22" s="651"/>
      <c r="I22" s="651"/>
      <c r="J22" s="652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E22:J22"/>
    <mergeCell ref="E16:J16"/>
    <mergeCell ref="E17:J17"/>
    <mergeCell ref="I2:J2"/>
    <mergeCell ref="C13:D13"/>
    <mergeCell ref="E20:J20"/>
    <mergeCell ref="E19:J19"/>
    <mergeCell ref="E21:J21"/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3" t="s">
        <v>186</v>
      </c>
      <c r="D5" s="654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57"/>
      <c r="D7" s="659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50"/>
      <c r="F16" s="651"/>
      <c r="G16" s="651"/>
      <c r="H16" s="651"/>
      <c r="I16" s="651"/>
      <c r="J16" s="652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50"/>
      <c r="F17" s="651"/>
      <c r="G17" s="651"/>
      <c r="H17" s="651"/>
      <c r="I17" s="651"/>
      <c r="J17" s="652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87" t="s">
        <v>0</v>
      </c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  <c r="P1" s="688"/>
      <c r="Q1" s="688"/>
      <c r="R1" s="688"/>
      <c r="S1" s="688"/>
      <c r="T1" s="688"/>
      <c r="U1" s="688"/>
      <c r="V1" s="688"/>
      <c r="W1" s="688"/>
      <c r="X1" s="688"/>
      <c r="Y1" s="689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90" t="s">
        <v>143</v>
      </c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2"/>
      <c r="Z3" s="174"/>
      <c r="AA3" s="103"/>
    </row>
    <row r="4" spans="1:28" ht="23.25" customHeight="1" thickBot="1">
      <c r="A4" s="180" t="s">
        <v>115</v>
      </c>
      <c r="B4" s="693" t="s">
        <v>164</v>
      </c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5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9" t="s">
        <v>71</v>
      </c>
      <c r="C6" s="700"/>
      <c r="D6" s="700"/>
      <c r="E6" s="701"/>
      <c r="F6" s="89"/>
      <c r="G6" s="142"/>
      <c r="H6" s="719" t="s">
        <v>76</v>
      </c>
      <c r="I6" s="720"/>
      <c r="J6" s="720"/>
      <c r="K6" s="721"/>
      <c r="L6" s="89"/>
      <c r="M6" s="142"/>
      <c r="N6" s="727" t="s">
        <v>95</v>
      </c>
      <c r="O6" s="728"/>
      <c r="P6" s="729"/>
      <c r="Q6" s="149"/>
      <c r="R6" s="151"/>
      <c r="S6" s="679" t="s">
        <v>77</v>
      </c>
      <c r="T6" s="680"/>
      <c r="U6" s="152"/>
      <c r="V6" s="156"/>
      <c r="W6" s="143"/>
      <c r="X6" s="679" t="s">
        <v>78</v>
      </c>
      <c r="Y6" s="680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15">
        <f>I23</f>
        <v>0</v>
      </c>
      <c r="I7" s="726"/>
      <c r="J7" s="726"/>
      <c r="K7" s="716"/>
      <c r="L7" s="89"/>
      <c r="M7" s="116"/>
      <c r="N7" s="711">
        <f>L23</f>
        <v>0</v>
      </c>
      <c r="O7" s="712"/>
      <c r="P7" s="713"/>
      <c r="Q7" s="150"/>
      <c r="R7" s="152"/>
      <c r="S7" s="715">
        <f>O23</f>
        <v>0</v>
      </c>
      <c r="T7" s="716"/>
      <c r="U7" s="89"/>
      <c r="V7" s="155"/>
      <c r="W7" s="82"/>
      <c r="X7" s="715">
        <f>R23</f>
        <v>0</v>
      </c>
      <c r="Y7" s="716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07" t="s">
        <v>79</v>
      </c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9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10" t="s">
        <v>80</v>
      </c>
      <c r="H11" s="705"/>
      <c r="I11" s="705" t="s">
        <v>81</v>
      </c>
      <c r="J11" s="705"/>
      <c r="K11" s="705"/>
      <c r="L11" s="705" t="s">
        <v>82</v>
      </c>
      <c r="M11" s="705"/>
      <c r="N11" s="705"/>
      <c r="O11" s="705" t="s">
        <v>83</v>
      </c>
      <c r="P11" s="705"/>
      <c r="Q11" s="705"/>
      <c r="R11" s="705" t="s">
        <v>78</v>
      </c>
      <c r="S11" s="705"/>
      <c r="T11" s="705"/>
      <c r="U11" s="705"/>
      <c r="V11" s="705"/>
      <c r="W11" s="705"/>
      <c r="X11" s="705"/>
      <c r="Y11" s="706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10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681" t="s">
        <v>84</v>
      </c>
      <c r="S12" s="681"/>
      <c r="T12" s="681" t="s">
        <v>85</v>
      </c>
      <c r="U12" s="681"/>
      <c r="V12" s="681" t="s">
        <v>86</v>
      </c>
      <c r="W12" s="681"/>
      <c r="X12" s="681" t="s">
        <v>87</v>
      </c>
      <c r="Y12" s="702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10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681"/>
      <c r="S13" s="681"/>
      <c r="T13" s="681"/>
      <c r="U13" s="681"/>
      <c r="V13" s="681"/>
      <c r="W13" s="681"/>
      <c r="X13" s="703"/>
      <c r="Y13" s="704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82" t="s">
        <v>18</v>
      </c>
      <c r="H14" s="683"/>
      <c r="I14" s="684"/>
      <c r="J14" s="685"/>
      <c r="K14" s="686"/>
      <c r="L14" s="678"/>
      <c r="M14" s="678"/>
      <c r="N14" s="678"/>
      <c r="O14" s="678"/>
      <c r="P14" s="678"/>
      <c r="Q14" s="678"/>
      <c r="R14" s="678"/>
      <c r="S14" s="678"/>
      <c r="T14" s="678"/>
      <c r="U14" s="678"/>
      <c r="V14" s="678"/>
      <c r="W14" s="684"/>
      <c r="X14" s="678"/>
      <c r="Y14" s="714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82" t="s">
        <v>16</v>
      </c>
      <c r="H15" s="683"/>
      <c r="I15" s="684"/>
      <c r="J15" s="685"/>
      <c r="K15" s="686"/>
      <c r="L15" s="678"/>
      <c r="M15" s="678"/>
      <c r="N15" s="678"/>
      <c r="O15" s="678"/>
      <c r="P15" s="678"/>
      <c r="Q15" s="678"/>
      <c r="R15" s="678"/>
      <c r="S15" s="678"/>
      <c r="T15" s="678"/>
      <c r="U15" s="678"/>
      <c r="V15" s="678"/>
      <c r="W15" s="684"/>
      <c r="X15" s="678"/>
      <c r="Y15" s="714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82" t="s">
        <v>19</v>
      </c>
      <c r="H16" s="683"/>
      <c r="I16" s="684"/>
      <c r="J16" s="685"/>
      <c r="K16" s="686"/>
      <c r="L16" s="678"/>
      <c r="M16" s="678"/>
      <c r="N16" s="678"/>
      <c r="O16" s="678"/>
      <c r="P16" s="678"/>
      <c r="Q16" s="678"/>
      <c r="R16" s="678"/>
      <c r="S16" s="678"/>
      <c r="T16" s="678"/>
      <c r="U16" s="678"/>
      <c r="V16" s="678"/>
      <c r="W16" s="684"/>
      <c r="X16" s="678"/>
      <c r="Y16" s="714"/>
      <c r="Z16" s="80"/>
      <c r="AA16" s="103"/>
      <c r="AB16" s="194"/>
    </row>
    <row r="17" spans="1:27" ht="21" customHeight="1">
      <c r="A17" s="79"/>
      <c r="B17" s="696" t="s">
        <v>89</v>
      </c>
      <c r="C17" s="697"/>
      <c r="D17" s="697"/>
      <c r="E17" s="698"/>
      <c r="F17" s="89"/>
      <c r="G17" s="682" t="s">
        <v>17</v>
      </c>
      <c r="H17" s="683"/>
      <c r="I17" s="684"/>
      <c r="J17" s="685"/>
      <c r="K17" s="686"/>
      <c r="L17" s="678"/>
      <c r="M17" s="678"/>
      <c r="N17" s="678"/>
      <c r="O17" s="678"/>
      <c r="P17" s="678"/>
      <c r="Q17" s="678"/>
      <c r="R17" s="678"/>
      <c r="S17" s="678"/>
      <c r="T17" s="678"/>
      <c r="U17" s="678"/>
      <c r="V17" s="678"/>
      <c r="W17" s="684"/>
      <c r="X17" s="678"/>
      <c r="Y17" s="714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682" t="s">
        <v>167</v>
      </c>
      <c r="H18" s="683"/>
      <c r="I18" s="684"/>
      <c r="J18" s="685"/>
      <c r="K18" s="686"/>
      <c r="L18" s="678"/>
      <c r="M18" s="678"/>
      <c r="N18" s="678"/>
      <c r="O18" s="678"/>
      <c r="P18" s="678"/>
      <c r="Q18" s="678"/>
      <c r="R18" s="678"/>
      <c r="S18" s="678"/>
      <c r="T18" s="678"/>
      <c r="U18" s="678"/>
      <c r="V18" s="678"/>
      <c r="W18" s="684"/>
      <c r="X18" s="678"/>
      <c r="Y18" s="714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682" t="s">
        <v>168</v>
      </c>
      <c r="H19" s="683"/>
      <c r="I19" s="684"/>
      <c r="J19" s="685"/>
      <c r="K19" s="686"/>
      <c r="L19" s="678"/>
      <c r="M19" s="678"/>
      <c r="N19" s="678"/>
      <c r="O19" s="678"/>
      <c r="P19" s="678"/>
      <c r="Q19" s="678"/>
      <c r="R19" s="678"/>
      <c r="S19" s="678"/>
      <c r="T19" s="678"/>
      <c r="U19" s="678"/>
      <c r="V19" s="678"/>
      <c r="W19" s="684"/>
      <c r="X19" s="678"/>
      <c r="Y19" s="714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682" t="s">
        <v>22</v>
      </c>
      <c r="H20" s="683"/>
      <c r="I20" s="684"/>
      <c r="J20" s="685"/>
      <c r="K20" s="686"/>
      <c r="L20" s="678"/>
      <c r="M20" s="678"/>
      <c r="N20" s="678"/>
      <c r="O20" s="678"/>
      <c r="P20" s="678"/>
      <c r="Q20" s="678"/>
      <c r="R20" s="678"/>
      <c r="S20" s="678"/>
      <c r="T20" s="678"/>
      <c r="U20" s="678"/>
      <c r="V20" s="678"/>
      <c r="W20" s="684"/>
      <c r="X20" s="678"/>
      <c r="Y20" s="714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682" t="s">
        <v>20</v>
      </c>
      <c r="H21" s="683"/>
      <c r="I21" s="684"/>
      <c r="J21" s="685"/>
      <c r="K21" s="686"/>
      <c r="L21" s="678"/>
      <c r="M21" s="678"/>
      <c r="N21" s="678"/>
      <c r="O21" s="678"/>
      <c r="P21" s="678"/>
      <c r="Q21" s="678"/>
      <c r="R21" s="678"/>
      <c r="S21" s="678"/>
      <c r="T21" s="678"/>
      <c r="U21" s="678"/>
      <c r="V21" s="678"/>
      <c r="W21" s="684"/>
      <c r="X21" s="678"/>
      <c r="Y21" s="714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682" t="s">
        <v>169</v>
      </c>
      <c r="H22" s="683"/>
      <c r="I22" s="684"/>
      <c r="J22" s="685"/>
      <c r="K22" s="686"/>
      <c r="L22" s="678"/>
      <c r="M22" s="678"/>
      <c r="N22" s="678"/>
      <c r="O22" s="678"/>
      <c r="P22" s="678"/>
      <c r="Q22" s="678"/>
      <c r="R22" s="678"/>
      <c r="S22" s="678"/>
      <c r="T22" s="678"/>
      <c r="U22" s="678"/>
      <c r="V22" s="678"/>
      <c r="W22" s="684"/>
      <c r="X22" s="678"/>
      <c r="Y22" s="714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25" t="s">
        <v>88</v>
      </c>
      <c r="H23" s="717"/>
      <c r="I23" s="717">
        <f>SUM(I14:K22)</f>
        <v>0</v>
      </c>
      <c r="J23" s="717"/>
      <c r="K23" s="717"/>
      <c r="L23" s="717">
        <f>SUM(L14:N22)</f>
        <v>0</v>
      </c>
      <c r="M23" s="717"/>
      <c r="N23" s="717"/>
      <c r="O23" s="722">
        <f>SUM(O14:Q22)</f>
        <v>0</v>
      </c>
      <c r="P23" s="723"/>
      <c r="Q23" s="724"/>
      <c r="R23" s="722">
        <f>SUM(R14:S22)</f>
        <v>0</v>
      </c>
      <c r="S23" s="724"/>
      <c r="T23" s="722">
        <f>SUM(T14:U22)</f>
        <v>0</v>
      </c>
      <c r="U23" s="724"/>
      <c r="V23" s="722">
        <f>SUM(V14:W22)</f>
        <v>0</v>
      </c>
      <c r="W23" s="723"/>
      <c r="X23" s="717">
        <f>SUM(X14:Y22)</f>
        <v>0</v>
      </c>
      <c r="Y23" s="718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62" t="s">
        <v>103</v>
      </c>
      <c r="I26" s="763"/>
      <c r="J26" s="764"/>
      <c r="K26" s="89"/>
      <c r="L26" s="768" t="s">
        <v>96</v>
      </c>
      <c r="M26" s="769"/>
      <c r="N26" s="769"/>
      <c r="O26" s="769"/>
      <c r="P26" s="769"/>
      <c r="Q26" s="769"/>
      <c r="R26" s="769"/>
      <c r="S26" s="769"/>
      <c r="T26" s="769"/>
      <c r="U26" s="769"/>
      <c r="V26" s="769"/>
      <c r="W26" s="769"/>
      <c r="X26" s="769"/>
      <c r="Y26" s="77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9">
        <f>Y38</f>
        <v>0</v>
      </c>
      <c r="I27" s="760"/>
      <c r="J27" s="761"/>
      <c r="K27" s="89"/>
      <c r="L27" s="733" t="s">
        <v>80</v>
      </c>
      <c r="M27" s="681"/>
      <c r="N27" s="681"/>
      <c r="O27" s="681" t="s">
        <v>97</v>
      </c>
      <c r="P27" s="681"/>
      <c r="Q27" s="681" t="s">
        <v>98</v>
      </c>
      <c r="R27" s="681"/>
      <c r="S27" s="681" t="s">
        <v>99</v>
      </c>
      <c r="T27" s="681" t="s">
        <v>100</v>
      </c>
      <c r="U27" s="681"/>
      <c r="V27" s="681" t="s">
        <v>101</v>
      </c>
      <c r="W27" s="681" t="s">
        <v>102</v>
      </c>
      <c r="X27" s="681"/>
      <c r="Y27" s="702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3"/>
      <c r="M28" s="681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702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30" t="s">
        <v>18</v>
      </c>
      <c r="M29" s="731"/>
      <c r="N29" s="731"/>
      <c r="O29" s="731"/>
      <c r="P29" s="731"/>
      <c r="Q29" s="731"/>
      <c r="R29" s="731"/>
      <c r="S29" s="71"/>
      <c r="T29" s="731"/>
      <c r="U29" s="731"/>
      <c r="V29" s="71"/>
      <c r="W29" s="731"/>
      <c r="X29" s="732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30" t="s">
        <v>16</v>
      </c>
      <c r="M30" s="731"/>
      <c r="N30" s="731"/>
      <c r="O30" s="731"/>
      <c r="P30" s="731"/>
      <c r="Q30" s="731"/>
      <c r="R30" s="731"/>
      <c r="S30" s="71"/>
      <c r="T30" s="731"/>
      <c r="U30" s="731"/>
      <c r="V30" s="71"/>
      <c r="W30" s="731"/>
      <c r="X30" s="732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65" t="s">
        <v>93</v>
      </c>
      <c r="I31" s="766"/>
      <c r="J31" s="767"/>
      <c r="K31" s="89"/>
      <c r="L31" s="730" t="s">
        <v>19</v>
      </c>
      <c r="M31" s="731"/>
      <c r="N31" s="731"/>
      <c r="O31" s="731"/>
      <c r="P31" s="731"/>
      <c r="Q31" s="731"/>
      <c r="R31" s="731"/>
      <c r="S31" s="71"/>
      <c r="T31" s="731"/>
      <c r="U31" s="731"/>
      <c r="V31" s="71"/>
      <c r="W31" s="731"/>
      <c r="X31" s="732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30" t="s">
        <v>17</v>
      </c>
      <c r="M32" s="731"/>
      <c r="N32" s="731"/>
      <c r="O32" s="731"/>
      <c r="P32" s="731"/>
      <c r="Q32" s="731"/>
      <c r="R32" s="731"/>
      <c r="S32" s="71"/>
      <c r="T32" s="731"/>
      <c r="U32" s="731"/>
      <c r="V32" s="71"/>
      <c r="W32" s="731"/>
      <c r="X32" s="732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9">
        <f>O38</f>
        <v>0</v>
      </c>
      <c r="I33" s="760"/>
      <c r="J33" s="761"/>
      <c r="K33" s="89"/>
      <c r="L33" s="730" t="s">
        <v>167</v>
      </c>
      <c r="M33" s="731"/>
      <c r="N33" s="731"/>
      <c r="O33" s="731"/>
      <c r="P33" s="731"/>
      <c r="Q33" s="731"/>
      <c r="R33" s="731"/>
      <c r="S33" s="71"/>
      <c r="T33" s="731"/>
      <c r="U33" s="731"/>
      <c r="V33" s="71"/>
      <c r="W33" s="731"/>
      <c r="X33" s="732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30" t="s">
        <v>168</v>
      </c>
      <c r="M34" s="731"/>
      <c r="N34" s="731"/>
      <c r="O34" s="731"/>
      <c r="P34" s="731"/>
      <c r="Q34" s="731"/>
      <c r="R34" s="731"/>
      <c r="S34" s="71"/>
      <c r="T34" s="731"/>
      <c r="U34" s="731"/>
      <c r="V34" s="71"/>
      <c r="W34" s="731"/>
      <c r="X34" s="732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30" t="s">
        <v>22</v>
      </c>
      <c r="M35" s="731"/>
      <c r="N35" s="731"/>
      <c r="O35" s="734"/>
      <c r="P35" s="734"/>
      <c r="Q35" s="734"/>
      <c r="R35" s="734"/>
      <c r="S35" s="162"/>
      <c r="T35" s="734"/>
      <c r="U35" s="734"/>
      <c r="V35" s="162"/>
      <c r="W35" s="734"/>
      <c r="X35" s="73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30" t="s">
        <v>20</v>
      </c>
      <c r="M36" s="731"/>
      <c r="N36" s="732"/>
      <c r="O36" s="736"/>
      <c r="P36" s="736"/>
      <c r="Q36" s="736"/>
      <c r="R36" s="736"/>
      <c r="S36" s="163"/>
      <c r="T36" s="736"/>
      <c r="U36" s="736"/>
      <c r="V36" s="163"/>
      <c r="W36" s="736"/>
      <c r="X36" s="737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65" t="s">
        <v>92</v>
      </c>
      <c r="I37" s="766"/>
      <c r="J37" s="767"/>
      <c r="K37" s="89"/>
      <c r="L37" s="730" t="s">
        <v>169</v>
      </c>
      <c r="M37" s="731"/>
      <c r="N37" s="732"/>
      <c r="O37" s="736"/>
      <c r="P37" s="736"/>
      <c r="Q37" s="736"/>
      <c r="R37" s="736"/>
      <c r="S37" s="163"/>
      <c r="T37" s="736"/>
      <c r="U37" s="736"/>
      <c r="V37" s="163"/>
      <c r="W37" s="736"/>
      <c r="X37" s="737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9" t="s">
        <v>88</v>
      </c>
      <c r="M38" s="750"/>
      <c r="N38" s="751"/>
      <c r="O38" s="738">
        <f>SUM(O29:P37)</f>
        <v>0</v>
      </c>
      <c r="P38" s="738"/>
      <c r="Q38" s="738">
        <f>SUM(Q29:R37)</f>
        <v>0</v>
      </c>
      <c r="R38" s="738"/>
      <c r="S38" s="196">
        <f>SUM(S29:S37)</f>
        <v>0</v>
      </c>
      <c r="T38" s="738">
        <f>SUM(T29:U37)</f>
        <v>0</v>
      </c>
      <c r="U38" s="738"/>
      <c r="V38" s="196">
        <f>SUM(V29:V37)</f>
        <v>0</v>
      </c>
      <c r="W38" s="738">
        <f>SUM(W29:X37)</f>
        <v>0</v>
      </c>
      <c r="X38" s="73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9">
        <f>S38</f>
        <v>0</v>
      </c>
      <c r="I39" s="760"/>
      <c r="J39" s="761"/>
      <c r="K39" s="89"/>
      <c r="L39" s="744"/>
      <c r="M39" s="752"/>
      <c r="N39" s="753"/>
      <c r="O39" s="744"/>
      <c r="P39" s="745"/>
      <c r="Q39" s="757"/>
      <c r="R39" s="758"/>
      <c r="S39" s="104"/>
      <c r="T39" s="785"/>
      <c r="U39" s="785"/>
      <c r="V39" s="104"/>
      <c r="W39" s="785"/>
      <c r="X39" s="785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54"/>
      <c r="M40" s="755"/>
      <c r="N40" s="756"/>
      <c r="O40" s="746"/>
      <c r="P40" s="743"/>
      <c r="Q40" s="742"/>
      <c r="R40" s="743"/>
      <c r="S40" s="82"/>
      <c r="T40" s="786"/>
      <c r="U40" s="786"/>
      <c r="V40" s="82"/>
      <c r="W40" s="786"/>
      <c r="X40" s="786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54"/>
      <c r="M41" s="755"/>
      <c r="N41" s="756"/>
      <c r="O41" s="747"/>
      <c r="P41" s="748"/>
      <c r="Q41" s="754"/>
      <c r="R41" s="756"/>
      <c r="S41" s="82"/>
      <c r="T41" s="754"/>
      <c r="U41" s="756"/>
      <c r="V41" s="82"/>
      <c r="W41" s="754"/>
      <c r="X41" s="756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9"/>
      <c r="M42" s="740"/>
      <c r="N42" s="741"/>
      <c r="O42" s="757"/>
      <c r="P42" s="758"/>
      <c r="Q42" s="82"/>
      <c r="R42" s="783" t="s">
        <v>136</v>
      </c>
      <c r="S42" s="784"/>
      <c r="T42" s="105"/>
      <c r="U42" s="787"/>
      <c r="V42" s="788"/>
      <c r="W42" s="787"/>
      <c r="X42" s="788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90" t="s">
        <v>104</v>
      </c>
      <c r="I43" s="790"/>
      <c r="J43" s="791"/>
      <c r="K43" s="89"/>
      <c r="L43" s="135"/>
      <c r="M43" s="164"/>
      <c r="N43" s="774" t="s">
        <v>94</v>
      </c>
      <c r="O43" s="775"/>
      <c r="P43" s="776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9">
        <f>SUM(V38)</f>
        <v>0</v>
      </c>
      <c r="I45" s="760"/>
      <c r="J45" s="761"/>
      <c r="K45" s="89"/>
      <c r="L45" s="136"/>
      <c r="M45" s="82"/>
      <c r="N45" s="82"/>
      <c r="O45" s="777">
        <f>SUM(Q38,T38,W38)</f>
        <v>0</v>
      </c>
      <c r="P45" s="778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9"/>
      <c r="P46" s="780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81"/>
      <c r="I50" s="781"/>
      <c r="J50" s="782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9"/>
      <c r="I52" s="789"/>
      <c r="J52" s="789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71"/>
      <c r="Y55" s="772"/>
      <c r="Z55" s="772"/>
      <c r="AA55" s="772"/>
      <c r="AB55" s="773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71"/>
      <c r="V63" s="772"/>
      <c r="W63" s="772"/>
      <c r="X63" s="772"/>
      <c r="Y63" s="773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abSelected="1"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37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8"/>
    </row>
    <row r="2" spans="1:15" ht="6.75" customHeight="1" thickBot="1">
      <c r="A2" s="839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40"/>
    </row>
    <row r="3" spans="1:15" ht="21" customHeight="1">
      <c r="A3" s="841" t="s">
        <v>148</v>
      </c>
      <c r="B3" s="841"/>
      <c r="C3" s="841"/>
      <c r="D3" s="841"/>
      <c r="E3" s="841"/>
      <c r="F3" s="841"/>
      <c r="G3" s="841"/>
      <c r="H3" s="841"/>
      <c r="I3" s="841"/>
      <c r="J3" s="841"/>
      <c r="K3" s="841"/>
      <c r="L3" s="841"/>
      <c r="M3" s="841"/>
      <c r="N3" s="841"/>
      <c r="O3" s="842"/>
    </row>
    <row r="4" spans="1:15" ht="24" customHeight="1" thickBot="1">
      <c r="A4" s="843" t="s">
        <v>181</v>
      </c>
      <c r="B4" s="843"/>
      <c r="C4" s="843"/>
      <c r="D4" s="843"/>
      <c r="E4" s="843"/>
      <c r="F4" s="843"/>
      <c r="G4" s="843"/>
      <c r="H4" s="843"/>
      <c r="I4" s="843"/>
      <c r="J4" s="843"/>
      <c r="K4" s="843"/>
      <c r="L4" s="843"/>
      <c r="M4" s="843"/>
      <c r="N4" s="843"/>
      <c r="O4" s="844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45"/>
      <c r="K5" s="845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35"/>
      <c r="I8" s="836"/>
      <c r="J8" s="835"/>
      <c r="K8" s="835"/>
      <c r="L8" s="835"/>
      <c r="M8" s="835"/>
      <c r="N8" s="517"/>
      <c r="O8" s="404"/>
    </row>
    <row r="9" spans="1:15" ht="15" customHeight="1">
      <c r="A9" s="800" t="s">
        <v>151</v>
      </c>
      <c r="B9" s="801"/>
      <c r="C9" s="801"/>
      <c r="D9" s="801"/>
      <c r="E9" s="801"/>
      <c r="F9" s="802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03"/>
      <c r="B10" s="804"/>
      <c r="C10" s="804"/>
      <c r="D10" s="804"/>
      <c r="E10" s="804"/>
      <c r="F10" s="805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16" t="s">
        <v>150</v>
      </c>
      <c r="B11" s="811" t="s">
        <v>152</v>
      </c>
      <c r="C11" s="813" t="s">
        <v>179</v>
      </c>
      <c r="D11" s="815" t="s">
        <v>154</v>
      </c>
      <c r="E11" s="796" t="s">
        <v>88</v>
      </c>
      <c r="F11" s="797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17"/>
      <c r="B12" s="812"/>
      <c r="C12" s="814"/>
      <c r="D12" s="803"/>
      <c r="E12" s="798"/>
      <c r="F12" s="799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06">
        <f>SUM(B13:D13)</f>
        <v>0</v>
      </c>
      <c r="F13" s="807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08">
        <f>SUM(B14:D14)</f>
        <v>0</v>
      </c>
      <c r="F14" s="809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18">
        <f>SUM(B15:D15)</f>
        <v>0</v>
      </c>
      <c r="F15" s="819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21" t="s">
        <v>157</v>
      </c>
      <c r="I17" s="822"/>
      <c r="J17" s="823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31" t="s">
        <v>53</v>
      </c>
      <c r="M20" s="832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33"/>
      <c r="M21" s="83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829"/>
      <c r="M22" s="830"/>
      <c r="N22" s="80"/>
      <c r="O22" s="165"/>
    </row>
    <row r="23" spans="1:15" ht="27.75" customHeight="1" thickBot="1">
      <c r="A23" s="826" t="s">
        <v>159</v>
      </c>
      <c r="B23" s="827"/>
      <c r="C23" s="827"/>
      <c r="D23" s="827"/>
      <c r="E23" s="827"/>
      <c r="F23" s="828"/>
      <c r="G23" s="78"/>
      <c r="H23" s="580"/>
      <c r="I23" s="540"/>
      <c r="J23" s="540"/>
      <c r="K23" s="540"/>
      <c r="L23" s="829"/>
      <c r="M23" s="830"/>
      <c r="N23" s="80"/>
      <c r="O23" s="165"/>
    </row>
    <row r="24" spans="1:15" ht="36" customHeight="1" thickBot="1">
      <c r="A24" s="547" t="s">
        <v>158</v>
      </c>
      <c r="B24" s="824" t="s">
        <v>183</v>
      </c>
      <c r="C24" s="825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829"/>
      <c r="M24" s="830"/>
      <c r="N24" s="80"/>
      <c r="O24" s="165"/>
    </row>
    <row r="25" spans="1:15" ht="24.75" customHeight="1">
      <c r="A25" s="501" t="s">
        <v>94</v>
      </c>
      <c r="B25" s="810"/>
      <c r="C25" s="810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829"/>
      <c r="M25" s="830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829"/>
      <c r="M26" s="830"/>
      <c r="N26" s="80"/>
      <c r="O26" s="165"/>
    </row>
    <row r="27" spans="1:15" ht="27" customHeight="1">
      <c r="A27" s="820"/>
      <c r="B27" s="820"/>
      <c r="C27" s="820"/>
      <c r="D27" s="820"/>
      <c r="E27" s="495"/>
      <c r="F27" s="498"/>
      <c r="G27" s="89"/>
      <c r="H27" s="581"/>
      <c r="I27" s="540"/>
      <c r="J27" s="540"/>
      <c r="K27" s="540"/>
      <c r="L27" s="829"/>
      <c r="M27" s="830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829"/>
      <c r="M28" s="830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829"/>
      <c r="M29" s="830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829"/>
      <c r="M30" s="830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829"/>
      <c r="M31" s="830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829"/>
      <c r="M32" s="830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829"/>
      <c r="M33" s="830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829"/>
      <c r="M34" s="830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829"/>
      <c r="M35" s="830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829"/>
      <c r="M36" s="830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846"/>
      <c r="M37" s="847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51" t="s">
        <v>119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3"/>
      <c r="P1" s="82"/>
      <c r="Q1" s="82"/>
      <c r="R1" s="82"/>
      <c r="S1" s="82"/>
      <c r="T1" s="82"/>
    </row>
    <row r="2" spans="1:20" ht="18.75" customHeight="1">
      <c r="A2" s="82"/>
      <c r="B2" s="870" t="s">
        <v>120</v>
      </c>
      <c r="C2" s="871"/>
      <c r="D2" s="871"/>
      <c r="E2" s="871"/>
      <c r="F2" s="871"/>
      <c r="G2" s="872" t="s">
        <v>164</v>
      </c>
      <c r="H2" s="872"/>
      <c r="I2" s="872"/>
      <c r="J2" s="872"/>
      <c r="K2" s="872"/>
      <c r="L2" s="872"/>
      <c r="M2" s="872"/>
      <c r="N2" s="872"/>
      <c r="O2" s="873"/>
      <c r="P2" s="82"/>
      <c r="Q2" s="82"/>
      <c r="R2" s="82"/>
      <c r="S2" s="82"/>
      <c r="T2" s="82"/>
    </row>
    <row r="3" spans="1:20" ht="28.5" customHeight="1" thickBot="1">
      <c r="A3" s="82"/>
      <c r="B3" s="874" t="s">
        <v>173</v>
      </c>
      <c r="C3" s="875"/>
      <c r="D3" s="875"/>
      <c r="E3" s="875"/>
      <c r="F3" s="875"/>
      <c r="G3" s="875"/>
      <c r="H3" s="876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63" t="s">
        <v>187</v>
      </c>
      <c r="L4" s="864"/>
      <c r="M4" s="864"/>
      <c r="N4" s="864"/>
      <c r="O4" s="865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60" t="s">
        <v>122</v>
      </c>
      <c r="L5" s="859"/>
      <c r="M5" s="859" t="s">
        <v>190</v>
      </c>
      <c r="N5" s="859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66"/>
      <c r="L6" s="867"/>
      <c r="M6" s="855"/>
      <c r="N6" s="85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61"/>
      <c r="F7" s="862"/>
      <c r="G7" s="862"/>
      <c r="H7" s="862"/>
      <c r="I7" s="82"/>
      <c r="J7" s="103"/>
      <c r="K7" s="868"/>
      <c r="L7" s="869"/>
      <c r="M7" s="857"/>
      <c r="N7" s="858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68"/>
      <c r="L8" s="869"/>
      <c r="M8" s="857"/>
      <c r="N8" s="858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68"/>
      <c r="L9" s="869"/>
      <c r="M9" s="857"/>
      <c r="N9" s="858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68"/>
      <c r="L10" s="869"/>
      <c r="M10" s="857"/>
      <c r="N10" s="858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68"/>
      <c r="L11" s="869"/>
      <c r="M11" s="857"/>
      <c r="N11" s="858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68"/>
      <c r="L12" s="869"/>
      <c r="M12" s="857"/>
      <c r="N12" s="858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54" t="s">
        <v>174</v>
      </c>
      <c r="F13" s="854"/>
      <c r="G13" s="854"/>
      <c r="H13" s="854"/>
      <c r="I13" s="80"/>
      <c r="J13" s="103"/>
      <c r="K13" s="868"/>
      <c r="L13" s="869"/>
      <c r="M13" s="857"/>
      <c r="N13" s="858"/>
      <c r="O13" s="561"/>
      <c r="P13" s="80"/>
      <c r="Q13" s="82"/>
      <c r="R13" s="82"/>
      <c r="S13" s="82"/>
      <c r="T13" s="82"/>
    </row>
    <row r="14" spans="1:20" ht="47.25" customHeight="1">
      <c r="A14" s="79"/>
      <c r="B14" s="883" t="s">
        <v>170</v>
      </c>
      <c r="C14" s="883"/>
      <c r="D14" s="89"/>
      <c r="E14" s="878" t="s">
        <v>122</v>
      </c>
      <c r="F14" s="878"/>
      <c r="G14" s="878"/>
      <c r="H14" s="465" t="s">
        <v>123</v>
      </c>
      <c r="I14" s="80"/>
      <c r="J14" s="103"/>
      <c r="K14" s="868"/>
      <c r="L14" s="869"/>
      <c r="M14" s="857"/>
      <c r="N14" s="858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79"/>
      <c r="F15" s="879"/>
      <c r="G15" s="879"/>
      <c r="H15" s="474"/>
      <c r="I15" s="80"/>
      <c r="J15" s="103"/>
      <c r="K15" s="868"/>
      <c r="L15" s="869"/>
      <c r="M15" s="857"/>
      <c r="N15" s="858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79"/>
      <c r="F16" s="879"/>
      <c r="G16" s="879"/>
      <c r="H16" s="474"/>
      <c r="I16" s="80"/>
      <c r="J16" s="103"/>
      <c r="K16" s="868"/>
      <c r="L16" s="869"/>
      <c r="M16" s="857"/>
      <c r="N16" s="858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79"/>
      <c r="F17" s="879"/>
      <c r="G17" s="879"/>
      <c r="H17" s="474"/>
      <c r="I17" s="80"/>
      <c r="J17" s="79"/>
      <c r="K17" s="868"/>
      <c r="L17" s="869"/>
      <c r="M17" s="857"/>
      <c r="N17" s="858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79"/>
      <c r="F18" s="879"/>
      <c r="G18" s="879"/>
      <c r="H18" s="474"/>
      <c r="I18" s="80"/>
      <c r="J18" s="87"/>
      <c r="K18" s="891"/>
      <c r="L18" s="892"/>
      <c r="M18" s="889"/>
      <c r="N18" s="890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79"/>
      <c r="F19" s="879"/>
      <c r="G19" s="879"/>
      <c r="H19" s="474"/>
      <c r="I19" s="80"/>
      <c r="J19" s="79"/>
      <c r="K19" s="230"/>
      <c r="M19" s="889"/>
      <c r="N19" s="890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87"/>
      <c r="F20" s="887"/>
      <c r="G20" s="887"/>
      <c r="H20" s="475"/>
      <c r="I20" s="80"/>
      <c r="J20" s="103"/>
      <c r="K20" s="230"/>
      <c r="M20" s="889"/>
      <c r="N20" s="890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7" t="s">
        <v>10</v>
      </c>
      <c r="F21" s="877"/>
      <c r="G21" s="877"/>
      <c r="H21" s="476">
        <f>SUM(H15:H20)</f>
        <v>0</v>
      </c>
      <c r="I21" s="80"/>
      <c r="J21" s="103"/>
      <c r="K21" s="230"/>
      <c r="M21" s="889"/>
      <c r="N21" s="890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93" t="s">
        <v>171</v>
      </c>
      <c r="F22" s="894"/>
      <c r="G22" s="894"/>
      <c r="H22" s="895"/>
      <c r="I22" s="80"/>
      <c r="J22" s="79"/>
      <c r="K22" s="230"/>
      <c r="M22" s="889"/>
      <c r="N22" s="890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9"/>
      <c r="N23" s="890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89"/>
      <c r="N24" s="890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89"/>
      <c r="N25" s="890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88"/>
      <c r="I26" s="888"/>
      <c r="J26" s="466"/>
      <c r="K26" s="884" t="s">
        <v>191</v>
      </c>
      <c r="L26" s="885"/>
      <c r="M26" s="885"/>
      <c r="N26" s="886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80" t="s">
        <v>189</v>
      </c>
      <c r="L27" s="881"/>
      <c r="M27" s="881"/>
      <c r="N27" s="881"/>
      <c r="O27" s="882"/>
      <c r="P27" s="80"/>
      <c r="Q27" s="82"/>
      <c r="S27" s="82"/>
      <c r="T27" s="82"/>
    </row>
    <row r="28" spans="1:20" ht="32.25" customHeight="1" thickBot="1">
      <c r="A28" s="79"/>
      <c r="J28" s="78"/>
      <c r="K28" s="848" t="s">
        <v>188</v>
      </c>
      <c r="L28" s="849"/>
      <c r="M28" s="849"/>
      <c r="N28" s="849"/>
      <c r="O28" s="85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86" t="s">
        <v>0</v>
      </c>
      <c r="B1" s="987"/>
      <c r="C1" s="987"/>
      <c r="D1" s="987"/>
      <c r="E1" s="987"/>
      <c r="F1" s="987"/>
      <c r="G1" s="987"/>
      <c r="H1" s="987"/>
      <c r="I1" s="987"/>
      <c r="J1" s="987"/>
      <c r="K1" s="987"/>
      <c r="L1" s="987"/>
      <c r="M1" s="987"/>
      <c r="N1" s="987"/>
      <c r="O1" s="987"/>
      <c r="P1" s="987"/>
      <c r="Q1" s="987"/>
      <c r="R1" s="987"/>
      <c r="S1" s="987"/>
      <c r="T1" s="987"/>
      <c r="U1" s="987"/>
      <c r="V1" s="987"/>
      <c r="W1" s="987"/>
      <c r="X1" s="987"/>
      <c r="Y1" s="987"/>
      <c r="Z1" s="987"/>
      <c r="AA1" s="987"/>
      <c r="AB1" s="987"/>
      <c r="AC1" s="987"/>
      <c r="AD1" s="987"/>
      <c r="AE1" s="987"/>
      <c r="AF1" s="987"/>
      <c r="AG1" s="987"/>
      <c r="AH1" s="987"/>
      <c r="AI1" s="988"/>
    </row>
    <row r="2" spans="1:36" ht="4.5" customHeight="1" thickBot="1">
      <c r="A2" s="1004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39"/>
      <c r="AD2" s="839"/>
      <c r="AE2" s="839"/>
      <c r="AF2" s="839"/>
      <c r="AG2" s="839"/>
      <c r="AH2" s="839"/>
      <c r="AI2" s="840"/>
    </row>
    <row r="3" spans="1:36" ht="15.75">
      <c r="A3" s="1020" t="s">
        <v>148</v>
      </c>
      <c r="B3" s="1021"/>
      <c r="C3" s="1021"/>
      <c r="D3" s="1021"/>
      <c r="E3" s="1021"/>
      <c r="F3" s="1021"/>
      <c r="G3" s="1021"/>
      <c r="H3" s="1021"/>
      <c r="I3" s="1021"/>
      <c r="J3" s="1021"/>
      <c r="K3" s="1021"/>
      <c r="L3" s="1021"/>
      <c r="M3" s="1021"/>
      <c r="N3" s="1021"/>
      <c r="O3" s="1021"/>
      <c r="P3" s="1021"/>
      <c r="Q3" s="1021"/>
      <c r="R3" s="1021"/>
      <c r="S3" s="1021"/>
      <c r="T3" s="1021"/>
      <c r="U3" s="1021"/>
      <c r="V3" s="1021"/>
      <c r="W3" s="1021"/>
      <c r="X3" s="1021"/>
      <c r="Y3" s="1021"/>
      <c r="Z3" s="1021"/>
      <c r="AA3" s="1021"/>
      <c r="AB3" s="1021"/>
      <c r="AC3" s="1021"/>
      <c r="AD3" s="1021"/>
      <c r="AE3" s="1021"/>
      <c r="AF3" s="1021"/>
      <c r="AG3" s="1021"/>
      <c r="AH3" s="1021"/>
      <c r="AI3" s="1022"/>
      <c r="AJ3" s="98"/>
    </row>
    <row r="4" spans="1:36" ht="19.5" customHeight="1" thickBot="1">
      <c r="A4" s="1017" t="s">
        <v>149</v>
      </c>
      <c r="B4" s="1018"/>
      <c r="C4" s="1018"/>
      <c r="D4" s="1018"/>
      <c r="E4" s="1018"/>
      <c r="F4" s="1018"/>
      <c r="G4" s="1018"/>
      <c r="H4" s="1018"/>
      <c r="I4" s="1018"/>
      <c r="J4" s="1018"/>
      <c r="K4" s="1018"/>
      <c r="L4" s="1018"/>
      <c r="M4" s="1018"/>
      <c r="N4" s="1018"/>
      <c r="O4" s="1018"/>
      <c r="P4" s="1018"/>
      <c r="Q4" s="1018"/>
      <c r="R4" s="1018"/>
      <c r="S4" s="1018"/>
      <c r="T4" s="1018"/>
      <c r="U4" s="1018"/>
      <c r="V4" s="1018"/>
      <c r="W4" s="1018"/>
      <c r="X4" s="1018"/>
      <c r="Y4" s="1018"/>
      <c r="Z4" s="1018"/>
      <c r="AA4" s="1018"/>
      <c r="AB4" s="1018"/>
      <c r="AC4" s="1018"/>
      <c r="AD4" s="1018"/>
      <c r="AE4" s="1018"/>
      <c r="AF4" s="1018"/>
      <c r="AG4" s="1018"/>
      <c r="AH4" s="1018"/>
      <c r="AI4" s="1019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1032" t="s">
        <v>155</v>
      </c>
      <c r="F6" s="1033"/>
      <c r="G6" s="1034"/>
      <c r="H6" s="354"/>
      <c r="I6" s="229"/>
      <c r="J6" s="1005" t="s">
        <v>92</v>
      </c>
      <c r="K6" s="1006"/>
      <c r="L6" s="1007"/>
      <c r="M6" s="357"/>
      <c r="N6" s="229"/>
      <c r="O6" s="360"/>
      <c r="P6" s="360"/>
      <c r="Q6" s="1026" t="s">
        <v>93</v>
      </c>
      <c r="R6" s="1027"/>
      <c r="S6" s="358"/>
      <c r="T6" s="229"/>
      <c r="U6" s="360"/>
      <c r="V6" s="360"/>
      <c r="W6" s="1005" t="s">
        <v>104</v>
      </c>
      <c r="X6" s="1006"/>
      <c r="Y6" s="1006"/>
      <c r="Z6" s="1007"/>
      <c r="AA6" s="396"/>
      <c r="AB6" s="229"/>
      <c r="AC6" s="360"/>
      <c r="AD6" s="998" t="s">
        <v>94</v>
      </c>
      <c r="AE6" s="999"/>
      <c r="AF6" s="1000"/>
      <c r="AG6" s="136"/>
      <c r="AH6" s="384"/>
      <c r="AI6" s="404"/>
    </row>
    <row r="7" spans="1:36" ht="15.75" customHeight="1">
      <c r="A7" s="136"/>
      <c r="B7" s="100"/>
      <c r="C7" s="23"/>
      <c r="E7" s="1035"/>
      <c r="F7" s="1036"/>
      <c r="G7" s="1037"/>
      <c r="H7" s="354"/>
      <c r="I7" s="233"/>
      <c r="J7" s="1023"/>
      <c r="K7" s="1024"/>
      <c r="L7" s="1025"/>
      <c r="M7" s="357"/>
      <c r="N7" s="233"/>
      <c r="O7" s="352"/>
      <c r="P7" s="359"/>
      <c r="Q7" s="874"/>
      <c r="R7" s="1028"/>
      <c r="S7" s="358"/>
      <c r="T7" s="233"/>
      <c r="U7" s="352"/>
      <c r="V7" s="359"/>
      <c r="W7" s="1008"/>
      <c r="X7" s="1009"/>
      <c r="Y7" s="1009"/>
      <c r="Z7" s="1010"/>
      <c r="AA7" s="396"/>
      <c r="AB7" s="233"/>
      <c r="AC7" s="352"/>
      <c r="AD7" s="1001"/>
      <c r="AE7" s="1002"/>
      <c r="AF7" s="1003"/>
      <c r="AG7" s="136"/>
      <c r="AH7" s="384"/>
      <c r="AI7" s="404"/>
    </row>
    <row r="8" spans="1:36" ht="12.75" customHeight="1">
      <c r="A8" s="136"/>
      <c r="B8" s="361"/>
      <c r="C8" s="206"/>
      <c r="E8" s="1011">
        <v>64</v>
      </c>
      <c r="F8" s="1012"/>
      <c r="G8" s="1038"/>
      <c r="H8" s="152"/>
      <c r="I8" s="136"/>
      <c r="J8" s="79"/>
      <c r="K8" s="1042">
        <v>16</v>
      </c>
      <c r="L8" s="1043"/>
      <c r="M8" s="357"/>
      <c r="N8" s="136"/>
      <c r="O8" s="79"/>
      <c r="P8" s="1011">
        <v>10</v>
      </c>
      <c r="Q8" s="1012"/>
      <c r="R8" s="1013"/>
      <c r="S8" s="358"/>
      <c r="T8" s="136"/>
      <c r="U8" s="79"/>
      <c r="V8" s="1011">
        <v>38</v>
      </c>
      <c r="W8" s="1012"/>
      <c r="X8" s="1012"/>
      <c r="Y8" s="1012"/>
      <c r="Z8" s="1013"/>
      <c r="AA8" s="397"/>
      <c r="AB8" s="136"/>
      <c r="AC8" s="79"/>
      <c r="AD8" s="1011">
        <v>20</v>
      </c>
      <c r="AE8" s="1012"/>
      <c r="AF8" s="1013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1039"/>
      <c r="F9" s="1040"/>
      <c r="G9" s="1041"/>
      <c r="I9" s="137"/>
      <c r="J9" s="351"/>
      <c r="K9" s="1044"/>
      <c r="L9" s="1045"/>
      <c r="M9" s="358"/>
      <c r="N9" s="137"/>
      <c r="O9" s="351"/>
      <c r="P9" s="1014"/>
      <c r="Q9" s="1015"/>
      <c r="R9" s="1016"/>
      <c r="S9" s="358"/>
      <c r="T9" s="137"/>
      <c r="U9" s="351"/>
      <c r="V9" s="1014"/>
      <c r="W9" s="1015"/>
      <c r="X9" s="1015"/>
      <c r="Y9" s="1015"/>
      <c r="Z9" s="1016"/>
      <c r="AA9" s="397"/>
      <c r="AB9" s="137"/>
      <c r="AC9" s="351"/>
      <c r="AD9" s="1014"/>
      <c r="AE9" s="1015"/>
      <c r="AF9" s="1016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1052" t="s">
        <v>163</v>
      </c>
      <c r="R11" s="1053"/>
      <c r="S11" s="1053"/>
      <c r="T11" s="1053"/>
      <c r="U11" s="1053"/>
      <c r="V11" s="1053"/>
      <c r="W11" s="1053"/>
      <c r="X11" s="1053"/>
      <c r="Y11" s="1053"/>
      <c r="Z11" s="1053"/>
      <c r="AA11" s="1053"/>
      <c r="AB11" s="1053"/>
      <c r="AC11" s="1053"/>
      <c r="AD11" s="1053"/>
      <c r="AE11" s="1053"/>
      <c r="AF11" s="436">
        <v>2025</v>
      </c>
      <c r="AG11" s="447"/>
      <c r="AH11" s="430"/>
      <c r="AI11" s="404"/>
    </row>
    <row r="12" spans="1:36" ht="15" customHeight="1">
      <c r="A12" s="405"/>
      <c r="B12" s="1062" t="s">
        <v>150</v>
      </c>
      <c r="C12" s="1063"/>
      <c r="D12" s="1063"/>
      <c r="E12" s="1064"/>
      <c r="F12" s="1055" t="s">
        <v>151</v>
      </c>
      <c r="G12" s="1056"/>
      <c r="H12" s="1056"/>
      <c r="I12" s="1056"/>
      <c r="J12" s="1056"/>
      <c r="K12" s="1056"/>
      <c r="L12" s="1056"/>
      <c r="M12" s="1055" t="s">
        <v>88</v>
      </c>
      <c r="N12" s="1059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1065"/>
      <c r="C13" s="1066"/>
      <c r="D13" s="1066"/>
      <c r="E13" s="1067"/>
      <c r="F13" s="1057"/>
      <c r="G13" s="1058"/>
      <c r="H13" s="1058"/>
      <c r="I13" s="1058"/>
      <c r="J13" s="1058"/>
      <c r="K13" s="1058"/>
      <c r="L13" s="1058"/>
      <c r="M13" s="1060"/>
      <c r="N13" s="1061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1065"/>
      <c r="C14" s="1066"/>
      <c r="D14" s="1066"/>
      <c r="E14" s="1067"/>
      <c r="F14" s="1071" t="s">
        <v>152</v>
      </c>
      <c r="G14" s="1072"/>
      <c r="H14" s="1075" t="s">
        <v>153</v>
      </c>
      <c r="I14" s="1076"/>
      <c r="J14" s="1079" t="s">
        <v>154</v>
      </c>
      <c r="K14" s="1080"/>
      <c r="L14" s="1080"/>
      <c r="M14" s="1060"/>
      <c r="N14" s="1061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1068"/>
      <c r="C15" s="1069"/>
      <c r="D15" s="1069"/>
      <c r="E15" s="1070"/>
      <c r="F15" s="1073"/>
      <c r="G15" s="1074"/>
      <c r="H15" s="1077"/>
      <c r="I15" s="1078"/>
      <c r="J15" s="1079"/>
      <c r="K15" s="1080"/>
      <c r="L15" s="1080"/>
      <c r="M15" s="1060"/>
      <c r="N15" s="1061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1046" t="s">
        <v>92</v>
      </c>
      <c r="C16" s="1047"/>
      <c r="D16" s="1047"/>
      <c r="E16" s="1047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1051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1046" t="s">
        <v>93</v>
      </c>
      <c r="C17" s="1047"/>
      <c r="D17" s="1047"/>
      <c r="E17" s="1047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1051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1048" t="s">
        <v>104</v>
      </c>
      <c r="C18" s="1049"/>
      <c r="D18" s="1049"/>
      <c r="E18" s="1049"/>
      <c r="F18" s="1050">
        <v>10</v>
      </c>
      <c r="G18" s="1050"/>
      <c r="H18" s="1050">
        <v>38</v>
      </c>
      <c r="I18" s="1050"/>
      <c r="J18" s="1029">
        <v>25</v>
      </c>
      <c r="K18" s="1030"/>
      <c r="L18" s="1031"/>
      <c r="M18" s="1050">
        <v>38</v>
      </c>
      <c r="N18" s="1054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89" t="s">
        <v>157</v>
      </c>
      <c r="R27" s="990"/>
      <c r="S27" s="990"/>
      <c r="T27" s="990"/>
      <c r="U27" s="990"/>
      <c r="V27" s="990"/>
      <c r="W27" s="991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92" t="s">
        <v>156</v>
      </c>
      <c r="U29" s="993"/>
      <c r="V29" s="994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0" t="s">
        <v>50</v>
      </c>
      <c r="R30" s="921"/>
      <c r="S30" s="921"/>
      <c r="T30" s="995"/>
      <c r="U30" s="996"/>
      <c r="V30" s="997"/>
      <c r="W30" s="920" t="s">
        <v>51</v>
      </c>
      <c r="X30" s="921"/>
      <c r="Y30" s="921"/>
      <c r="Z30" s="976" t="s">
        <v>52</v>
      </c>
      <c r="AA30" s="921"/>
      <c r="AB30" s="981"/>
      <c r="AC30" s="976" t="s">
        <v>53</v>
      </c>
      <c r="AD30" s="921"/>
      <c r="AE30" s="977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38"/>
      <c r="R31" s="939"/>
      <c r="S31" s="940"/>
      <c r="T31" s="947"/>
      <c r="U31" s="948"/>
      <c r="V31" s="949"/>
      <c r="W31" s="922"/>
      <c r="X31" s="923"/>
      <c r="Y31" s="923"/>
      <c r="Z31" s="978"/>
      <c r="AA31" s="979"/>
      <c r="AB31" s="982"/>
      <c r="AC31" s="978"/>
      <c r="AD31" s="979"/>
      <c r="AE31" s="980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41"/>
      <c r="R32" s="942"/>
      <c r="S32" s="943"/>
      <c r="T32" s="931"/>
      <c r="U32" s="932"/>
      <c r="V32" s="933"/>
      <c r="W32" s="924"/>
      <c r="X32" s="925"/>
      <c r="Y32" s="925"/>
      <c r="Z32" s="961"/>
      <c r="AA32" s="962"/>
      <c r="AB32" s="973"/>
      <c r="AC32" s="961"/>
      <c r="AD32" s="962"/>
      <c r="AE32" s="963"/>
      <c r="AF32" s="80"/>
      <c r="AG32" s="82"/>
      <c r="AH32" s="82"/>
      <c r="AI32" s="165"/>
    </row>
    <row r="33" spans="1:35" ht="19.5" thickBot="1">
      <c r="A33" s="230"/>
      <c r="B33" s="912" t="s">
        <v>158</v>
      </c>
      <c r="C33" s="954"/>
      <c r="D33" s="954"/>
      <c r="E33" s="913"/>
      <c r="F33" s="909" t="s">
        <v>159</v>
      </c>
      <c r="G33" s="910"/>
      <c r="H33" s="910"/>
      <c r="I33" s="910"/>
      <c r="J33" s="910"/>
      <c r="K33" s="910"/>
      <c r="L33" s="911"/>
      <c r="M33" s="912" t="s">
        <v>88</v>
      </c>
      <c r="N33" s="913"/>
      <c r="O33" s="78"/>
      <c r="P33" s="103"/>
      <c r="Q33" s="941"/>
      <c r="R33" s="942"/>
      <c r="S33" s="943"/>
      <c r="T33" s="931"/>
      <c r="U33" s="932"/>
      <c r="V33" s="933"/>
      <c r="W33" s="924"/>
      <c r="X33" s="925"/>
      <c r="Y33" s="925"/>
      <c r="Z33" s="961"/>
      <c r="AA33" s="962"/>
      <c r="AB33" s="973"/>
      <c r="AC33" s="961"/>
      <c r="AD33" s="962"/>
      <c r="AE33" s="963"/>
      <c r="AF33" s="80"/>
      <c r="AG33" s="82"/>
      <c r="AH33" s="82"/>
      <c r="AI33" s="165"/>
    </row>
    <row r="34" spans="1:35" ht="30.75" customHeight="1" thickBot="1">
      <c r="A34" s="233"/>
      <c r="B34" s="914"/>
      <c r="C34" s="955"/>
      <c r="D34" s="955"/>
      <c r="E34" s="915"/>
      <c r="F34" s="956" t="s">
        <v>160</v>
      </c>
      <c r="G34" s="957"/>
      <c r="H34" s="958"/>
      <c r="I34" s="959" t="s">
        <v>161</v>
      </c>
      <c r="J34" s="960"/>
      <c r="K34" s="907" t="s">
        <v>162</v>
      </c>
      <c r="L34" s="908"/>
      <c r="M34" s="914"/>
      <c r="N34" s="915"/>
      <c r="O34" s="78"/>
      <c r="P34" s="103"/>
      <c r="Q34" s="941"/>
      <c r="R34" s="942"/>
      <c r="S34" s="943"/>
      <c r="T34" s="931"/>
      <c r="U34" s="932"/>
      <c r="V34" s="933"/>
      <c r="W34" s="924"/>
      <c r="X34" s="925"/>
      <c r="Y34" s="925"/>
      <c r="Z34" s="961"/>
      <c r="AA34" s="962"/>
      <c r="AB34" s="973"/>
      <c r="AC34" s="961"/>
      <c r="AD34" s="962"/>
      <c r="AE34" s="963"/>
      <c r="AF34" s="80"/>
      <c r="AG34" s="82"/>
      <c r="AH34" s="82"/>
      <c r="AI34" s="165"/>
    </row>
    <row r="35" spans="1:35" ht="22.5" customHeight="1">
      <c r="A35" s="407"/>
      <c r="B35" s="919" t="s">
        <v>94</v>
      </c>
      <c r="C35" s="919"/>
      <c r="D35" s="919"/>
      <c r="E35" s="919"/>
      <c r="F35" s="919">
        <v>4</v>
      </c>
      <c r="G35" s="919"/>
      <c r="H35" s="919"/>
      <c r="I35" s="919">
        <v>10</v>
      </c>
      <c r="J35" s="919"/>
      <c r="K35" s="919">
        <v>0</v>
      </c>
      <c r="L35" s="919"/>
      <c r="M35" s="919">
        <v>20</v>
      </c>
      <c r="N35" s="919"/>
      <c r="O35" s="83"/>
      <c r="P35" s="79"/>
      <c r="Q35" s="944"/>
      <c r="R35" s="945"/>
      <c r="S35" s="946"/>
      <c r="T35" s="916"/>
      <c r="U35" s="917"/>
      <c r="V35" s="918"/>
      <c r="W35" s="905"/>
      <c r="X35" s="906"/>
      <c r="Y35" s="906"/>
      <c r="Z35" s="964"/>
      <c r="AA35" s="965"/>
      <c r="AB35" s="971"/>
      <c r="AC35" s="964"/>
      <c r="AD35" s="965"/>
      <c r="AE35" s="966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44"/>
      <c r="R36" s="945"/>
      <c r="S36" s="946"/>
      <c r="T36" s="916"/>
      <c r="U36" s="917"/>
      <c r="V36" s="918"/>
      <c r="W36" s="905"/>
      <c r="X36" s="906"/>
      <c r="Y36" s="906"/>
      <c r="Z36" s="964"/>
      <c r="AA36" s="965"/>
      <c r="AB36" s="971"/>
      <c r="AC36" s="964"/>
      <c r="AD36" s="965"/>
      <c r="AE36" s="96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44"/>
      <c r="R37" s="945"/>
      <c r="S37" s="946"/>
      <c r="T37" s="916"/>
      <c r="U37" s="917"/>
      <c r="V37" s="918"/>
      <c r="W37" s="905"/>
      <c r="X37" s="906"/>
      <c r="Y37" s="906"/>
      <c r="Z37" s="964"/>
      <c r="AA37" s="965"/>
      <c r="AB37" s="971"/>
      <c r="AC37" s="964"/>
      <c r="AD37" s="965"/>
      <c r="AE37" s="96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44"/>
      <c r="R38" s="945"/>
      <c r="S38" s="946"/>
      <c r="T38" s="916"/>
      <c r="U38" s="917"/>
      <c r="V38" s="918"/>
      <c r="W38" s="905"/>
      <c r="X38" s="906"/>
      <c r="Y38" s="906"/>
      <c r="Z38" s="964"/>
      <c r="AA38" s="965"/>
      <c r="AB38" s="971"/>
      <c r="AC38" s="964"/>
      <c r="AD38" s="965"/>
      <c r="AE38" s="96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44"/>
      <c r="R39" s="945"/>
      <c r="S39" s="946"/>
      <c r="T39" s="916"/>
      <c r="U39" s="917"/>
      <c r="V39" s="918"/>
      <c r="W39" s="905"/>
      <c r="X39" s="906"/>
      <c r="Y39" s="906"/>
      <c r="Z39" s="964"/>
      <c r="AA39" s="965"/>
      <c r="AB39" s="971"/>
      <c r="AC39" s="964"/>
      <c r="AD39" s="965"/>
      <c r="AE39" s="96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44"/>
      <c r="R40" s="945"/>
      <c r="S40" s="946"/>
      <c r="T40" s="916"/>
      <c r="U40" s="917"/>
      <c r="V40" s="918"/>
      <c r="W40" s="905"/>
      <c r="X40" s="906"/>
      <c r="Y40" s="906"/>
      <c r="Z40" s="964"/>
      <c r="AA40" s="965"/>
      <c r="AB40" s="971"/>
      <c r="AC40" s="964"/>
      <c r="AD40" s="965"/>
      <c r="AE40" s="96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41"/>
      <c r="R41" s="942"/>
      <c r="S41" s="943"/>
      <c r="T41" s="931"/>
      <c r="U41" s="932"/>
      <c r="V41" s="933"/>
      <c r="W41" s="924"/>
      <c r="X41" s="925"/>
      <c r="Y41" s="925"/>
      <c r="Z41" s="961"/>
      <c r="AA41" s="962"/>
      <c r="AB41" s="973"/>
      <c r="AC41" s="961"/>
      <c r="AD41" s="962"/>
      <c r="AE41" s="96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41"/>
      <c r="R42" s="942"/>
      <c r="S42" s="943"/>
      <c r="T42" s="931"/>
      <c r="U42" s="932"/>
      <c r="V42" s="933"/>
      <c r="W42" s="924"/>
      <c r="X42" s="925"/>
      <c r="Y42" s="925"/>
      <c r="Z42" s="961"/>
      <c r="AA42" s="962"/>
      <c r="AB42" s="973"/>
      <c r="AC42" s="961"/>
      <c r="AD42" s="962"/>
      <c r="AE42" s="96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3"/>
      <c r="R43" s="984"/>
      <c r="S43" s="985"/>
      <c r="T43" s="916"/>
      <c r="U43" s="917"/>
      <c r="V43" s="918"/>
      <c r="W43" s="905"/>
      <c r="X43" s="906"/>
      <c r="Y43" s="906"/>
      <c r="Z43" s="964"/>
      <c r="AA43" s="965"/>
      <c r="AB43" s="971"/>
      <c r="AC43" s="964"/>
      <c r="AD43" s="965"/>
      <c r="AE43" s="96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3"/>
      <c r="R44" s="984"/>
      <c r="S44" s="985"/>
      <c r="T44" s="916"/>
      <c r="U44" s="917"/>
      <c r="V44" s="918"/>
      <c r="W44" s="905"/>
      <c r="X44" s="906"/>
      <c r="Y44" s="906"/>
      <c r="Z44" s="964"/>
      <c r="AA44" s="965"/>
      <c r="AB44" s="971"/>
      <c r="AC44" s="964"/>
      <c r="AD44" s="965"/>
      <c r="AE44" s="96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9"/>
      <c r="R45" s="900"/>
      <c r="S45" s="901"/>
      <c r="T45" s="935"/>
      <c r="U45" s="936"/>
      <c r="V45" s="937"/>
      <c r="W45" s="974"/>
      <c r="X45" s="975"/>
      <c r="Y45" s="975"/>
      <c r="Z45" s="967"/>
      <c r="AA45" s="968"/>
      <c r="AB45" s="972"/>
      <c r="AC45" s="967"/>
      <c r="AD45" s="968"/>
      <c r="AE45" s="969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02"/>
      <c r="R46" s="903"/>
      <c r="S46" s="903"/>
      <c r="T46" s="934"/>
      <c r="U46" s="934"/>
      <c r="V46" s="934"/>
      <c r="W46" s="904"/>
      <c r="X46" s="904"/>
      <c r="Y46" s="904"/>
      <c r="Z46" s="904"/>
      <c r="AA46" s="904"/>
      <c r="AB46" s="904"/>
      <c r="AC46" s="904"/>
      <c r="AD46" s="904"/>
      <c r="AE46" s="970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96"/>
      <c r="R47" s="897"/>
      <c r="S47" s="898"/>
      <c r="T47" s="926"/>
      <c r="U47" s="927"/>
      <c r="V47" s="928"/>
      <c r="W47" s="929"/>
      <c r="X47" s="930"/>
      <c r="Y47" s="930"/>
      <c r="Z47" s="950"/>
      <c r="AA47" s="951"/>
      <c r="AB47" s="952"/>
      <c r="AC47" s="950"/>
      <c r="AD47" s="951"/>
      <c r="AE47" s="953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2025-07-22T20:55:36Z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