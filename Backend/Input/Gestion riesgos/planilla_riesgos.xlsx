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ineduca.sharepoint.com/sites/PCG/Documentos compartidos/Reporte mensual -ATMM/Gestión de Riesgos/2025/Febrero/"/>
    </mc:Choice>
  </mc:AlternateContent>
  <xr:revisionPtr revIDLastSave="57" documentId="8_{8DA4E4B1-C671-4E79-8AC4-F799C28A0995}" xr6:coauthVersionLast="47" xr6:coauthVersionMax="47" xr10:uidLastSave="{60ECB98A-2E9B-48F6-B715-692A6D64E944}"/>
  <bookViews>
    <workbookView xWindow="20370" yWindow="-120" windowWidth="29040" windowHeight="15840" xr2:uid="{7D582672-387C-43DA-B99F-6DF608B8FC7C}"/>
  </bookViews>
  <sheets>
    <sheet name="Herramienta_Monitoreo" sheetId="1" r:id="rId1"/>
    <sheet name="Matrices" sheetId="2" r:id="rId2"/>
    <sheet name="datos_Grafic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D15" i="2"/>
  <c r="E15" i="2"/>
  <c r="F15" i="2"/>
  <c r="G15" i="2"/>
  <c r="H15" i="2"/>
  <c r="I15" i="2"/>
  <c r="I30" i="2"/>
  <c r="H30" i="2"/>
  <c r="G30" i="2"/>
  <c r="F30" i="2"/>
  <c r="E30" i="2"/>
  <c r="D30" i="2"/>
  <c r="C30" i="2"/>
</calcChain>
</file>

<file path=xl/sharedStrings.xml><?xml version="1.0" encoding="utf-8"?>
<sst xmlns="http://schemas.openxmlformats.org/spreadsheetml/2006/main" count="76" uniqueCount="52">
  <si>
    <t>Herramientas del Proceso de Gestión de Riesgo</t>
  </si>
  <si>
    <t xml:space="preserve">Instrumentos </t>
  </si>
  <si>
    <t xml:space="preserve">Estado </t>
  </si>
  <si>
    <t>Año última actualización</t>
  </si>
  <si>
    <t>Política de Gestión de Riesgos</t>
  </si>
  <si>
    <t>Ranking de Procesos</t>
  </si>
  <si>
    <t>Matriz de Riesgos</t>
  </si>
  <si>
    <t>Ranking de Riesgos</t>
  </si>
  <si>
    <t>Señales de Alerta - Asociadas a MR</t>
  </si>
  <si>
    <t>Señales de Alerta - No Asociadas a MR</t>
  </si>
  <si>
    <t>Plan de Tratamiento de Riesgos</t>
  </si>
  <si>
    <t>Plan de Comunicaciones y Consulta</t>
  </si>
  <si>
    <t>Monitoreo Plan de Tratamiento de Riesgos 2024</t>
  </si>
  <si>
    <t>Tipo de Riesgos</t>
  </si>
  <si>
    <t>Cantidad de Riesgos</t>
  </si>
  <si>
    <t>Estado</t>
  </si>
  <si>
    <t>Financieros</t>
  </si>
  <si>
    <t>Estratégicos</t>
  </si>
  <si>
    <t xml:space="preserve">Institucionales </t>
  </si>
  <si>
    <t>Señales de Alerta</t>
  </si>
  <si>
    <t>Señales de Alerta no asociadas a MR</t>
  </si>
  <si>
    <t xml:space="preserve">Matriz de Riesgos 2024 – Subsecretaría de Educación </t>
  </si>
  <si>
    <t>Nombre del CR</t>
  </si>
  <si>
    <t>Cantidad de Procesos</t>
  </si>
  <si>
    <t>Cantidad de Subprocesos</t>
  </si>
  <si>
    <t>Cantidad de Etapas</t>
  </si>
  <si>
    <t>Riesgos</t>
  </si>
  <si>
    <t xml:space="preserve">Riesgos Financieros </t>
  </si>
  <si>
    <t>Riesgos Estratégicos</t>
  </si>
  <si>
    <t xml:space="preserve">Señales de Alerta </t>
  </si>
  <si>
    <t>CPEIP</t>
  </si>
  <si>
    <t>DAG</t>
  </si>
  <si>
    <t>DEG</t>
  </si>
  <si>
    <t>DIPLAP</t>
  </si>
  <si>
    <t xml:space="preserve">Ciberseguridad </t>
  </si>
  <si>
    <t>GabMin Estudios</t>
  </si>
  <si>
    <t>Jurídica</t>
  </si>
  <si>
    <t>UCE</t>
  </si>
  <si>
    <t>Ayuda MINEDUC</t>
  </si>
  <si>
    <t>Total</t>
  </si>
  <si>
    <t>Riesgos por CR que deben comprometer Planes de Tratamiento para el año 2024</t>
  </si>
  <si>
    <t>RE</t>
  </si>
  <si>
    <t>RE/SA</t>
  </si>
  <si>
    <t>RF</t>
  </si>
  <si>
    <t>RF/SA</t>
  </si>
  <si>
    <t>RI</t>
  </si>
  <si>
    <t>RI/SA</t>
  </si>
  <si>
    <t>Probabilidad</t>
  </si>
  <si>
    <t>Impacto</t>
  </si>
  <si>
    <t>Pendiente actualizar</t>
  </si>
  <si>
    <t xml:space="preserve">Actualizado </t>
  </si>
  <si>
    <t>Se realizará monitoreo con corte al 31/03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</si>
</sst>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Helvetica Narrow"/>
      <family val="2"/>
    </font>
    <font>
      <b/>
      <sz val="11"/>
      <color theme="0"/>
      <name val="Helvetica Narrow"/>
      <family val="2"/>
    </font>
    <font>
      <sz val="11"/>
      <color theme="1"/>
      <name val="Helvetica Narrow"/>
      <family val="2"/>
    </font>
    <font>
      <b/>
      <sz val="12"/>
      <color rgb="FFFFFFFF"/>
      <name val="Calibri Light"/>
      <family val="2"/>
    </font>
    <font>
      <b/>
      <sz val="14"/>
      <color rgb="FFFFFFFF"/>
      <name val="Calibri Light"/>
      <family val="2"/>
    </font>
    <font>
      <b/>
      <sz val="11"/>
      <color rgb="FFFFFFFF"/>
      <name val="Calibri Light"/>
      <family val="2"/>
    </font>
    <font>
      <b/>
      <sz val="14"/>
      <color rgb="FF000000"/>
      <name val="Calibri Light"/>
      <family val="2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000000"/>
      <name val="Calibri Ligh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3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3" borderId="15" xfId="0" applyFont="1" applyFill="1" applyBorder="1" applyAlignment="1">
      <alignment horizontal="center" vertical="center" wrapText="1" readingOrder="1"/>
    </xf>
    <xf numFmtId="0" fontId="9" fillId="4" borderId="1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 wrapText="1" readingOrder="1"/>
    </xf>
    <xf numFmtId="0" fontId="9" fillId="4" borderId="16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 wrapText="1" readingOrder="1"/>
    </xf>
    <xf numFmtId="0" fontId="7" fillId="3" borderId="14" xfId="0" applyFont="1" applyFill="1" applyBorder="1" applyAlignment="1">
      <alignment vertical="center" wrapText="1" readingOrder="1"/>
    </xf>
    <xf numFmtId="0" fontId="10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4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 readingOrder="1"/>
    </xf>
    <xf numFmtId="0" fontId="11" fillId="0" borderId="29" xfId="0" applyFont="1" applyBorder="1" applyAlignment="1">
      <alignment horizontal="center" vertical="center" wrapText="1" readingOrder="1"/>
    </xf>
    <xf numFmtId="0" fontId="11" fillId="0" borderId="30" xfId="0" applyFont="1" applyBorder="1" applyAlignment="1">
      <alignment horizontal="center" vertical="center" wrapText="1" readingOrder="1"/>
    </xf>
    <xf numFmtId="0" fontId="11" fillId="0" borderId="3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 readingOrder="1"/>
    </xf>
    <xf numFmtId="0" fontId="5" fillId="3" borderId="13" xfId="0" applyFont="1" applyFill="1" applyBorder="1" applyAlignment="1">
      <alignment horizontal="center" vertical="center" wrapText="1" readingOrder="1"/>
    </xf>
    <xf numFmtId="0" fontId="6" fillId="3" borderId="9" xfId="0" applyFont="1" applyFill="1" applyBorder="1" applyAlignment="1">
      <alignment horizontal="center" vertical="center" wrapText="1" readingOrder="1"/>
    </xf>
    <xf numFmtId="0" fontId="6" fillId="3" borderId="23" xfId="0" applyFont="1" applyFill="1" applyBorder="1" applyAlignment="1">
      <alignment horizontal="center" vertical="center" wrapText="1" readingOrder="1"/>
    </xf>
    <xf numFmtId="0" fontId="6" fillId="3" borderId="24" xfId="0" applyFont="1" applyFill="1" applyBorder="1" applyAlignment="1">
      <alignment horizontal="center" vertical="center" wrapText="1" readingOrder="1"/>
    </xf>
    <xf numFmtId="0" fontId="6" fillId="3" borderId="25" xfId="0" applyFont="1" applyFill="1" applyBorder="1" applyAlignment="1">
      <alignment horizontal="center" vertical="center" wrapText="1" readingOrder="1"/>
    </xf>
    <xf numFmtId="0" fontId="6" fillId="3" borderId="21" xfId="0" applyFont="1" applyFill="1" applyBorder="1" applyAlignment="1">
      <alignment horizontal="center" vertical="center" wrapText="1" readingOrder="1"/>
    </xf>
    <xf numFmtId="0" fontId="6" fillId="3" borderId="22" xfId="0" applyFont="1" applyFill="1" applyBorder="1" applyAlignment="1">
      <alignment horizontal="center" vertical="center" wrapText="1" readingOrder="1"/>
    </xf>
    <xf numFmtId="0" fontId="6" fillId="3" borderId="18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285E-FD57-4D3B-B6AD-0131CE74D42F}">
  <dimension ref="B2:D20"/>
  <sheetViews>
    <sheetView tabSelected="1" workbookViewId="0">
      <selection activeCell="J15" sqref="J15"/>
    </sheetView>
  </sheetViews>
  <sheetFormatPr baseColWidth="10" defaultColWidth="11.42578125" defaultRowHeight="15"/>
  <cols>
    <col min="1" max="1" width="4.28515625" customWidth="1"/>
    <col min="2" max="2" width="39.140625" customWidth="1"/>
    <col min="3" max="4" width="23.28515625" customWidth="1"/>
  </cols>
  <sheetData>
    <row r="2" spans="2:4" ht="15.75" thickBot="1"/>
    <row r="3" spans="2:4" ht="18">
      <c r="B3" s="38" t="s">
        <v>0</v>
      </c>
      <c r="C3" s="39"/>
      <c r="D3" s="39"/>
    </row>
    <row r="4" spans="2:4" ht="30.75" thickBot="1">
      <c r="B4" s="1" t="s">
        <v>1</v>
      </c>
      <c r="C4" s="2" t="s">
        <v>2</v>
      </c>
      <c r="D4" s="3" t="s">
        <v>3</v>
      </c>
    </row>
    <row r="5" spans="2:4">
      <c r="B5" s="4" t="s">
        <v>4</v>
      </c>
      <c r="C5" s="33" t="s">
        <v>49</v>
      </c>
      <c r="D5" s="5">
        <v>2019</v>
      </c>
    </row>
    <row r="6" spans="2:4">
      <c r="B6" s="4" t="s">
        <v>5</v>
      </c>
      <c r="C6" s="33" t="s">
        <v>50</v>
      </c>
      <c r="D6" s="6">
        <v>2024</v>
      </c>
    </row>
    <row r="7" spans="2:4">
      <c r="B7" s="4" t="s">
        <v>6</v>
      </c>
      <c r="C7" s="33" t="s">
        <v>50</v>
      </c>
      <c r="D7" s="6">
        <v>2024</v>
      </c>
    </row>
    <row r="8" spans="2:4">
      <c r="B8" s="4" t="s">
        <v>7</v>
      </c>
      <c r="C8" s="33" t="s">
        <v>50</v>
      </c>
      <c r="D8" s="6">
        <v>2024</v>
      </c>
    </row>
    <row r="9" spans="2:4">
      <c r="B9" s="8" t="s">
        <v>8</v>
      </c>
      <c r="C9" s="33" t="s">
        <v>50</v>
      </c>
      <c r="D9" s="6">
        <v>2024</v>
      </c>
    </row>
    <row r="10" spans="2:4">
      <c r="B10" s="4" t="s">
        <v>9</v>
      </c>
      <c r="C10" s="33" t="s">
        <v>50</v>
      </c>
      <c r="D10" s="6">
        <v>2024</v>
      </c>
    </row>
    <row r="11" spans="2:4">
      <c r="B11" s="4" t="s">
        <v>10</v>
      </c>
      <c r="C11" s="33" t="s">
        <v>50</v>
      </c>
      <c r="D11" s="6">
        <v>2024</v>
      </c>
    </row>
    <row r="12" spans="2:4" ht="15.75" thickBot="1">
      <c r="B12" s="9" t="s">
        <v>11</v>
      </c>
      <c r="C12" s="33" t="s">
        <v>50</v>
      </c>
      <c r="D12" s="6">
        <v>2024</v>
      </c>
    </row>
    <row r="13" spans="2:4" ht="15.75" thickBot="1"/>
    <row r="14" spans="2:4" ht="18">
      <c r="B14" s="40" t="s">
        <v>12</v>
      </c>
      <c r="C14" s="41"/>
      <c r="D14" s="41"/>
    </row>
    <row r="15" spans="2:4" ht="15.75" customHeight="1">
      <c r="B15" s="10" t="s">
        <v>13</v>
      </c>
      <c r="C15" s="11" t="s">
        <v>14</v>
      </c>
      <c r="D15" s="12" t="s">
        <v>15</v>
      </c>
    </row>
    <row r="16" spans="2:4" ht="28.5" customHeight="1">
      <c r="B16" s="13" t="s">
        <v>16</v>
      </c>
      <c r="C16" s="7">
        <v>16</v>
      </c>
      <c r="D16" s="52" t="s">
        <v>51</v>
      </c>
    </row>
    <row r="17" spans="2:4" ht="28.5" customHeight="1">
      <c r="B17" s="13" t="s">
        <v>17</v>
      </c>
      <c r="C17" s="14">
        <v>13</v>
      </c>
      <c r="D17" s="52" t="s">
        <v>51</v>
      </c>
    </row>
    <row r="18" spans="2:4" ht="30.75" customHeight="1">
      <c r="B18" s="13" t="s">
        <v>18</v>
      </c>
      <c r="C18" s="14">
        <v>35</v>
      </c>
      <c r="D18" s="52" t="s">
        <v>51</v>
      </c>
    </row>
    <row r="19" spans="2:4" ht="27" customHeight="1">
      <c r="B19" s="13" t="s">
        <v>19</v>
      </c>
      <c r="C19" s="14">
        <v>21</v>
      </c>
      <c r="D19" s="52" t="s">
        <v>51</v>
      </c>
    </row>
    <row r="20" spans="2:4" ht="31.5" customHeight="1" thickBot="1">
      <c r="B20" s="15" t="s">
        <v>20</v>
      </c>
      <c r="C20" s="16">
        <v>2</v>
      </c>
      <c r="D20" s="52" t="s">
        <v>51</v>
      </c>
    </row>
  </sheetData>
  <mergeCells count="2">
    <mergeCell ref="B3:D3"/>
    <mergeCell ref="B14:D14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A596-EC53-4E33-BA7E-29D0EF20E871}">
  <dimension ref="B2:I30"/>
  <sheetViews>
    <sheetView zoomScaleNormal="100" workbookViewId="0">
      <selection activeCell="L18" sqref="L18"/>
    </sheetView>
  </sheetViews>
  <sheetFormatPr baseColWidth="10" defaultColWidth="11.42578125" defaultRowHeight="15"/>
  <cols>
    <col min="1" max="1" width="11.42578125" customWidth="1"/>
    <col min="2" max="2" width="19.28515625" customWidth="1"/>
    <col min="3" max="3" width="17" customWidth="1"/>
  </cols>
  <sheetData>
    <row r="2" spans="2:9" ht="15.75" thickBot="1"/>
    <row r="3" spans="2:9" ht="15.75">
      <c r="B3" s="42" t="s">
        <v>21</v>
      </c>
      <c r="C3" s="43"/>
      <c r="D3" s="43"/>
      <c r="E3" s="43"/>
      <c r="F3" s="43"/>
      <c r="G3" s="43"/>
      <c r="H3" s="43"/>
      <c r="I3" s="43"/>
    </row>
    <row r="4" spans="2:9" ht="18.75" customHeight="1">
      <c r="B4" s="48" t="s">
        <v>22</v>
      </c>
      <c r="C4" s="50" t="s">
        <v>23</v>
      </c>
      <c r="D4" s="50" t="s">
        <v>24</v>
      </c>
      <c r="E4" s="50" t="s">
        <v>25</v>
      </c>
      <c r="F4" s="44" t="s">
        <v>26</v>
      </c>
      <c r="G4" s="44"/>
      <c r="H4" s="44"/>
      <c r="I4" s="44"/>
    </row>
    <row r="5" spans="2:9" ht="15" customHeight="1">
      <c r="B5" s="49"/>
      <c r="C5" s="51"/>
      <c r="D5" s="51"/>
      <c r="E5" s="51"/>
      <c r="F5" s="25" t="s">
        <v>14</v>
      </c>
      <c r="G5" s="19" t="s">
        <v>27</v>
      </c>
      <c r="H5" s="19" t="s">
        <v>28</v>
      </c>
      <c r="I5" s="19" t="s">
        <v>29</v>
      </c>
    </row>
    <row r="6" spans="2:9" ht="18.75">
      <c r="B6" s="23" t="s">
        <v>30</v>
      </c>
      <c r="C6" s="34">
        <v>4</v>
      </c>
      <c r="D6" s="34">
        <v>8</v>
      </c>
      <c r="E6" s="34">
        <v>30</v>
      </c>
      <c r="F6" s="34">
        <v>53</v>
      </c>
      <c r="G6" s="34">
        <v>0</v>
      </c>
      <c r="H6" s="34">
        <v>8</v>
      </c>
      <c r="I6" s="34">
        <v>2</v>
      </c>
    </row>
    <row r="7" spans="2:9" ht="18.75">
      <c r="B7" s="23" t="s">
        <v>31</v>
      </c>
      <c r="C7" s="34">
        <v>11</v>
      </c>
      <c r="D7" s="34">
        <v>30</v>
      </c>
      <c r="E7" s="34">
        <v>105</v>
      </c>
      <c r="F7" s="34">
        <v>105</v>
      </c>
      <c r="G7" s="34">
        <v>8</v>
      </c>
      <c r="H7" s="34">
        <v>0</v>
      </c>
      <c r="I7" s="34">
        <v>4</v>
      </c>
    </row>
    <row r="8" spans="2:9" ht="18.75">
      <c r="B8" s="23" t="s">
        <v>32</v>
      </c>
      <c r="C8" s="34">
        <v>19</v>
      </c>
      <c r="D8" s="34">
        <v>58</v>
      </c>
      <c r="E8" s="34">
        <v>99</v>
      </c>
      <c r="F8" s="34">
        <v>107</v>
      </c>
      <c r="G8" s="34">
        <v>8</v>
      </c>
      <c r="H8" s="34">
        <v>6</v>
      </c>
      <c r="I8" s="34">
        <v>7</v>
      </c>
    </row>
    <row r="9" spans="2:9" ht="18.75">
      <c r="B9" s="23" t="s">
        <v>33</v>
      </c>
      <c r="C9" s="34">
        <v>15</v>
      </c>
      <c r="D9" s="34">
        <v>49</v>
      </c>
      <c r="E9" s="34">
        <v>127</v>
      </c>
      <c r="F9" s="34">
        <v>134</v>
      </c>
      <c r="G9" s="34">
        <v>12</v>
      </c>
      <c r="H9" s="34">
        <v>5</v>
      </c>
      <c r="I9" s="34">
        <v>7</v>
      </c>
    </row>
    <row r="10" spans="2:9" ht="18.75" customHeight="1">
      <c r="B10" s="23" t="s">
        <v>34</v>
      </c>
      <c r="C10" s="34">
        <v>1</v>
      </c>
      <c r="D10" s="34">
        <v>2</v>
      </c>
      <c r="E10" s="34">
        <v>4</v>
      </c>
      <c r="F10" s="34">
        <v>4</v>
      </c>
      <c r="G10" s="34">
        <v>0</v>
      </c>
      <c r="H10" s="34">
        <v>2</v>
      </c>
      <c r="I10" s="34">
        <v>2</v>
      </c>
    </row>
    <row r="11" spans="2:9" ht="18.75" customHeight="1">
      <c r="B11" s="23" t="s">
        <v>35</v>
      </c>
      <c r="C11" s="34">
        <v>5</v>
      </c>
      <c r="D11" s="34">
        <v>8</v>
      </c>
      <c r="E11" s="34">
        <v>22</v>
      </c>
      <c r="F11" s="34">
        <v>22</v>
      </c>
      <c r="G11" s="34">
        <v>0</v>
      </c>
      <c r="H11" s="34">
        <v>2</v>
      </c>
      <c r="I11" s="34">
        <v>0</v>
      </c>
    </row>
    <row r="12" spans="2:9" ht="18.75">
      <c r="B12" s="23" t="s">
        <v>36</v>
      </c>
      <c r="C12" s="34">
        <v>9</v>
      </c>
      <c r="D12" s="34">
        <v>22</v>
      </c>
      <c r="E12" s="34">
        <v>32</v>
      </c>
      <c r="F12" s="34">
        <v>33</v>
      </c>
      <c r="G12" s="34">
        <v>0</v>
      </c>
      <c r="H12" s="34">
        <v>0</v>
      </c>
      <c r="I12" s="34">
        <v>0</v>
      </c>
    </row>
    <row r="13" spans="2:9" ht="18.75">
      <c r="B13" s="23" t="s">
        <v>37</v>
      </c>
      <c r="C13" s="34">
        <v>3</v>
      </c>
      <c r="D13" s="34">
        <v>8</v>
      </c>
      <c r="E13" s="34">
        <v>50</v>
      </c>
      <c r="F13" s="34">
        <v>62</v>
      </c>
      <c r="G13" s="34">
        <v>0</v>
      </c>
      <c r="H13" s="34">
        <v>10</v>
      </c>
      <c r="I13" s="34">
        <v>11</v>
      </c>
    </row>
    <row r="14" spans="2:9" ht="18.75" customHeight="1">
      <c r="B14" s="23" t="s">
        <v>38</v>
      </c>
      <c r="C14" s="34">
        <v>1</v>
      </c>
      <c r="D14" s="34">
        <v>2</v>
      </c>
      <c r="E14" s="34">
        <v>4</v>
      </c>
      <c r="F14" s="34">
        <v>6</v>
      </c>
      <c r="G14" s="34">
        <v>0</v>
      </c>
      <c r="H14" s="34">
        <v>0</v>
      </c>
      <c r="I14" s="34">
        <v>3</v>
      </c>
    </row>
    <row r="15" spans="2:9" ht="21.75" thickBot="1">
      <c r="B15" s="24" t="s">
        <v>39</v>
      </c>
      <c r="C15" s="21">
        <f t="shared" ref="C15:I15" si="0">SUM(C6:C14)</f>
        <v>68</v>
      </c>
      <c r="D15" s="21">
        <f t="shared" si="0"/>
        <v>187</v>
      </c>
      <c r="E15" s="22">
        <f t="shared" si="0"/>
        <v>473</v>
      </c>
      <c r="F15" s="22">
        <f t="shared" si="0"/>
        <v>526</v>
      </c>
      <c r="G15" s="22">
        <f t="shared" si="0"/>
        <v>28</v>
      </c>
      <c r="H15" s="22">
        <f t="shared" si="0"/>
        <v>33</v>
      </c>
      <c r="I15" s="21">
        <f t="shared" si="0"/>
        <v>36</v>
      </c>
    </row>
    <row r="17" spans="2:9" ht="15.75" thickBot="1"/>
    <row r="18" spans="2:9" ht="18.75" customHeight="1">
      <c r="B18" s="45" t="s">
        <v>40</v>
      </c>
      <c r="C18" s="46"/>
      <c r="D18" s="46"/>
      <c r="E18" s="46"/>
      <c r="F18" s="46"/>
      <c r="G18" s="46"/>
      <c r="H18" s="46"/>
      <c r="I18" s="47"/>
    </row>
    <row r="19" spans="2:9" ht="15" customHeight="1">
      <c r="B19" s="26" t="s">
        <v>22</v>
      </c>
      <c r="C19" s="19" t="s">
        <v>41</v>
      </c>
      <c r="D19" s="19" t="s">
        <v>42</v>
      </c>
      <c r="E19" s="19" t="s">
        <v>43</v>
      </c>
      <c r="F19" s="19" t="s">
        <v>44</v>
      </c>
      <c r="G19" s="19" t="s">
        <v>45</v>
      </c>
      <c r="H19" s="19" t="s">
        <v>46</v>
      </c>
      <c r="I19" s="20" t="s">
        <v>39</v>
      </c>
    </row>
    <row r="20" spans="2:9">
      <c r="B20" s="26"/>
      <c r="C20" s="19"/>
      <c r="D20" s="19"/>
      <c r="E20" s="19"/>
      <c r="F20" s="19"/>
      <c r="G20" s="19"/>
      <c r="H20" s="19"/>
      <c r="I20" s="20"/>
    </row>
    <row r="21" spans="2:9">
      <c r="B21" s="17" t="s">
        <v>30</v>
      </c>
      <c r="C21" s="35">
        <v>3</v>
      </c>
      <c r="D21" s="36">
        <v>1</v>
      </c>
      <c r="E21" s="35">
        <v>0</v>
      </c>
      <c r="F21" s="36">
        <v>0</v>
      </c>
      <c r="G21" s="35">
        <v>3</v>
      </c>
      <c r="H21" s="36">
        <v>0</v>
      </c>
      <c r="I21" s="37">
        <v>6</v>
      </c>
    </row>
    <row r="22" spans="2:9">
      <c r="B22" s="17" t="s">
        <v>31</v>
      </c>
      <c r="C22" s="35">
        <v>0</v>
      </c>
      <c r="D22" s="36">
        <v>0</v>
      </c>
      <c r="E22" s="35">
        <v>9</v>
      </c>
      <c r="F22" s="36">
        <v>3</v>
      </c>
      <c r="G22" s="35">
        <v>2</v>
      </c>
      <c r="H22" s="36">
        <v>1</v>
      </c>
      <c r="I22" s="37">
        <v>11</v>
      </c>
    </row>
    <row r="23" spans="2:9">
      <c r="B23" s="17" t="s">
        <v>32</v>
      </c>
      <c r="C23" s="35">
        <v>1</v>
      </c>
      <c r="D23" s="36">
        <v>0</v>
      </c>
      <c r="E23" s="35">
        <v>3</v>
      </c>
      <c r="F23" s="36">
        <v>4</v>
      </c>
      <c r="G23" s="35">
        <v>2</v>
      </c>
      <c r="H23" s="36">
        <v>0</v>
      </c>
      <c r="I23" s="37">
        <v>6</v>
      </c>
    </row>
    <row r="24" spans="2:9">
      <c r="B24" s="17" t="s">
        <v>33</v>
      </c>
      <c r="C24" s="35">
        <v>2</v>
      </c>
      <c r="D24" s="36">
        <v>0</v>
      </c>
      <c r="E24" s="35">
        <v>4</v>
      </c>
      <c r="F24" s="36">
        <v>2</v>
      </c>
      <c r="G24" s="35">
        <v>9</v>
      </c>
      <c r="H24" s="36">
        <v>2</v>
      </c>
      <c r="I24" s="37">
        <v>15</v>
      </c>
    </row>
    <row r="25" spans="2:9">
      <c r="B25" s="17" t="s">
        <v>34</v>
      </c>
      <c r="C25" s="35">
        <v>2</v>
      </c>
      <c r="D25" s="36">
        <v>2</v>
      </c>
      <c r="E25" s="35">
        <v>0</v>
      </c>
      <c r="F25" s="36">
        <v>0</v>
      </c>
      <c r="G25" s="35">
        <v>1</v>
      </c>
      <c r="H25" s="36">
        <v>1</v>
      </c>
      <c r="I25" s="37">
        <v>3</v>
      </c>
    </row>
    <row r="26" spans="2:9">
      <c r="B26" s="17" t="s">
        <v>35</v>
      </c>
      <c r="C26" s="35">
        <v>1</v>
      </c>
      <c r="D26" s="36">
        <v>0</v>
      </c>
      <c r="E26" s="35">
        <v>0</v>
      </c>
      <c r="F26" s="36">
        <v>0</v>
      </c>
      <c r="G26" s="35">
        <v>4</v>
      </c>
      <c r="H26" s="36">
        <v>0</v>
      </c>
      <c r="I26" s="37">
        <v>5</v>
      </c>
    </row>
    <row r="27" spans="2:9">
      <c r="B27" s="17" t="s">
        <v>36</v>
      </c>
      <c r="C27" s="35">
        <v>0</v>
      </c>
      <c r="D27" s="36">
        <v>0</v>
      </c>
      <c r="E27" s="35">
        <v>0</v>
      </c>
      <c r="F27" s="36">
        <v>0</v>
      </c>
      <c r="G27" s="35">
        <v>5</v>
      </c>
      <c r="H27" s="36">
        <v>0</v>
      </c>
      <c r="I27" s="37">
        <v>5</v>
      </c>
    </row>
    <row r="28" spans="2:9">
      <c r="B28" s="17" t="s">
        <v>37</v>
      </c>
      <c r="C28" s="35">
        <v>4</v>
      </c>
      <c r="D28" s="36">
        <v>1</v>
      </c>
      <c r="E28" s="35">
        <v>0</v>
      </c>
      <c r="F28" s="36">
        <v>0</v>
      </c>
      <c r="G28" s="35">
        <v>6</v>
      </c>
      <c r="H28" s="36">
        <v>1</v>
      </c>
      <c r="I28" s="37">
        <v>10</v>
      </c>
    </row>
    <row r="29" spans="2:9">
      <c r="B29" s="17" t="s">
        <v>38</v>
      </c>
      <c r="C29" s="35">
        <v>0</v>
      </c>
      <c r="D29" s="36">
        <v>0</v>
      </c>
      <c r="E29" s="35">
        <v>0</v>
      </c>
      <c r="F29" s="36">
        <v>0</v>
      </c>
      <c r="G29" s="35">
        <v>3</v>
      </c>
      <c r="H29" s="36">
        <v>3</v>
      </c>
      <c r="I29" s="37">
        <v>3</v>
      </c>
    </row>
    <row r="30" spans="2:9" ht="19.5" thickBot="1">
      <c r="B30" s="27" t="s">
        <v>39</v>
      </c>
      <c r="C30" s="28">
        <f t="shared" ref="C30:I30" si="1">SUM(C21:C29)</f>
        <v>13</v>
      </c>
      <c r="D30" s="28">
        <f t="shared" si="1"/>
        <v>4</v>
      </c>
      <c r="E30" s="28">
        <f t="shared" si="1"/>
        <v>16</v>
      </c>
      <c r="F30" s="28">
        <f t="shared" si="1"/>
        <v>9</v>
      </c>
      <c r="G30" s="28">
        <f t="shared" si="1"/>
        <v>35</v>
      </c>
      <c r="H30" s="28">
        <f t="shared" si="1"/>
        <v>8</v>
      </c>
      <c r="I30" s="18">
        <f t="shared" si="1"/>
        <v>64</v>
      </c>
    </row>
  </sheetData>
  <mergeCells count="7">
    <mergeCell ref="B3:I3"/>
    <mergeCell ref="F4:I4"/>
    <mergeCell ref="B18:I18"/>
    <mergeCell ref="B4:B5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15E2-BB19-465B-B43E-26B453B13A1E}">
  <dimension ref="B3:D28"/>
  <sheetViews>
    <sheetView workbookViewId="0">
      <selection activeCell="F34" sqref="F34"/>
    </sheetView>
  </sheetViews>
  <sheetFormatPr baseColWidth="10" defaultColWidth="11.42578125" defaultRowHeight="15"/>
  <cols>
    <col min="2" max="2" width="14.5703125" customWidth="1"/>
  </cols>
  <sheetData>
    <row r="3" spans="2:4">
      <c r="B3" s="29" t="s">
        <v>47</v>
      </c>
      <c r="C3" s="29" t="s">
        <v>48</v>
      </c>
      <c r="D3" s="30" t="s">
        <v>39</v>
      </c>
    </row>
    <row r="4" spans="2:4">
      <c r="B4" s="31">
        <v>1</v>
      </c>
      <c r="C4" s="31">
        <v>1</v>
      </c>
      <c r="D4" s="32">
        <v>29</v>
      </c>
    </row>
    <row r="5" spans="2:4">
      <c r="B5" s="31">
        <v>2</v>
      </c>
      <c r="C5" s="31">
        <v>1</v>
      </c>
      <c r="D5" s="32">
        <v>11</v>
      </c>
    </row>
    <row r="6" spans="2:4">
      <c r="B6" s="31">
        <v>3</v>
      </c>
      <c r="C6" s="31">
        <v>1</v>
      </c>
      <c r="D6" s="32">
        <v>3</v>
      </c>
    </row>
    <row r="7" spans="2:4">
      <c r="B7" s="31">
        <v>4</v>
      </c>
      <c r="C7" s="31">
        <v>1</v>
      </c>
      <c r="D7" s="32">
        <v>1</v>
      </c>
    </row>
    <row r="8" spans="2:4">
      <c r="B8" s="31">
        <v>5</v>
      </c>
      <c r="C8" s="31">
        <v>1</v>
      </c>
      <c r="D8" s="32">
        <v>0</v>
      </c>
    </row>
    <row r="9" spans="2:4">
      <c r="B9" s="31">
        <v>1</v>
      </c>
      <c r="C9" s="31">
        <v>2</v>
      </c>
      <c r="D9" s="32">
        <v>22</v>
      </c>
    </row>
    <row r="10" spans="2:4">
      <c r="B10" s="31">
        <v>2</v>
      </c>
      <c r="C10" s="31">
        <v>2</v>
      </c>
      <c r="D10" s="32">
        <v>55</v>
      </c>
    </row>
    <row r="11" spans="2:4">
      <c r="B11" s="31">
        <v>3</v>
      </c>
      <c r="C11" s="31">
        <v>2</v>
      </c>
      <c r="D11" s="32">
        <v>33</v>
      </c>
    </row>
    <row r="12" spans="2:4">
      <c r="B12" s="31">
        <v>4</v>
      </c>
      <c r="C12" s="31">
        <v>2</v>
      </c>
      <c r="D12" s="32">
        <v>14</v>
      </c>
    </row>
    <row r="13" spans="2:4">
      <c r="B13" s="31">
        <v>5</v>
      </c>
      <c r="C13" s="31">
        <v>2</v>
      </c>
      <c r="D13" s="32">
        <v>0</v>
      </c>
    </row>
    <row r="14" spans="2:4">
      <c r="B14" s="31">
        <v>1</v>
      </c>
      <c r="C14" s="31">
        <v>3</v>
      </c>
      <c r="D14" s="32">
        <v>25</v>
      </c>
    </row>
    <row r="15" spans="2:4">
      <c r="B15" s="31">
        <v>2</v>
      </c>
      <c r="C15" s="31">
        <v>3</v>
      </c>
      <c r="D15" s="32">
        <v>72</v>
      </c>
    </row>
    <row r="16" spans="2:4">
      <c r="B16" s="31">
        <v>3</v>
      </c>
      <c r="C16" s="31">
        <v>3</v>
      </c>
      <c r="D16" s="32">
        <v>96</v>
      </c>
    </row>
    <row r="17" spans="2:4">
      <c r="B17" s="31">
        <v>4</v>
      </c>
      <c r="C17" s="31">
        <v>3</v>
      </c>
      <c r="D17" s="32">
        <v>21</v>
      </c>
    </row>
    <row r="18" spans="2:4">
      <c r="B18" s="31">
        <v>5</v>
      </c>
      <c r="C18" s="31">
        <v>3</v>
      </c>
      <c r="D18" s="32">
        <v>2</v>
      </c>
    </row>
    <row r="19" spans="2:4">
      <c r="B19" s="31">
        <v>1</v>
      </c>
      <c r="C19" s="31">
        <v>4</v>
      </c>
      <c r="D19" s="32">
        <v>22</v>
      </c>
    </row>
    <row r="20" spans="2:4">
      <c r="B20" s="31">
        <v>2</v>
      </c>
      <c r="C20" s="31">
        <v>4</v>
      </c>
      <c r="D20" s="32">
        <v>31</v>
      </c>
    </row>
    <row r="21" spans="2:4">
      <c r="B21" s="31">
        <v>3</v>
      </c>
      <c r="C21" s="31">
        <v>4</v>
      </c>
      <c r="D21" s="32">
        <v>45</v>
      </c>
    </row>
    <row r="22" spans="2:4">
      <c r="B22" s="31">
        <v>4</v>
      </c>
      <c r="C22" s="31">
        <v>4</v>
      </c>
      <c r="D22" s="32">
        <v>18</v>
      </c>
    </row>
    <row r="23" spans="2:4">
      <c r="B23" s="31">
        <v>5</v>
      </c>
      <c r="C23" s="31">
        <v>4</v>
      </c>
      <c r="D23" s="32">
        <v>0</v>
      </c>
    </row>
    <row r="24" spans="2:4">
      <c r="B24" s="31">
        <v>1</v>
      </c>
      <c r="C24" s="31">
        <v>5</v>
      </c>
      <c r="D24" s="32">
        <v>14</v>
      </c>
    </row>
    <row r="25" spans="2:4">
      <c r="B25" s="31">
        <v>2</v>
      </c>
      <c r="C25" s="31">
        <v>5</v>
      </c>
      <c r="D25" s="32">
        <v>10</v>
      </c>
    </row>
    <row r="26" spans="2:4">
      <c r="B26" s="31">
        <v>3</v>
      </c>
      <c r="C26" s="31">
        <v>5</v>
      </c>
      <c r="D26" s="32">
        <v>2</v>
      </c>
    </row>
    <row r="27" spans="2:4">
      <c r="B27" s="31">
        <v>4</v>
      </c>
      <c r="C27" s="31">
        <v>5</v>
      </c>
      <c r="D27" s="32">
        <v>0</v>
      </c>
    </row>
    <row r="28" spans="2:4">
      <c r="B28" s="31">
        <v>5</v>
      </c>
      <c r="C28" s="31">
        <v>5</v>
      </c>
      <c r="D28" s="3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  <orden xmlns="cc851cf5-9d25-4af0-b62f-d23d0a4f5e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22" ma:contentTypeDescription="Crear nuevo documento." ma:contentTypeScope="" ma:versionID="99316247900046118e13a249c2e2a979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18ff31ee8df8f768b70ea272e17d0eb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internalName="orden" ma:percentage="FALSE">
      <xsd:simpleType>
        <xsd:restriction base="dms:Number">
          <xsd:maxInclusive value="12"/>
          <xsd:minInclusive value="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04A5F-AA73-4640-9A45-FA0463B4A2FA}">
  <ds:schemaRefs>
    <ds:schemaRef ds:uri="http://schemas.microsoft.com/office/2006/metadata/properties"/>
    <ds:schemaRef ds:uri="http://schemas.microsoft.com/office/infopath/2007/PartnerControls"/>
    <ds:schemaRef ds:uri="cc851cf5-9d25-4af0-b62f-d23d0a4f5e5c"/>
    <ds:schemaRef ds:uri="954542bb-2825-439d-9db6-a5c04d3b21fd"/>
  </ds:schemaRefs>
</ds:datastoreItem>
</file>

<file path=customXml/itemProps2.xml><?xml version="1.0" encoding="utf-8"?>
<ds:datastoreItem xmlns:ds="http://schemas.openxmlformats.org/officeDocument/2006/customXml" ds:itemID="{4DD7C8A8-5791-4436-A622-886DDA5695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ED488C-2573-49DB-8E1B-F5CFCC329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Herramienta_Monitoreo</vt:lpstr>
      <vt:lpstr>Matrices</vt:lpstr>
      <vt:lpstr>datos_Grafico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Joaquin Adrian Astorga Saez</dc:creator>
  <cp:keywords/>
  <dc:description/>
  <cp:lastModifiedBy>Miguel Alberto Reyes Fuentes</cp:lastModifiedBy>
  <cp:revision/>
  <dcterms:created xsi:type="dcterms:W3CDTF">2024-12-30T14:19:40Z</dcterms:created>
  <dcterms:modified xsi:type="dcterms:W3CDTF">2025-03-19T13:37:26Z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